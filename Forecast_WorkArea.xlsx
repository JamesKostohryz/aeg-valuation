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Forecast Work Area" sheetId="1" state="visible" r:id="rId1"/>
    <sheet xmlns:r="http://schemas.openxmlformats.org/officeDocument/2006/relationships" name="_Actuals" sheetId="2" state="visible" r:id="rId2"/>
    <sheet xmlns:r="http://schemas.openxmlformats.org/officeDocument/2006/relationships" name="_Rat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0.00\x"/>
    <numFmt numFmtId="167" formatCode="#,##0.000"/>
  </numFmts>
  <fonts count="3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3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808080"/>
      <sz val="9"/>
    </font>
    <font>
      <name val="Arial"/>
      <charset val="1"/>
      <family val="0"/>
      <b val="1"/>
      <color rgb="FF7C776E"/>
      <sz val="9"/>
    </font>
    <font>
      <name val="Arial"/>
      <charset val="1"/>
      <family val="0"/>
      <b val="1"/>
      <color rgb="FF1F3864"/>
      <sz val="9"/>
    </font>
    <font>
      <name val="Arial"/>
      <charset val="1"/>
      <family val="0"/>
      <b val="1"/>
      <color rgb="FF1F4E79"/>
      <sz val="9"/>
    </font>
    <font>
      <name val="Arial"/>
      <charset val="1"/>
      <family val="0"/>
      <color rgb="FF23211E"/>
      <sz val="10"/>
    </font>
    <font>
      <name val="Arial"/>
      <charset val="1"/>
      <family val="0"/>
      <color rgb="FF7C776E"/>
      <sz val="10"/>
    </font>
    <font>
      <name val="Arial"/>
      <charset val="1"/>
      <family val="0"/>
      <color rgb="FF595959"/>
      <sz val="10"/>
    </font>
    <font>
      <name val="Arial"/>
      <charset val="1"/>
      <family val="0"/>
      <i val="1"/>
      <color rgb="FF8A8A8A"/>
      <sz val="9"/>
    </font>
    <font>
      <name val="Arial"/>
      <charset val="1"/>
      <family val="0"/>
      <i val="1"/>
      <color rgb="FF7C776E"/>
      <sz val="9"/>
    </font>
    <font>
      <name val="Arial"/>
      <charset val="1"/>
      <family val="0"/>
      <i val="1"/>
      <color rgb="FF0000FF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7C776E"/>
      <sz val="11"/>
    </font>
    <font>
      <name val="Arial"/>
      <charset val="1"/>
      <family val="0"/>
      <b val="1"/>
      <color rgb="FF1F3864"/>
      <sz val="11"/>
    </font>
    <font>
      <name val="Cambria"/>
      <charset val="1"/>
      <family val="0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color rgb="FF595959"/>
      <sz val="11"/>
    </font>
    <font>
      <name val="Arial"/>
      <charset val="1"/>
      <family val="0"/>
      <b val="1"/>
      <color rgb="FF375623"/>
      <sz val="10"/>
    </font>
    <font>
      <name val="Arial"/>
      <charset val="1"/>
      <family val="0"/>
      <color rgb="FF4B457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9C7A16"/>
      <sz val="9"/>
    </font>
    <font>
      <name val="Arial"/>
      <charset val="1"/>
      <family val="0"/>
      <color rgb="FF7C776E"/>
      <sz val="9"/>
    </font>
    <font>
      <name val="Arial"/>
      <charset val="1"/>
      <family val="0"/>
      <color rgb="FF9C7A16"/>
      <sz val="9"/>
    </font>
    <font>
      <name val="Arial"/>
      <charset val="1"/>
      <family val="0"/>
      <color rgb="FF23211E"/>
      <sz val="9"/>
    </font>
    <font>
      <name val="Calibri"/>
      <charset val="1"/>
      <family val="0"/>
      <color rgb="FF595959"/>
      <sz val="11"/>
    </font>
    <font>
      <name val="Arial"/>
      <charset val="1"/>
      <family val="0"/>
      <b val="1"/>
      <color rgb="FF23211E"/>
      <sz val="10"/>
    </font>
    <font>
      <name val="Arial"/>
      <charset val="1"/>
      <family val="0"/>
      <b val="1"/>
      <color rgb="FF23211E"/>
      <sz val="11"/>
    </font>
    <font>
      <name val="Calibri"/>
      <charset val="1"/>
      <family val="0"/>
      <i val="1"/>
      <color rgb="FF595959"/>
      <sz val="9"/>
    </font>
    <font>
      <name val="Calibri"/>
      <charset val="1"/>
      <family val="0"/>
      <b val="1"/>
      <color rgb="FF1F3864"/>
      <sz val="9"/>
    </font>
    <font>
      <name val="Calibri"/>
      <charset val="1"/>
      <family val="0"/>
      <i val="1"/>
      <color rgb="FF7F7F7F"/>
      <sz val="9"/>
    </font>
    <font>
      <name val="Arial"/>
      <b val="1"/>
      <sz val="10"/>
    </font>
    <font>
      <name val="Arial"/>
      <b val="1"/>
      <color rgb="000000FF"/>
      <sz val="10"/>
    </font>
  </fonts>
  <fills count="12">
    <fill>
      <patternFill/>
    </fill>
    <fill>
      <patternFill patternType="gray125"/>
    </fill>
    <fill>
      <patternFill patternType="solid">
        <fgColor rgb="FFEFEDE7"/>
        <bgColor rgb="FFECEBF3"/>
      </patternFill>
    </fill>
    <fill>
      <patternFill patternType="solid">
        <fgColor rgb="FFE7EEF6"/>
        <bgColor rgb="FFE8EEF7"/>
      </patternFill>
    </fill>
    <fill>
      <patternFill patternType="solid">
        <fgColor rgb="FFE8EEF7"/>
        <bgColor rgb="FFE7EEF6"/>
      </patternFill>
    </fill>
    <fill>
      <patternFill patternType="solid">
        <fgColor rgb="FFF2F2F2"/>
        <bgColor rgb="FFEAF1FB"/>
      </patternFill>
    </fill>
    <fill>
      <patternFill patternType="solid">
        <fgColor rgb="FFEAF1FB"/>
        <bgColor rgb="FFE8EEF7"/>
      </patternFill>
    </fill>
    <fill>
      <patternFill patternType="solid">
        <fgColor rgb="FFE2EFDA"/>
        <bgColor rgb="FFEFEDE7"/>
      </patternFill>
    </fill>
    <fill>
      <patternFill patternType="solid">
        <fgColor rgb="FFECEBF3"/>
        <bgColor rgb="FFE8EEF7"/>
      </patternFill>
    </fill>
    <fill>
      <patternFill patternType="solid">
        <fgColor rgb="FFFBF7EE"/>
        <bgColor rgb="FFF2F2F2"/>
      </patternFill>
    </fill>
    <fill>
      <patternFill patternType="solid">
        <fgColor rgb="FFFFF2CC"/>
        <bgColor rgb="FFFBF7E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 style="medium">
        <color rgb="FF2F6DB0"/>
      </top>
      <bottom style="medium">
        <color rgb="FF2F6DB0"/>
      </bottom>
      <diagonal/>
    </border>
    <border>
      <left/>
      <right/>
      <top style="medium">
        <color rgb="FF2F6DB0"/>
      </top>
      <bottom style="medium">
        <color rgb="FF2F6DB0"/>
      </bottom>
      <diagonal/>
    </border>
    <border>
      <left/>
      <right style="medium">
        <color rgb="FF2F6DB0"/>
      </right>
      <top style="medium">
        <color rgb="FF2F6DB0"/>
      </top>
      <bottom style="medium">
        <color rgb="FF2F6DB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center"/>
    </xf>
    <xf numFmtId="3" fontId="11" fillId="2" borderId="0" applyAlignment="1" pivotButton="0" quotePrefix="0" xfId="0">
      <alignment horizontal="center" vertical="center"/>
    </xf>
    <xf numFmtId="3" fontId="12" fillId="5" borderId="1" applyAlignment="1" pivotButton="0" quotePrefix="0" xfId="0">
      <alignment horizontal="center" vertical="center"/>
    </xf>
    <xf numFmtId="3" fontId="12" fillId="5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164" fontId="14" fillId="2" borderId="0" applyAlignment="1" pivotButton="0" quotePrefix="0" xfId="0">
      <alignment horizontal="center" vertical="center"/>
    </xf>
    <xf numFmtId="164" fontId="15" fillId="6" borderId="1" applyAlignment="1" pivotButton="0" quotePrefix="0" xfId="0">
      <alignment horizontal="center" vertical="center"/>
    </xf>
    <xf numFmtId="164" fontId="15" fillId="6" borderId="0" applyAlignment="1" pivotButton="0" quotePrefix="0" xfId="0">
      <alignment horizontal="center" vertical="center"/>
    </xf>
    <xf numFmtId="164" fontId="16" fillId="5" borderId="1" applyAlignment="1" pivotButton="0" quotePrefix="0" xfId="0">
      <alignment horizontal="center" vertical="center"/>
    </xf>
    <xf numFmtId="164" fontId="16" fillId="5" borderId="0" applyAlignment="1" pivotButton="0" quotePrefix="0" xfId="0">
      <alignment horizontal="center" vertical="center"/>
    </xf>
    <xf numFmtId="165" fontId="11" fillId="2" borderId="0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165" fontId="12" fillId="5" borderId="0" applyAlignment="1" pivotButton="0" quotePrefix="0" xfId="0">
      <alignment horizontal="center" vertical="center"/>
    </xf>
    <xf numFmtId="2" fontId="17" fillId="2" borderId="0" applyAlignment="1" pivotButton="0" quotePrefix="0" xfId="0">
      <alignment horizontal="center" vertical="center"/>
    </xf>
    <xf numFmtId="2" fontId="18" fillId="6" borderId="2" applyAlignment="1" pivotButton="0" quotePrefix="0" xfId="0">
      <alignment horizontal="center" vertical="center"/>
    </xf>
    <xf numFmtId="2" fontId="18" fillId="6" borderId="3" applyAlignment="1" pivotButton="0" quotePrefix="0" xfId="0">
      <alignment horizontal="center" vertical="center"/>
    </xf>
    <xf numFmtId="2" fontId="18" fillId="6" borderId="4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general" vertical="bottom"/>
    </xf>
    <xf numFmtId="2" fontId="20" fillId="6" borderId="0" applyAlignment="1" pivotButton="0" quotePrefix="0" xfId="0">
      <alignment horizontal="general" vertical="bottom"/>
    </xf>
    <xf numFmtId="2" fontId="21" fillId="0" borderId="0" applyAlignment="1" pivotButton="0" quotePrefix="0" xfId="0">
      <alignment horizontal="general" vertical="bottom"/>
    </xf>
    <xf numFmtId="2" fontId="21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center" vertical="center"/>
    </xf>
    <xf numFmtId="3" fontId="21" fillId="0" borderId="0" applyAlignment="1" pivotButton="0" quotePrefix="0" xfId="0">
      <alignment horizontal="center" vertical="center"/>
    </xf>
    <xf numFmtId="3" fontId="12" fillId="6" borderId="1" applyAlignment="1" pivotButton="0" quotePrefix="0" xfId="0">
      <alignment horizontal="center" vertical="center"/>
    </xf>
    <xf numFmtId="3" fontId="12" fillId="6" borderId="0" applyAlignment="1" pivotButton="0" quotePrefix="0" xfId="0">
      <alignment horizontal="center" vertical="center"/>
    </xf>
    <xf numFmtId="164" fontId="20" fillId="6" borderId="0" applyAlignment="1" pivotButton="0" quotePrefix="0" xfId="0">
      <alignment horizontal="center" vertical="center"/>
    </xf>
    <xf numFmtId="3" fontId="22" fillId="7" borderId="1" applyAlignment="1" pivotButton="0" quotePrefix="0" xfId="0">
      <alignment horizontal="center" vertical="center"/>
    </xf>
    <xf numFmtId="3" fontId="22" fillId="7" borderId="0" applyAlignment="1" pivotButton="0" quotePrefix="0" xfId="0">
      <alignment horizontal="center" vertical="center"/>
    </xf>
    <xf numFmtId="3" fontId="23" fillId="8" borderId="1" applyAlignment="1" pivotButton="0" quotePrefix="0" xfId="0">
      <alignment horizontal="center" vertical="center"/>
    </xf>
    <xf numFmtId="3" fontId="23" fillId="8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3" fontId="12" fillId="5" borderId="0" applyAlignment="1" pivotButton="0" quotePrefix="0" xfId="0">
      <alignment horizontal="center" vertical="center"/>
    </xf>
    <xf numFmtId="164" fontId="12" fillId="5" borderId="0" applyAlignment="1" pivotButton="0" quotePrefix="0" xfId="0">
      <alignment horizontal="center" vertical="center"/>
    </xf>
    <xf numFmtId="164" fontId="24" fillId="5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general" vertical="bottom"/>
    </xf>
    <xf numFmtId="2" fontId="12" fillId="5" borderId="0" applyAlignment="1" pivotButton="0" quotePrefix="0" xfId="0">
      <alignment horizontal="general" vertical="bottom"/>
    </xf>
    <xf numFmtId="2" fontId="12" fillId="5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left" vertical="center"/>
    </xf>
    <xf numFmtId="164" fontId="23" fillId="4" borderId="0" applyAlignment="1" pivotButton="0" quotePrefix="0" xfId="0">
      <alignment horizontal="center" vertical="center"/>
    </xf>
    <xf numFmtId="164" fontId="11" fillId="2" borderId="0" applyAlignment="1" pivotButton="0" quotePrefix="0" xfId="0">
      <alignment horizontal="center" vertical="center"/>
    </xf>
    <xf numFmtId="164" fontId="23" fillId="8" borderId="0" applyAlignment="1" pivotButton="0" quotePrefix="0" xfId="0">
      <alignment horizontal="center" vertical="center"/>
    </xf>
    <xf numFmtId="166" fontId="11" fillId="2" borderId="0" applyAlignment="1" pivotButton="0" quotePrefix="0" xfId="0">
      <alignment horizontal="center" vertical="center"/>
    </xf>
    <xf numFmtId="166" fontId="23" fillId="8" borderId="0" applyAlignment="1" pivotButton="0" quotePrefix="0" xfId="0">
      <alignment horizontal="center" vertical="center"/>
    </xf>
    <xf numFmtId="2" fontId="11" fillId="2" borderId="0" applyAlignment="1" pivotButton="0" quotePrefix="0" xfId="0">
      <alignment horizontal="center" vertical="center"/>
    </xf>
    <xf numFmtId="2" fontId="23" fillId="8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1" fillId="2" borderId="0" applyAlignment="1" pivotButton="0" quotePrefix="0" xfId="0">
      <alignment horizontal="general" vertical="bottom"/>
    </xf>
    <xf numFmtId="164" fontId="23" fillId="8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164" fontId="26" fillId="2" borderId="0" applyAlignment="1" pivotButton="0" quotePrefix="0" xfId="0">
      <alignment horizontal="general" vertical="bottom"/>
    </xf>
    <xf numFmtId="164" fontId="27" fillId="9" borderId="0" applyAlignment="1" pivotButton="0" quotePrefix="0" xfId="0">
      <alignment horizontal="general" vertical="bottom"/>
    </xf>
    <xf numFmtId="164" fontId="27" fillId="9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2" fontId="12" fillId="0" borderId="0" applyAlignment="1" pivotButton="0" quotePrefix="0" xfId="0">
      <alignment horizontal="general" vertical="bottom"/>
    </xf>
    <xf numFmtId="2" fontId="2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9" fontId="21" fillId="0" borderId="0" applyAlignment="1" pivotButton="0" quotePrefix="0" xfId="0">
      <alignment horizontal="general" vertical="bottom"/>
    </xf>
    <xf numFmtId="0" fontId="28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" fontId="3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33" fillId="10" borderId="5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2" fontId="24" fillId="5" borderId="0" applyAlignment="1" pivotButton="0" quotePrefix="0" xfId="0">
      <alignment horizontal="general" vertical="bottom"/>
    </xf>
    <xf numFmtId="2" fontId="24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35" fillId="0" borderId="0" pivotButton="0" quotePrefix="0" xfId="0"/>
    <xf numFmtId="0" fontId="36" fillId="11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center"/>
    </xf>
    <xf numFmtId="3" fontId="11" fillId="2" borderId="0" applyAlignment="1" pivotButton="0" quotePrefix="0" xfId="0">
      <alignment horizontal="center" vertical="center"/>
    </xf>
    <xf numFmtId="3" fontId="12" fillId="5" borderId="1" applyAlignment="1" pivotButton="0" quotePrefix="0" xfId="0">
      <alignment horizontal="center" vertical="center"/>
    </xf>
    <xf numFmtId="3" fontId="12" fillId="5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164" fontId="14" fillId="2" borderId="0" applyAlignment="1" pivotButton="0" quotePrefix="0" xfId="0">
      <alignment horizontal="center" vertical="center"/>
    </xf>
    <xf numFmtId="164" fontId="15" fillId="6" borderId="1" applyAlignment="1" pivotButton="0" quotePrefix="0" xfId="0">
      <alignment horizontal="center" vertical="center"/>
    </xf>
    <xf numFmtId="164" fontId="15" fillId="6" borderId="0" applyAlignment="1" pivotButton="0" quotePrefix="0" xfId="0">
      <alignment horizontal="center" vertical="center"/>
    </xf>
    <xf numFmtId="164" fontId="16" fillId="5" borderId="1" applyAlignment="1" pivotButton="0" quotePrefix="0" xfId="0">
      <alignment horizontal="center" vertical="center"/>
    </xf>
    <xf numFmtId="164" fontId="16" fillId="5" borderId="0" applyAlignment="1" pivotButton="0" quotePrefix="0" xfId="0">
      <alignment horizontal="center" vertical="center"/>
    </xf>
    <xf numFmtId="165" fontId="11" fillId="2" borderId="0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165" fontId="12" fillId="5" borderId="0" applyAlignment="1" pivotButton="0" quotePrefix="0" xfId="0">
      <alignment horizontal="center" vertical="center"/>
    </xf>
    <xf numFmtId="2" fontId="17" fillId="2" borderId="0" applyAlignment="1" pivotButton="0" quotePrefix="0" xfId="0">
      <alignment horizontal="center" vertical="center"/>
    </xf>
    <xf numFmtId="2" fontId="18" fillId="6" borderId="2" applyAlignment="1" pivotButton="0" quotePrefix="0" xfId="0">
      <alignment horizontal="center" vertical="center"/>
    </xf>
    <xf numFmtId="2" fontId="18" fillId="6" borderId="3" applyAlignment="1" pivotButton="0" quotePrefix="0" xfId="0">
      <alignment horizontal="center" vertical="center"/>
    </xf>
    <xf numFmtId="2" fontId="18" fillId="6" borderId="4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general" vertical="bottom"/>
    </xf>
    <xf numFmtId="2" fontId="20" fillId="6" borderId="0" applyAlignment="1" pivotButton="0" quotePrefix="0" xfId="0">
      <alignment horizontal="general" vertical="bottom"/>
    </xf>
    <xf numFmtId="2" fontId="21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center" vertical="center"/>
    </xf>
    <xf numFmtId="3" fontId="21" fillId="0" borderId="0" applyAlignment="1" pivotButton="0" quotePrefix="0" xfId="0">
      <alignment horizontal="center" vertical="center"/>
    </xf>
    <xf numFmtId="3" fontId="12" fillId="6" borderId="1" applyAlignment="1" pivotButton="0" quotePrefix="0" xfId="0">
      <alignment horizontal="center" vertical="center"/>
    </xf>
    <xf numFmtId="3" fontId="12" fillId="6" borderId="0" applyAlignment="1" pivotButton="0" quotePrefix="0" xfId="0">
      <alignment horizontal="center" vertical="center"/>
    </xf>
    <xf numFmtId="164" fontId="20" fillId="6" borderId="0" applyAlignment="1" pivotButton="0" quotePrefix="0" xfId="0">
      <alignment horizontal="center" vertical="center"/>
    </xf>
    <xf numFmtId="3" fontId="22" fillId="7" borderId="1" applyAlignment="1" pivotButton="0" quotePrefix="0" xfId="0">
      <alignment horizontal="center" vertical="center"/>
    </xf>
    <xf numFmtId="3" fontId="22" fillId="7" borderId="0" applyAlignment="1" pivotButton="0" quotePrefix="0" xfId="0">
      <alignment horizontal="center" vertical="center"/>
    </xf>
    <xf numFmtId="3" fontId="23" fillId="8" borderId="1" applyAlignment="1" pivotButton="0" quotePrefix="0" xfId="0">
      <alignment horizontal="center" vertical="center"/>
    </xf>
    <xf numFmtId="3" fontId="23" fillId="8" borderId="0" applyAlignment="1" pivotButton="0" quotePrefix="0" xfId="0">
      <alignment horizontal="center" vertical="center"/>
    </xf>
    <xf numFmtId="164" fontId="12" fillId="5" borderId="0" applyAlignment="1" pivotButton="0" quotePrefix="0" xfId="0">
      <alignment horizontal="center" vertical="center"/>
    </xf>
    <xf numFmtId="164" fontId="24" fillId="5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general" vertical="bottom"/>
    </xf>
    <xf numFmtId="2" fontId="12" fillId="5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left" vertical="center"/>
    </xf>
    <xf numFmtId="164" fontId="23" fillId="4" borderId="0" applyAlignment="1" pivotButton="0" quotePrefix="0" xfId="0">
      <alignment horizontal="center" vertical="center"/>
    </xf>
    <xf numFmtId="164" fontId="11" fillId="2" borderId="0" applyAlignment="1" pivotButton="0" quotePrefix="0" xfId="0">
      <alignment horizontal="center" vertical="center"/>
    </xf>
    <xf numFmtId="164" fontId="23" fillId="8" borderId="0" applyAlignment="1" pivotButton="0" quotePrefix="0" xfId="0">
      <alignment horizontal="center" vertical="center"/>
    </xf>
    <xf numFmtId="166" fontId="11" fillId="2" borderId="0" applyAlignment="1" pivotButton="0" quotePrefix="0" xfId="0">
      <alignment horizontal="center" vertical="center"/>
    </xf>
    <xf numFmtId="166" fontId="23" fillId="8" borderId="0" applyAlignment="1" pivotButton="0" quotePrefix="0" xfId="0">
      <alignment horizontal="center" vertical="center"/>
    </xf>
    <xf numFmtId="2" fontId="11" fillId="2" borderId="0" applyAlignment="1" pivotButton="0" quotePrefix="0" xfId="0">
      <alignment horizontal="center" vertical="center"/>
    </xf>
    <xf numFmtId="2" fontId="23" fillId="8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164" fontId="11" fillId="2" borderId="0" applyAlignment="1" pivotButton="0" quotePrefix="0" xfId="0">
      <alignment horizontal="general" vertical="bottom"/>
    </xf>
    <xf numFmtId="164" fontId="23" fillId="8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164" fontId="26" fillId="2" borderId="0" applyAlignment="1" pivotButton="0" quotePrefix="0" xfId="0">
      <alignment horizontal="general" vertical="bottom"/>
    </xf>
    <xf numFmtId="164" fontId="27" fillId="9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2" fontId="12" fillId="0" borderId="0" applyAlignment="1" pivotButton="0" quotePrefix="0" xfId="0">
      <alignment horizontal="general" vertical="bottom"/>
    </xf>
    <xf numFmtId="2" fontId="29" fillId="0" borderId="0" applyAlignment="1" pivotButton="0" quotePrefix="0" xfId="0">
      <alignment horizontal="general" vertical="bottom"/>
    </xf>
    <xf numFmtId="9" fontId="21" fillId="0" borderId="0" applyAlignment="1" pivotButton="0" quotePrefix="0" xfId="0">
      <alignment horizontal="general" vertical="bottom"/>
    </xf>
    <xf numFmtId="0" fontId="28" fillId="4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" fontId="3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36" fillId="11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color rgb="00A6A6A6"/>
      </font>
      <fill>
        <patternFill patternType="solid">
          <fgColor rgb="00E7E6E6"/>
        </patternFill>
      </fill>
    </dxf>
  </dxfs>
  <colors>
    <indexedColors>
      <rgbColor rgb="FF000000"/>
      <rgbColor rgb="FFFBF7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7A16"/>
      <rgbColor rgb="FF800080"/>
      <rgbColor rgb="FF008080"/>
      <rgbColor rgb="FFE8EEF7"/>
      <rgbColor rgb="FF808080"/>
      <rgbColor rgb="FF9999FF"/>
      <rgbColor rgb="FF595959"/>
      <rgbColor rgb="FFFFF2CC"/>
      <rgbColor rgb="FFEAF1FB"/>
      <rgbColor rgb="FF660066"/>
      <rgbColor rgb="FFFF8080"/>
      <rgbColor rgb="FF1F4E79"/>
      <rgbColor rgb="FFECEB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EF6"/>
      <rgbColor rgb="FFE2EFDA"/>
      <rgbColor rgb="FFEFEDE7"/>
      <rgbColor rgb="FF99CCFF"/>
      <rgbColor rgb="FFFF99CC"/>
      <rgbColor rgb="FFCC99FF"/>
      <rgbColor rgb="FFF2F2F2"/>
      <rgbColor rgb="FF2F6DB0"/>
      <rgbColor rgb="FF33CCCC"/>
      <rgbColor rgb="FF99CC00"/>
      <rgbColor rgb="FFFFCC00"/>
      <rgbColor rgb="FFFF9900"/>
      <rgbColor rgb="FFFF6600"/>
      <rgbColor rgb="FF7C776E"/>
      <rgbColor rgb="FF8A8A8A"/>
      <rgbColor rgb="FF1F3864"/>
      <rgbColor rgb="FF7F7F7F"/>
      <rgbColor rgb="FF003300"/>
      <rgbColor rgb="FF375623"/>
      <rgbColor rgb="FF993300"/>
      <rgbColor rgb="FF993366"/>
      <rgbColor rgb="FF4B4570"/>
      <rgbColor rgb="FF23211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7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82" min="1" max="1"/>
    <col width="8.4" customWidth="1" style="82" min="3" max="36"/>
  </cols>
  <sheetData>
    <row r="1" ht="15.75" customHeight="1" s="83">
      <c r="A1" s="84" t="inlineStr">
        <is>
          <t>FORECAST WORK AREA   ·   real $mm   ·   t = −3…0 actuals, 1…N forecast</t>
        </is>
      </c>
    </row>
    <row r="2" ht="15" customHeight="1" s="83">
      <c r="A2" s="85" t="inlineStr">
        <is>
          <t>Historicals draw from _Actuals (formulas).  Blue defaults carry the prior value forward — overwrite at will.  Nothing in the grey/shaded areas is hard-coded.</t>
        </is>
      </c>
      <c r="B2" s="86" t="inlineStr">
        <is>
          <t>Forecast mode ▸</t>
        </is>
      </c>
      <c r="C2" s="87" t="inlineStr">
        <is>
          <t>Equity</t>
        </is>
      </c>
      <c r="D2" s="86" t="inlineStr">
        <is>
          <t>Payout ratio (equity) ▸</t>
        </is>
      </c>
      <c r="E2" s="87" t="n">
        <v>0.365</v>
      </c>
    </row>
    <row r="3">
      <c r="B3" s="86" t="inlineStr">
        <is>
          <t>Financing mode ▸</t>
        </is>
      </c>
      <c r="C3" s="87" t="inlineStr">
        <is>
          <t>Target FLEV</t>
        </is>
      </c>
      <c r="D3" s="86" t="inlineStr">
        <is>
          <t>Target FLEV ▸</t>
        </is>
      </c>
      <c r="E3" s="87" t="n">
        <v>1.0615</v>
      </c>
    </row>
    <row r="4" ht="15" customHeight="1" s="83">
      <c r="A4" s="88" t="inlineStr">
        <is>
          <t>Period  t   (0 = last actual)</t>
        </is>
      </c>
      <c r="B4" s="86" t="n"/>
      <c r="C4" s="151" t="n">
        <v>-3</v>
      </c>
      <c r="D4" s="89" t="n">
        <v>-2</v>
      </c>
      <c r="E4" s="89" t="n">
        <v>-1</v>
      </c>
      <c r="F4" s="89" t="n">
        <v>0</v>
      </c>
      <c r="G4" s="90" t="n">
        <v>1</v>
      </c>
      <c r="H4" s="91" t="n">
        <v>2</v>
      </c>
      <c r="I4" s="91" t="n">
        <v>3</v>
      </c>
      <c r="J4" s="91" t="n">
        <v>4</v>
      </c>
      <c r="K4" s="91" t="n">
        <v>5</v>
      </c>
      <c r="L4" s="91" t="n">
        <v>6</v>
      </c>
      <c r="M4" s="91" t="n">
        <v>7</v>
      </c>
      <c r="N4" s="91" t="n">
        <v>8</v>
      </c>
      <c r="O4" s="91" t="n">
        <v>9</v>
      </c>
      <c r="P4" s="91" t="n">
        <v>10</v>
      </c>
      <c r="Q4" s="91" t="n">
        <v>11</v>
      </c>
      <c r="R4" s="91" t="n">
        <v>12</v>
      </c>
      <c r="S4" s="91" t="n">
        <v>13</v>
      </c>
      <c r="T4" s="91" t="n">
        <v>14</v>
      </c>
      <c r="U4" s="91" t="n">
        <v>15</v>
      </c>
      <c r="V4" s="91" t="n">
        <v>16</v>
      </c>
      <c r="W4" s="91" t="n">
        <v>17</v>
      </c>
      <c r="X4" s="91" t="n">
        <v>18</v>
      </c>
      <c r="Y4" s="91" t="n">
        <v>19</v>
      </c>
      <c r="Z4" s="91" t="n">
        <v>20</v>
      </c>
      <c r="AA4" s="91" t="n">
        <v>21</v>
      </c>
      <c r="AB4" s="91" t="n">
        <v>22</v>
      </c>
      <c r="AC4" s="91" t="n">
        <v>23</v>
      </c>
      <c r="AD4" s="91" t="n">
        <v>24</v>
      </c>
      <c r="AE4" s="91" t="n">
        <v>25</v>
      </c>
      <c r="AF4" s="91" t="n">
        <v>26</v>
      </c>
      <c r="AG4" s="91" t="n">
        <v>27</v>
      </c>
      <c r="AH4" s="91" t="n">
        <v>28</v>
      </c>
      <c r="AI4" s="91" t="n">
        <v>29</v>
      </c>
      <c r="AJ4" s="91" t="n">
        <v>30</v>
      </c>
    </row>
    <row r="5" ht="15" customHeight="1" s="83">
      <c r="A5" s="92" t="inlineStr">
        <is>
          <t xml:space="preserve">  INCOME STATEMENT — build to EPS</t>
        </is>
      </c>
      <c r="G5" s="93" t="n"/>
    </row>
    <row r="6" ht="15" customHeight="1" s="83">
      <c r="A6" s="94" t="inlineStr">
        <is>
          <t>Revenue</t>
        </is>
      </c>
      <c r="C6" s="95">
        <f>_Actuals!C6</f>
        <v/>
      </c>
      <c r="D6" s="95">
        <f>_Actuals!D6</f>
        <v/>
      </c>
      <c r="E6" s="95">
        <f>_Actuals!E6</f>
        <v/>
      </c>
      <c r="F6" s="95">
        <f>_Actuals!F6</f>
        <v/>
      </c>
      <c r="G6" s="96">
        <f>F6*(1+G7)</f>
        <v/>
      </c>
      <c r="H6" s="97">
        <f>G6*(1+H7)</f>
        <v/>
      </c>
      <c r="I6" s="97">
        <f>H6*(1+I7)</f>
        <v/>
      </c>
      <c r="J6" s="97">
        <f>I6*(1+J7)</f>
        <v/>
      </c>
      <c r="K6" s="97">
        <f>J6*(1+K7)</f>
        <v/>
      </c>
      <c r="L6" s="97">
        <f>K6*(1+L7)</f>
        <v/>
      </c>
      <c r="M6" s="97">
        <f>L6*(1+M7)</f>
        <v/>
      </c>
      <c r="N6" s="97">
        <f>M6*(1+N7)</f>
        <v/>
      </c>
      <c r="O6" s="97">
        <f>N6*(1+O7)</f>
        <v/>
      </c>
      <c r="P6" s="97">
        <f>O6*(1+P7)</f>
        <v/>
      </c>
      <c r="Q6" s="97">
        <f>P6*(1+Q7)</f>
        <v/>
      </c>
      <c r="R6" s="97">
        <f>Q6*(1+R7)</f>
        <v/>
      </c>
      <c r="S6" s="97">
        <f>R6*(1+S7)</f>
        <v/>
      </c>
      <c r="T6" s="97">
        <f>S6*(1+T7)</f>
        <v/>
      </c>
      <c r="U6" s="97">
        <f>T6*(1+U7)</f>
        <v/>
      </c>
      <c r="V6" s="97">
        <f>U6*(1+V7)</f>
        <v/>
      </c>
      <c r="W6" s="97">
        <f>V6*(1+W7)</f>
        <v/>
      </c>
      <c r="X6" s="97">
        <f>W6*(1+X7)</f>
        <v/>
      </c>
      <c r="Y6" s="97">
        <f>X6*(1+Y7)</f>
        <v/>
      </c>
      <c r="Z6" s="97">
        <f>Y6*(1+Z7)</f>
        <v/>
      </c>
      <c r="AA6" s="97">
        <f>Z6*(1+AA7)</f>
        <v/>
      </c>
      <c r="AB6" s="97">
        <f>AA6*(1+AB7)</f>
        <v/>
      </c>
      <c r="AC6" s="97">
        <f>AB6*(1+AC7)</f>
        <v/>
      </c>
      <c r="AD6" s="97">
        <f>AC6*(1+AD7)</f>
        <v/>
      </c>
      <c r="AE6" s="97">
        <f>AD6*(1+AE7)</f>
        <v/>
      </c>
      <c r="AF6" s="97">
        <f>AE6*(1+AF7)</f>
        <v/>
      </c>
      <c r="AG6" s="97">
        <f>AF6*(1+AG7)</f>
        <v/>
      </c>
      <c r="AH6" s="97">
        <f>AG6*(1+AH7)</f>
        <v/>
      </c>
      <c r="AI6" s="97">
        <f>AH6*(1+AI7)</f>
        <v/>
      </c>
      <c r="AJ6" s="97">
        <f>AI6*(1+AJ7)</f>
        <v/>
      </c>
    </row>
    <row r="7" ht="15" customHeight="1" s="83">
      <c r="A7" s="98" t="inlineStr">
        <is>
          <t xml:space="preserve">   revenue growth</t>
        </is>
      </c>
      <c r="C7" s="99" t="n"/>
      <c r="D7" s="99">
        <f>IF(C6=0,"",D6/C6-1)</f>
        <v/>
      </c>
      <c r="E7" s="99">
        <f>IF(D6=0,"",E6/D6-1)</f>
        <v/>
      </c>
      <c r="F7" s="99">
        <f>IF(E6=0,"",F6/E6-1)</f>
        <v/>
      </c>
      <c r="G7" s="100">
        <f>F7</f>
        <v/>
      </c>
      <c r="H7" s="101">
        <f>G7</f>
        <v/>
      </c>
      <c r="I7" s="101">
        <f>H7</f>
        <v/>
      </c>
      <c r="J7" s="101">
        <f>I7</f>
        <v/>
      </c>
      <c r="K7" s="101">
        <f>J7</f>
        <v/>
      </c>
      <c r="L7" s="101">
        <f>K7</f>
        <v/>
      </c>
      <c r="M7" s="101">
        <f>L7</f>
        <v/>
      </c>
      <c r="N7" s="101">
        <f>M7</f>
        <v/>
      </c>
      <c r="O7" s="101">
        <f>N7</f>
        <v/>
      </c>
      <c r="P7" s="101">
        <f>O7</f>
        <v/>
      </c>
      <c r="Q7" s="101">
        <f>P7</f>
        <v/>
      </c>
      <c r="R7" s="101">
        <f>Q7</f>
        <v/>
      </c>
      <c r="S7" s="101">
        <f>R7</f>
        <v/>
      </c>
      <c r="T7" s="101">
        <f>S7</f>
        <v/>
      </c>
      <c r="U7" s="101">
        <f>T7</f>
        <v/>
      </c>
      <c r="V7" s="101">
        <f>U7</f>
        <v/>
      </c>
      <c r="W7" s="101">
        <f>V7</f>
        <v/>
      </c>
      <c r="X7" s="101">
        <f>W7</f>
        <v/>
      </c>
      <c r="Y7" s="101">
        <f>X7</f>
        <v/>
      </c>
      <c r="Z7" s="101">
        <f>Y7</f>
        <v/>
      </c>
      <c r="AA7" s="101">
        <f>Z7</f>
        <v/>
      </c>
      <c r="AB7" s="101">
        <f>AA7</f>
        <v/>
      </c>
      <c r="AC7" s="101">
        <f>AB7</f>
        <v/>
      </c>
      <c r="AD7" s="101">
        <f>AC7</f>
        <v/>
      </c>
      <c r="AE7" s="101">
        <f>AD7</f>
        <v/>
      </c>
      <c r="AF7" s="101">
        <f>AE7</f>
        <v/>
      </c>
      <c r="AG7" s="101">
        <f>AF7</f>
        <v/>
      </c>
      <c r="AH7" s="101">
        <f>AG7</f>
        <v/>
      </c>
      <c r="AI7" s="101">
        <f>AH7</f>
        <v/>
      </c>
      <c r="AJ7" s="101">
        <f>AI7</f>
        <v/>
      </c>
    </row>
    <row r="8" ht="15" customHeight="1" s="83">
      <c r="A8" s="94" t="inlineStr">
        <is>
          <t xml:space="preserve">   Cost of goods sold (COGS)</t>
        </is>
      </c>
      <c r="C8" s="95">
        <f>_Actuals!C8</f>
        <v/>
      </c>
      <c r="D8" s="95">
        <f>_Actuals!D8</f>
        <v/>
      </c>
      <c r="E8" s="95">
        <f>_Actuals!E8</f>
        <v/>
      </c>
      <c r="F8" s="95">
        <f>_Actuals!F8</f>
        <v/>
      </c>
      <c r="G8" s="96">
        <f>G6-G9</f>
        <v/>
      </c>
      <c r="H8" s="97">
        <f>H6-H9</f>
        <v/>
      </c>
      <c r="I8" s="97">
        <f>I6-I9</f>
        <v/>
      </c>
      <c r="J8" s="97">
        <f>J6-J9</f>
        <v/>
      </c>
      <c r="K8" s="97">
        <f>K6-K9</f>
        <v/>
      </c>
      <c r="L8" s="97">
        <f>L6-L9</f>
        <v/>
      </c>
      <c r="M8" s="97">
        <f>M6-M9</f>
        <v/>
      </c>
      <c r="N8" s="97">
        <f>N6-N9</f>
        <v/>
      </c>
      <c r="O8" s="97">
        <f>O6-O9</f>
        <v/>
      </c>
      <c r="P8" s="97">
        <f>P6-P9</f>
        <v/>
      </c>
      <c r="Q8" s="97">
        <f>Q6-Q9</f>
        <v/>
      </c>
      <c r="R8" s="97">
        <f>R6-R9</f>
        <v/>
      </c>
      <c r="S8" s="97">
        <f>S6-S9</f>
        <v/>
      </c>
      <c r="T8" s="97">
        <f>T6-T9</f>
        <v/>
      </c>
      <c r="U8" s="97">
        <f>U6-U9</f>
        <v/>
      </c>
      <c r="V8" s="97">
        <f>V6-V9</f>
        <v/>
      </c>
      <c r="W8" s="97">
        <f>W6-W9</f>
        <v/>
      </c>
      <c r="X8" s="97">
        <f>X6-X9</f>
        <v/>
      </c>
      <c r="Y8" s="97">
        <f>Y6-Y9</f>
        <v/>
      </c>
      <c r="Z8" s="97">
        <f>Z6-Z9</f>
        <v/>
      </c>
      <c r="AA8" s="97">
        <f>AA6-AA9</f>
        <v/>
      </c>
      <c r="AB8" s="97">
        <f>AB6-AB9</f>
        <v/>
      </c>
      <c r="AC8" s="97">
        <f>AC6-AC9</f>
        <v/>
      </c>
      <c r="AD8" s="97">
        <f>AD6-AD9</f>
        <v/>
      </c>
      <c r="AE8" s="97">
        <f>AE6-AE9</f>
        <v/>
      </c>
      <c r="AF8" s="97">
        <f>AF6-AF9</f>
        <v/>
      </c>
      <c r="AG8" s="97">
        <f>AG6-AG9</f>
        <v/>
      </c>
      <c r="AH8" s="97">
        <f>AH6-AH9</f>
        <v/>
      </c>
      <c r="AI8" s="97">
        <f>AI6-AI9</f>
        <v/>
      </c>
      <c r="AJ8" s="97">
        <f>AJ6-AJ9</f>
        <v/>
      </c>
    </row>
    <row r="9" ht="15" customHeight="1" s="83">
      <c r="A9" s="94" t="inlineStr">
        <is>
          <t xml:space="preserve">   Gross profit</t>
        </is>
      </c>
      <c r="C9" s="95">
        <f>_Actuals!C9</f>
        <v/>
      </c>
      <c r="D9" s="95">
        <f>_Actuals!D9</f>
        <v/>
      </c>
      <c r="E9" s="95">
        <f>_Actuals!E9</f>
        <v/>
      </c>
      <c r="F9" s="95">
        <f>_Actuals!F9</f>
        <v/>
      </c>
      <c r="G9" s="96">
        <f>G6*G10</f>
        <v/>
      </c>
      <c r="H9" s="97">
        <f>H6*H10</f>
        <v/>
      </c>
      <c r="I9" s="97">
        <f>I6*I10</f>
        <v/>
      </c>
      <c r="J9" s="97">
        <f>J6*J10</f>
        <v/>
      </c>
      <c r="K9" s="97">
        <f>K6*K10</f>
        <v/>
      </c>
      <c r="L9" s="97">
        <f>L6*L10</f>
        <v/>
      </c>
      <c r="M9" s="97">
        <f>M6*M10</f>
        <v/>
      </c>
      <c r="N9" s="97">
        <f>N6*N10</f>
        <v/>
      </c>
      <c r="O9" s="97">
        <f>O6*O10</f>
        <v/>
      </c>
      <c r="P9" s="97">
        <f>P6*P10</f>
        <v/>
      </c>
      <c r="Q9" s="97">
        <f>Q6*Q10</f>
        <v/>
      </c>
      <c r="R9" s="97">
        <f>R6*R10</f>
        <v/>
      </c>
      <c r="S9" s="97">
        <f>S6*S10</f>
        <v/>
      </c>
      <c r="T9" s="97">
        <f>T6*T10</f>
        <v/>
      </c>
      <c r="U9" s="97">
        <f>U6*U10</f>
        <v/>
      </c>
      <c r="V9" s="97">
        <f>V6*V10</f>
        <v/>
      </c>
      <c r="W9" s="97">
        <f>W6*W10</f>
        <v/>
      </c>
      <c r="X9" s="97">
        <f>X6*X10</f>
        <v/>
      </c>
      <c r="Y9" s="97">
        <f>Y6*Y10</f>
        <v/>
      </c>
      <c r="Z9" s="97">
        <f>Z6*Z10</f>
        <v/>
      </c>
      <c r="AA9" s="97">
        <f>AA6*AA10</f>
        <v/>
      </c>
      <c r="AB9" s="97">
        <f>AB6*AB10</f>
        <v/>
      </c>
      <c r="AC9" s="97">
        <f>AC6*AC10</f>
        <v/>
      </c>
      <c r="AD9" s="97">
        <f>AD6*AD10</f>
        <v/>
      </c>
      <c r="AE9" s="97">
        <f>AE6*AE10</f>
        <v/>
      </c>
      <c r="AF9" s="97">
        <f>AF6*AF10</f>
        <v/>
      </c>
      <c r="AG9" s="97">
        <f>AG6*AG10</f>
        <v/>
      </c>
      <c r="AH9" s="97">
        <f>AH6*AH10</f>
        <v/>
      </c>
      <c r="AI9" s="97">
        <f>AI6*AI10</f>
        <v/>
      </c>
      <c r="AJ9" s="97">
        <f>AJ6*AJ10</f>
        <v/>
      </c>
    </row>
    <row r="10" ht="15" customHeight="1" s="83">
      <c r="A10" s="98" t="inlineStr">
        <is>
          <t xml:space="preserve">      gross margin</t>
        </is>
      </c>
      <c r="C10" s="99">
        <f>IF(C6=0,"",C9/C6)</f>
        <v/>
      </c>
      <c r="D10" s="99">
        <f>IF(D6=0,"",D9/D6)</f>
        <v/>
      </c>
      <c r="E10" s="99">
        <f>IF(E6=0,"",E9/E6)</f>
        <v/>
      </c>
      <c r="F10" s="99">
        <f>IF(F6=0,"",F9/F6)</f>
        <v/>
      </c>
      <c r="G10" s="100">
        <f>F10</f>
        <v/>
      </c>
      <c r="H10" s="101">
        <f>G10</f>
        <v/>
      </c>
      <c r="I10" s="101">
        <f>H10</f>
        <v/>
      </c>
      <c r="J10" s="101">
        <f>I10</f>
        <v/>
      </c>
      <c r="K10" s="101">
        <f>J10</f>
        <v/>
      </c>
      <c r="L10" s="101">
        <f>K10</f>
        <v/>
      </c>
      <c r="M10" s="101">
        <f>L10</f>
        <v/>
      </c>
      <c r="N10" s="101">
        <f>M10</f>
        <v/>
      </c>
      <c r="O10" s="101">
        <f>N10</f>
        <v/>
      </c>
      <c r="P10" s="101">
        <f>O10</f>
        <v/>
      </c>
      <c r="Q10" s="101">
        <f>P10</f>
        <v/>
      </c>
      <c r="R10" s="101">
        <f>Q10</f>
        <v/>
      </c>
      <c r="S10" s="101">
        <f>R10</f>
        <v/>
      </c>
      <c r="T10" s="101">
        <f>S10</f>
        <v/>
      </c>
      <c r="U10" s="101">
        <f>T10</f>
        <v/>
      </c>
      <c r="V10" s="101">
        <f>U10</f>
        <v/>
      </c>
      <c r="W10" s="101">
        <f>V10</f>
        <v/>
      </c>
      <c r="X10" s="101">
        <f>W10</f>
        <v/>
      </c>
      <c r="Y10" s="101">
        <f>X10</f>
        <v/>
      </c>
      <c r="Z10" s="101">
        <f>Y10</f>
        <v/>
      </c>
      <c r="AA10" s="101">
        <f>Z10</f>
        <v/>
      </c>
      <c r="AB10" s="101">
        <f>AA10</f>
        <v/>
      </c>
      <c r="AC10" s="101">
        <f>AB10</f>
        <v/>
      </c>
      <c r="AD10" s="101">
        <f>AC10</f>
        <v/>
      </c>
      <c r="AE10" s="101">
        <f>AD10</f>
        <v/>
      </c>
      <c r="AF10" s="101">
        <f>AE10</f>
        <v/>
      </c>
      <c r="AG10" s="101">
        <f>AF10</f>
        <v/>
      </c>
      <c r="AH10" s="101">
        <f>AG10</f>
        <v/>
      </c>
      <c r="AI10" s="101">
        <f>AH10</f>
        <v/>
      </c>
      <c r="AJ10" s="101">
        <f>AI10</f>
        <v/>
      </c>
    </row>
    <row r="11" ht="15" customHeight="1" s="83">
      <c r="A11" s="94" t="inlineStr">
        <is>
          <t xml:space="preserve">   Selling, general &amp; admin (SG&amp;A)</t>
        </is>
      </c>
      <c r="C11" s="95">
        <f>_Actuals!C11</f>
        <v/>
      </c>
      <c r="D11" s="95">
        <f>_Actuals!D11</f>
        <v/>
      </c>
      <c r="E11" s="95">
        <f>_Actuals!E11</f>
        <v/>
      </c>
      <c r="F11" s="95">
        <f>_Actuals!F11</f>
        <v/>
      </c>
      <c r="G11" s="96">
        <f>G6*G12</f>
        <v/>
      </c>
      <c r="H11" s="97">
        <f>H6*H12</f>
        <v/>
      </c>
      <c r="I11" s="97">
        <f>I6*I12</f>
        <v/>
      </c>
      <c r="J11" s="97">
        <f>J6*J12</f>
        <v/>
      </c>
      <c r="K11" s="97">
        <f>K6*K12</f>
        <v/>
      </c>
      <c r="L11" s="97">
        <f>L6*L12</f>
        <v/>
      </c>
      <c r="M11" s="97">
        <f>M6*M12</f>
        <v/>
      </c>
      <c r="N11" s="97">
        <f>N6*N12</f>
        <v/>
      </c>
      <c r="O11" s="97">
        <f>O6*O12</f>
        <v/>
      </c>
      <c r="P11" s="97">
        <f>P6*P12</f>
        <v/>
      </c>
      <c r="Q11" s="97">
        <f>Q6*Q12</f>
        <v/>
      </c>
      <c r="R11" s="97">
        <f>R6*R12</f>
        <v/>
      </c>
      <c r="S11" s="97">
        <f>S6*S12</f>
        <v/>
      </c>
      <c r="T11" s="97">
        <f>T6*T12</f>
        <v/>
      </c>
      <c r="U11" s="97">
        <f>U6*U12</f>
        <v/>
      </c>
      <c r="V11" s="97">
        <f>V6*V12</f>
        <v/>
      </c>
      <c r="W11" s="97">
        <f>W6*W12</f>
        <v/>
      </c>
      <c r="X11" s="97">
        <f>X6*X12</f>
        <v/>
      </c>
      <c r="Y11" s="97">
        <f>Y6*Y12</f>
        <v/>
      </c>
      <c r="Z11" s="97">
        <f>Z6*Z12</f>
        <v/>
      </c>
      <c r="AA11" s="97">
        <f>AA6*AA12</f>
        <v/>
      </c>
      <c r="AB11" s="97">
        <f>AB6*AB12</f>
        <v/>
      </c>
      <c r="AC11" s="97">
        <f>AC6*AC12</f>
        <v/>
      </c>
      <c r="AD11" s="97">
        <f>AD6*AD12</f>
        <v/>
      </c>
      <c r="AE11" s="97">
        <f>AE6*AE12</f>
        <v/>
      </c>
      <c r="AF11" s="97">
        <f>AF6*AF12</f>
        <v/>
      </c>
      <c r="AG11" s="97">
        <f>AG6*AG12</f>
        <v/>
      </c>
      <c r="AH11" s="97">
        <f>AH6*AH12</f>
        <v/>
      </c>
      <c r="AI11" s="97">
        <f>AI6*AI12</f>
        <v/>
      </c>
      <c r="AJ11" s="97">
        <f>AJ6*AJ12</f>
        <v/>
      </c>
    </row>
    <row r="12" ht="15" customHeight="1" s="83">
      <c r="A12" s="98" t="inlineStr">
        <is>
          <t xml:space="preserve">      SG&amp;A % of revenue</t>
        </is>
      </c>
      <c r="C12" s="99">
        <f>IF(C6=0,"",C11/C6)</f>
        <v/>
      </c>
      <c r="D12" s="99">
        <f>IF(D6=0,"",D11/D6)</f>
        <v/>
      </c>
      <c r="E12" s="99">
        <f>IF(E6=0,"",E11/E6)</f>
        <v/>
      </c>
      <c r="F12" s="99">
        <f>IF(F6=0,"",F11/F6)</f>
        <v/>
      </c>
      <c r="G12" s="100">
        <f>F12</f>
        <v/>
      </c>
      <c r="H12" s="101">
        <f>G12</f>
        <v/>
      </c>
      <c r="I12" s="101">
        <f>H12</f>
        <v/>
      </c>
      <c r="J12" s="101">
        <f>I12</f>
        <v/>
      </c>
      <c r="K12" s="101">
        <f>J12</f>
        <v/>
      </c>
      <c r="L12" s="101">
        <f>K12</f>
        <v/>
      </c>
      <c r="M12" s="101">
        <f>L12</f>
        <v/>
      </c>
      <c r="N12" s="101">
        <f>M12</f>
        <v/>
      </c>
      <c r="O12" s="101">
        <f>N12</f>
        <v/>
      </c>
      <c r="P12" s="101">
        <f>O12</f>
        <v/>
      </c>
      <c r="Q12" s="101">
        <f>P12</f>
        <v/>
      </c>
      <c r="R12" s="101">
        <f>Q12</f>
        <v/>
      </c>
      <c r="S12" s="101">
        <f>R12</f>
        <v/>
      </c>
      <c r="T12" s="101">
        <f>S12</f>
        <v/>
      </c>
      <c r="U12" s="101">
        <f>T12</f>
        <v/>
      </c>
      <c r="V12" s="101">
        <f>U12</f>
        <v/>
      </c>
      <c r="W12" s="101">
        <f>V12</f>
        <v/>
      </c>
      <c r="X12" s="101">
        <f>W12</f>
        <v/>
      </c>
      <c r="Y12" s="101">
        <f>X12</f>
        <v/>
      </c>
      <c r="Z12" s="101">
        <f>Y12</f>
        <v/>
      </c>
      <c r="AA12" s="101">
        <f>Z12</f>
        <v/>
      </c>
      <c r="AB12" s="101">
        <f>AA12</f>
        <v/>
      </c>
      <c r="AC12" s="101">
        <f>AB12</f>
        <v/>
      </c>
      <c r="AD12" s="101">
        <f>AC12</f>
        <v/>
      </c>
      <c r="AE12" s="101">
        <f>AD12</f>
        <v/>
      </c>
      <c r="AF12" s="101">
        <f>AE12</f>
        <v/>
      </c>
      <c r="AG12" s="101">
        <f>AF12</f>
        <v/>
      </c>
      <c r="AH12" s="101">
        <f>AG12</f>
        <v/>
      </c>
      <c r="AI12" s="101">
        <f>AH12</f>
        <v/>
      </c>
      <c r="AJ12" s="101">
        <f>AI12</f>
        <v/>
      </c>
    </row>
    <row r="13" ht="15" customHeight="1" s="83">
      <c r="A13" s="94" t="inlineStr">
        <is>
          <t xml:space="preserve">   Depreciation &amp; amortization (D&amp;A)</t>
        </is>
      </c>
      <c r="C13" s="95">
        <f>_Actuals!C13</f>
        <v/>
      </c>
      <c r="D13" s="95">
        <f>_Actuals!D13</f>
        <v/>
      </c>
      <c r="E13" s="95">
        <f>_Actuals!E13</f>
        <v/>
      </c>
      <c r="F13" s="95">
        <f>_Actuals!F13</f>
        <v/>
      </c>
      <c r="G13" s="96">
        <f>G14*F49</f>
        <v/>
      </c>
      <c r="H13" s="97">
        <f>H14*G49</f>
        <v/>
      </c>
      <c r="I13" s="97">
        <f>I14*H49</f>
        <v/>
      </c>
      <c r="J13" s="97">
        <f>J14*I49</f>
        <v/>
      </c>
      <c r="K13" s="97">
        <f>K14*J49</f>
        <v/>
      </c>
      <c r="L13" s="97">
        <f>L14*K49</f>
        <v/>
      </c>
      <c r="M13" s="97">
        <f>M14*L49</f>
        <v/>
      </c>
      <c r="N13" s="97">
        <f>N14*M49</f>
        <v/>
      </c>
      <c r="O13" s="97">
        <f>O14*N49</f>
        <v/>
      </c>
      <c r="P13" s="97">
        <f>P14*O49</f>
        <v/>
      </c>
      <c r="Q13" s="97">
        <f>Q14*P49</f>
        <v/>
      </c>
      <c r="R13" s="97">
        <f>R14*Q49</f>
        <v/>
      </c>
      <c r="S13" s="97">
        <f>S14*R49</f>
        <v/>
      </c>
      <c r="T13" s="97">
        <f>T14*S49</f>
        <v/>
      </c>
      <c r="U13" s="97">
        <f>U14*T49</f>
        <v/>
      </c>
      <c r="V13" s="97">
        <f>V14*U49</f>
        <v/>
      </c>
      <c r="W13" s="97">
        <f>W14*V49</f>
        <v/>
      </c>
      <c r="X13" s="97">
        <f>X14*W49</f>
        <v/>
      </c>
      <c r="Y13" s="97">
        <f>Y14*X49</f>
        <v/>
      </c>
      <c r="Z13" s="97">
        <f>Z14*Y49</f>
        <v/>
      </c>
      <c r="AA13" s="97">
        <f>AA14*Z49</f>
        <v/>
      </c>
      <c r="AB13" s="97">
        <f>AB14*AA49</f>
        <v/>
      </c>
      <c r="AC13" s="97">
        <f>AC14*AB49</f>
        <v/>
      </c>
      <c r="AD13" s="97">
        <f>AD14*AC49</f>
        <v/>
      </c>
      <c r="AE13" s="97">
        <f>AE14*AD49</f>
        <v/>
      </c>
      <c r="AF13" s="97">
        <f>AF14*AE49</f>
        <v/>
      </c>
      <c r="AG13" s="97">
        <f>AG14*AF49</f>
        <v/>
      </c>
      <c r="AH13" s="97">
        <f>AH14*AG49</f>
        <v/>
      </c>
      <c r="AI13" s="97">
        <f>AI14*AH49</f>
        <v/>
      </c>
      <c r="AJ13" s="97">
        <f>AJ14*AI49</f>
        <v/>
      </c>
    </row>
    <row r="14" ht="15" customHeight="1" s="83">
      <c r="A14" s="98" t="inlineStr">
        <is>
          <t xml:space="preserve">      depreciation rate  (on prior net PP&amp;E)</t>
        </is>
      </c>
      <c r="C14" s="99" t="n"/>
      <c r="D14" s="99">
        <f>IF(C49=0,"",D13/C49)</f>
        <v/>
      </c>
      <c r="E14" s="99">
        <f>IF(D49=0,"",E13/D49)</f>
        <v/>
      </c>
      <c r="F14" s="99">
        <f>IF(E49=0,"",F13/E49)</f>
        <v/>
      </c>
      <c r="G14" s="100">
        <f>F14</f>
        <v/>
      </c>
      <c r="H14" s="101">
        <f>G14</f>
        <v/>
      </c>
      <c r="I14" s="101">
        <f>H14</f>
        <v/>
      </c>
      <c r="J14" s="101">
        <f>I14</f>
        <v/>
      </c>
      <c r="K14" s="101">
        <f>J14</f>
        <v/>
      </c>
      <c r="L14" s="101">
        <f>K14</f>
        <v/>
      </c>
      <c r="M14" s="101">
        <f>L14</f>
        <v/>
      </c>
      <c r="N14" s="101">
        <f>M14</f>
        <v/>
      </c>
      <c r="O14" s="101">
        <f>N14</f>
        <v/>
      </c>
      <c r="P14" s="101">
        <f>O14</f>
        <v/>
      </c>
      <c r="Q14" s="101">
        <f>P14</f>
        <v/>
      </c>
      <c r="R14" s="101">
        <f>Q14</f>
        <v/>
      </c>
      <c r="S14" s="101">
        <f>R14</f>
        <v/>
      </c>
      <c r="T14" s="101">
        <f>S14</f>
        <v/>
      </c>
      <c r="U14" s="101">
        <f>T14</f>
        <v/>
      </c>
      <c r="V14" s="101">
        <f>U14</f>
        <v/>
      </c>
      <c r="W14" s="101">
        <f>V14</f>
        <v/>
      </c>
      <c r="X14" s="101">
        <f>W14</f>
        <v/>
      </c>
      <c r="Y14" s="101">
        <f>X14</f>
        <v/>
      </c>
      <c r="Z14" s="101">
        <f>Y14</f>
        <v/>
      </c>
      <c r="AA14" s="101">
        <f>Z14</f>
        <v/>
      </c>
      <c r="AB14" s="101">
        <f>AA14</f>
        <v/>
      </c>
      <c r="AC14" s="101">
        <f>AB14</f>
        <v/>
      </c>
      <c r="AD14" s="101">
        <f>AC14</f>
        <v/>
      </c>
      <c r="AE14" s="101">
        <f>AD14</f>
        <v/>
      </c>
      <c r="AF14" s="101">
        <f>AE14</f>
        <v/>
      </c>
      <c r="AG14" s="101">
        <f>AF14</f>
        <v/>
      </c>
      <c r="AH14" s="101">
        <f>AG14</f>
        <v/>
      </c>
      <c r="AI14" s="101">
        <f>AH14</f>
        <v/>
      </c>
      <c r="AJ14" s="101">
        <f>AI14</f>
        <v/>
      </c>
    </row>
    <row r="15" ht="15" customHeight="1" s="83">
      <c r="A15" s="94" t="inlineStr">
        <is>
          <t>Operating income (EBIT)</t>
        </is>
      </c>
      <c r="C15" s="95">
        <f>_Actuals!C15</f>
        <v/>
      </c>
      <c r="D15" s="95">
        <f>_Actuals!D15</f>
        <v/>
      </c>
      <c r="E15" s="95">
        <f>_Actuals!E15</f>
        <v/>
      </c>
      <c r="F15" s="95">
        <f>_Actuals!F15</f>
        <v/>
      </c>
      <c r="G15" s="96">
        <f>G9-G11-G13</f>
        <v/>
      </c>
      <c r="H15" s="97">
        <f>H9-H11-H13</f>
        <v/>
      </c>
      <c r="I15" s="97">
        <f>I9-I11-I13</f>
        <v/>
      </c>
      <c r="J15" s="97">
        <f>J9-J11-J13</f>
        <v/>
      </c>
      <c r="K15" s="97">
        <f>K9-K11-K13</f>
        <v/>
      </c>
      <c r="L15" s="97">
        <f>L9-L11-L13</f>
        <v/>
      </c>
      <c r="M15" s="97">
        <f>M9-M11-M13</f>
        <v/>
      </c>
      <c r="N15" s="97">
        <f>N9-N11-N13</f>
        <v/>
      </c>
      <c r="O15" s="97">
        <f>O9-O11-O13</f>
        <v/>
      </c>
      <c r="P15" s="97">
        <f>P9-P11-P13</f>
        <v/>
      </c>
      <c r="Q15" s="97">
        <f>Q9-Q11-Q13</f>
        <v/>
      </c>
      <c r="R15" s="97">
        <f>R9-R11-R13</f>
        <v/>
      </c>
      <c r="S15" s="97">
        <f>S9-S11-S13</f>
        <v/>
      </c>
      <c r="T15" s="97">
        <f>T9-T11-T13</f>
        <v/>
      </c>
      <c r="U15" s="97">
        <f>U9-U11-U13</f>
        <v/>
      </c>
      <c r="V15" s="97">
        <f>V9-V11-V13</f>
        <v/>
      </c>
      <c r="W15" s="97">
        <f>W9-W11-W13</f>
        <v/>
      </c>
      <c r="X15" s="97">
        <f>X9-X11-X13</f>
        <v/>
      </c>
      <c r="Y15" s="97">
        <f>Y9-Y11-Y13</f>
        <v/>
      </c>
      <c r="Z15" s="97">
        <f>Z9-Z11-Z13</f>
        <v/>
      </c>
      <c r="AA15" s="97">
        <f>AA9-AA11-AA13</f>
        <v/>
      </c>
      <c r="AB15" s="97">
        <f>AB9-AB11-AB13</f>
        <v/>
      </c>
      <c r="AC15" s="97">
        <f>AC9-AC11-AC13</f>
        <v/>
      </c>
      <c r="AD15" s="97">
        <f>AD9-AD11-AD13</f>
        <v/>
      </c>
      <c r="AE15" s="97">
        <f>AE9-AE11-AE13</f>
        <v/>
      </c>
      <c r="AF15" s="97">
        <f>AF9-AF11-AF13</f>
        <v/>
      </c>
      <c r="AG15" s="97">
        <f>AG9-AG11-AG13</f>
        <v/>
      </c>
      <c r="AH15" s="97">
        <f>AH9-AH11-AH13</f>
        <v/>
      </c>
      <c r="AI15" s="97">
        <f>AI9-AI11-AI13</f>
        <v/>
      </c>
      <c r="AJ15" s="97">
        <f>AJ9-AJ11-AJ13</f>
        <v/>
      </c>
    </row>
    <row r="16" ht="15" customHeight="1" s="83">
      <c r="A16" s="94" t="inlineStr">
        <is>
          <t xml:space="preserve">   Operating tax</t>
        </is>
      </c>
      <c r="C16" s="95">
        <f>_Actuals!C16</f>
        <v/>
      </c>
      <c r="D16" s="95">
        <f>_Actuals!D16</f>
        <v/>
      </c>
      <c r="E16" s="95">
        <f>_Actuals!E16</f>
        <v/>
      </c>
      <c r="F16" s="95">
        <f>_Actuals!F16</f>
        <v/>
      </c>
      <c r="G16" s="96">
        <f>G15*G17</f>
        <v/>
      </c>
      <c r="H16" s="97">
        <f>H15*H17</f>
        <v/>
      </c>
      <c r="I16" s="97">
        <f>I15*I17</f>
        <v/>
      </c>
      <c r="J16" s="97">
        <f>J15*J17</f>
        <v/>
      </c>
      <c r="K16" s="97">
        <f>K15*K17</f>
        <v/>
      </c>
      <c r="L16" s="97">
        <f>L15*L17</f>
        <v/>
      </c>
      <c r="M16" s="97">
        <f>M15*M17</f>
        <v/>
      </c>
      <c r="N16" s="97">
        <f>N15*N17</f>
        <v/>
      </c>
      <c r="O16" s="97">
        <f>O15*O17</f>
        <v/>
      </c>
      <c r="P16" s="97">
        <f>P15*P17</f>
        <v/>
      </c>
      <c r="Q16" s="97">
        <f>Q15*Q17</f>
        <v/>
      </c>
      <c r="R16" s="97">
        <f>R15*R17</f>
        <v/>
      </c>
      <c r="S16" s="97">
        <f>S15*S17</f>
        <v/>
      </c>
      <c r="T16" s="97">
        <f>T15*T17</f>
        <v/>
      </c>
      <c r="U16" s="97">
        <f>U15*U17</f>
        <v/>
      </c>
      <c r="V16" s="97">
        <f>V15*V17</f>
        <v/>
      </c>
      <c r="W16" s="97">
        <f>W15*W17</f>
        <v/>
      </c>
      <c r="X16" s="97">
        <f>X15*X17</f>
        <v/>
      </c>
      <c r="Y16" s="97">
        <f>Y15*Y17</f>
        <v/>
      </c>
      <c r="Z16" s="97">
        <f>Z15*Z17</f>
        <v/>
      </c>
      <c r="AA16" s="97">
        <f>AA15*AA17</f>
        <v/>
      </c>
      <c r="AB16" s="97">
        <f>AB15*AB17</f>
        <v/>
      </c>
      <c r="AC16" s="97">
        <f>AC15*AC17</f>
        <v/>
      </c>
      <c r="AD16" s="97">
        <f>AD15*AD17</f>
        <v/>
      </c>
      <c r="AE16" s="97">
        <f>AE15*AE17</f>
        <v/>
      </c>
      <c r="AF16" s="97">
        <f>AF15*AF17</f>
        <v/>
      </c>
      <c r="AG16" s="97">
        <f>AG15*AG17</f>
        <v/>
      </c>
      <c r="AH16" s="97">
        <f>AH15*AH17</f>
        <v/>
      </c>
      <c r="AI16" s="97">
        <f>AI15*AI17</f>
        <v/>
      </c>
      <c r="AJ16" s="97">
        <f>AJ15*AJ17</f>
        <v/>
      </c>
    </row>
    <row r="17" ht="15" customHeight="1" s="83">
      <c r="A17" s="98" t="inlineStr">
        <is>
          <t xml:space="preserve">      tax rate</t>
        </is>
      </c>
      <c r="C17" s="99">
        <f>IF(C15=0,"",C16/C15)</f>
        <v/>
      </c>
      <c r="D17" s="99">
        <f>IF(D15=0,"",D16/D15)</f>
        <v/>
      </c>
      <c r="E17" s="99">
        <f>IF(E15=0,"",E16/E15)</f>
        <v/>
      </c>
      <c r="F17" s="99">
        <f>IF(F15=0,"",F16/F15)</f>
        <v/>
      </c>
      <c r="G17" s="100">
        <f>F17</f>
        <v/>
      </c>
      <c r="H17" s="101">
        <f>G17</f>
        <v/>
      </c>
      <c r="I17" s="101">
        <f>H17</f>
        <v/>
      </c>
      <c r="J17" s="101">
        <f>I17</f>
        <v/>
      </c>
      <c r="K17" s="101">
        <f>J17</f>
        <v/>
      </c>
      <c r="L17" s="101">
        <f>K17</f>
        <v/>
      </c>
      <c r="M17" s="101">
        <f>L17</f>
        <v/>
      </c>
      <c r="N17" s="101">
        <f>M17</f>
        <v/>
      </c>
      <c r="O17" s="101">
        <f>N17</f>
        <v/>
      </c>
      <c r="P17" s="101">
        <f>O17</f>
        <v/>
      </c>
      <c r="Q17" s="101">
        <f>P17</f>
        <v/>
      </c>
      <c r="R17" s="101">
        <f>Q17</f>
        <v/>
      </c>
      <c r="S17" s="101">
        <f>R17</f>
        <v/>
      </c>
      <c r="T17" s="101">
        <f>S17</f>
        <v/>
      </c>
      <c r="U17" s="101">
        <f>T17</f>
        <v/>
      </c>
      <c r="V17" s="101">
        <f>U17</f>
        <v/>
      </c>
      <c r="W17" s="101">
        <f>V17</f>
        <v/>
      </c>
      <c r="X17" s="101">
        <f>W17</f>
        <v/>
      </c>
      <c r="Y17" s="101">
        <f>X17</f>
        <v/>
      </c>
      <c r="Z17" s="101">
        <f>Y17</f>
        <v/>
      </c>
      <c r="AA17" s="101">
        <f>Z17</f>
        <v/>
      </c>
      <c r="AB17" s="101">
        <f>AA17</f>
        <v/>
      </c>
      <c r="AC17" s="101">
        <f>AB17</f>
        <v/>
      </c>
      <c r="AD17" s="101">
        <f>AC17</f>
        <v/>
      </c>
      <c r="AE17" s="101">
        <f>AD17</f>
        <v/>
      </c>
      <c r="AF17" s="101">
        <f>AE17</f>
        <v/>
      </c>
      <c r="AG17" s="101">
        <f>AF17</f>
        <v/>
      </c>
      <c r="AH17" s="101">
        <f>AG17</f>
        <v/>
      </c>
      <c r="AI17" s="101">
        <f>AH17</f>
        <v/>
      </c>
      <c r="AJ17" s="101">
        <f>AI17</f>
        <v/>
      </c>
    </row>
    <row r="18" ht="15" customHeight="1" s="83">
      <c r="A18" s="94" t="inlineStr">
        <is>
          <t>Operating income, after tax (OI)</t>
        </is>
      </c>
      <c r="C18" s="95">
        <f>_Actuals!C18</f>
        <v/>
      </c>
      <c r="D18" s="95">
        <f>_Actuals!D18</f>
        <v/>
      </c>
      <c r="E18" s="95">
        <f>_Actuals!E18</f>
        <v/>
      </c>
      <c r="F18" s="95">
        <f>_Actuals!F18</f>
        <v/>
      </c>
      <c r="G18" s="96">
        <f>G15-G16</f>
        <v/>
      </c>
      <c r="H18" s="97">
        <f>H15-H16</f>
        <v/>
      </c>
      <c r="I18" s="97">
        <f>I15-I16</f>
        <v/>
      </c>
      <c r="J18" s="97">
        <f>J15-J16</f>
        <v/>
      </c>
      <c r="K18" s="97">
        <f>K15-K16</f>
        <v/>
      </c>
      <c r="L18" s="97">
        <f>L15-L16</f>
        <v/>
      </c>
      <c r="M18" s="97">
        <f>M15-M16</f>
        <v/>
      </c>
      <c r="N18" s="97">
        <f>N15-N16</f>
        <v/>
      </c>
      <c r="O18" s="97">
        <f>O15-O16</f>
        <v/>
      </c>
      <c r="P18" s="97">
        <f>P15-P16</f>
        <v/>
      </c>
      <c r="Q18" s="97">
        <f>Q15-Q16</f>
        <v/>
      </c>
      <c r="R18" s="97">
        <f>R15-R16</f>
        <v/>
      </c>
      <c r="S18" s="97">
        <f>S15-S16</f>
        <v/>
      </c>
      <c r="T18" s="97">
        <f>T15-T16</f>
        <v/>
      </c>
      <c r="U18" s="97">
        <f>U15-U16</f>
        <v/>
      </c>
      <c r="V18" s="97">
        <f>V15-V16</f>
        <v/>
      </c>
      <c r="W18" s="97">
        <f>W15-W16</f>
        <v/>
      </c>
      <c r="X18" s="97">
        <f>X15-X16</f>
        <v/>
      </c>
      <c r="Y18" s="97">
        <f>Y15-Y16</f>
        <v/>
      </c>
      <c r="Z18" s="97">
        <f>Z15-Z16</f>
        <v/>
      </c>
      <c r="AA18" s="97">
        <f>AA15-AA16</f>
        <v/>
      </c>
      <c r="AB18" s="97">
        <f>AB15-AB16</f>
        <v/>
      </c>
      <c r="AC18" s="97">
        <f>AC15-AC16</f>
        <v/>
      </c>
      <c r="AD18" s="97">
        <f>AD15-AD16</f>
        <v/>
      </c>
      <c r="AE18" s="97">
        <f>AE15-AE16</f>
        <v/>
      </c>
      <c r="AF18" s="97">
        <f>AF15-AF16</f>
        <v/>
      </c>
      <c r="AG18" s="97">
        <f>AG15-AG16</f>
        <v/>
      </c>
      <c r="AH18" s="97">
        <f>AH15-AH16</f>
        <v/>
      </c>
      <c r="AI18" s="97">
        <f>AI15-AI16</f>
        <v/>
      </c>
      <c r="AJ18" s="97">
        <f>AJ15-AJ16</f>
        <v/>
      </c>
    </row>
    <row r="19" ht="15" customHeight="1" s="83">
      <c r="A19" s="98" t="inlineStr">
        <is>
          <t xml:space="preserve">   growth</t>
        </is>
      </c>
      <c r="C19" s="99" t="n"/>
      <c r="D19" s="99">
        <f>IF(C18=0,"",D18/C18-1)</f>
        <v/>
      </c>
      <c r="E19" s="99">
        <f>IF(D18=0,"",E18/D18-1)</f>
        <v/>
      </c>
      <c r="F19" s="99">
        <f>IF(E18=0,"",F18/E18-1)</f>
        <v/>
      </c>
      <c r="G19" s="102">
        <f>IF(F18=0,"",G18/F18-1)</f>
        <v/>
      </c>
      <c r="H19" s="103">
        <f>IF(G18=0,"",H18/G18-1)</f>
        <v/>
      </c>
      <c r="I19" s="103">
        <f>IF(H18=0,"",I18/H18-1)</f>
        <v/>
      </c>
      <c r="J19" s="103">
        <f>IF(I18=0,"",J18/I18-1)</f>
        <v/>
      </c>
      <c r="K19" s="103">
        <f>IF(J18=0,"",K18/J18-1)</f>
        <v/>
      </c>
      <c r="L19" s="103">
        <f>IF(K18=0,"",L18/K18-1)</f>
        <v/>
      </c>
      <c r="M19" s="103">
        <f>IF(L18=0,"",M18/L18-1)</f>
        <v/>
      </c>
      <c r="N19" s="103">
        <f>IF(M18=0,"",N18/M18-1)</f>
        <v/>
      </c>
      <c r="O19" s="103">
        <f>IF(N18=0,"",O18/N18-1)</f>
        <v/>
      </c>
      <c r="P19" s="103">
        <f>IF(O18=0,"",P18/O18-1)</f>
        <v/>
      </c>
      <c r="Q19" s="103">
        <f>IF(P18=0,"",Q18/P18-1)</f>
        <v/>
      </c>
      <c r="R19" s="103">
        <f>IF(Q18=0,"",R18/Q18-1)</f>
        <v/>
      </c>
      <c r="S19" s="103">
        <f>IF(R18=0,"",S18/R18-1)</f>
        <v/>
      </c>
      <c r="T19" s="103">
        <f>IF(S18=0,"",T18/S18-1)</f>
        <v/>
      </c>
      <c r="U19" s="103">
        <f>IF(T18=0,"",U18/T18-1)</f>
        <v/>
      </c>
      <c r="V19" s="103">
        <f>IF(U18=0,"",V18/U18-1)</f>
        <v/>
      </c>
      <c r="W19" s="103">
        <f>IF(V18=0,"",W18/V18-1)</f>
        <v/>
      </c>
      <c r="X19" s="103">
        <f>IF(W18=0,"",X18/W18-1)</f>
        <v/>
      </c>
      <c r="Y19" s="103">
        <f>IF(X18=0,"",Y18/X18-1)</f>
        <v/>
      </c>
      <c r="Z19" s="103">
        <f>IF(Y18=0,"",Z18/Y18-1)</f>
        <v/>
      </c>
      <c r="AA19" s="103">
        <f>IF(Z18=0,"",AA18/Z18-1)</f>
        <v/>
      </c>
      <c r="AB19" s="103">
        <f>IF(AA18=0,"",AB18/AA18-1)</f>
        <v/>
      </c>
      <c r="AC19" s="103">
        <f>IF(AB18=0,"",AC18/AB18-1)</f>
        <v/>
      </c>
      <c r="AD19" s="103">
        <f>IF(AC18=0,"",AD18/AC18-1)</f>
        <v/>
      </c>
      <c r="AE19" s="103">
        <f>IF(AD18=0,"",AE18/AD18-1)</f>
        <v/>
      </c>
      <c r="AF19" s="103">
        <f>IF(AE18=0,"",AF18/AE18-1)</f>
        <v/>
      </c>
      <c r="AG19" s="103">
        <f>IF(AF18=0,"",AG18/AF18-1)</f>
        <v/>
      </c>
      <c r="AH19" s="103">
        <f>IF(AG18=0,"",AH18/AG18-1)</f>
        <v/>
      </c>
      <c r="AI19" s="103">
        <f>IF(AH18=0,"",AI18/AH18-1)</f>
        <v/>
      </c>
      <c r="AJ19" s="103">
        <f>IF(AI18=0,"",AJ18/AI18-1)</f>
        <v/>
      </c>
    </row>
    <row r="20" ht="15" customHeight="1" s="83">
      <c r="A20" s="94" t="inlineStr">
        <is>
          <t xml:space="preserve">   Net financial expense (NFE)  [imputed]</t>
        </is>
      </c>
      <c r="C20" s="95">
        <f>_Actuals!C20</f>
        <v/>
      </c>
      <c r="D20" s="95">
        <f>_Actuals!D20</f>
        <v/>
      </c>
      <c r="E20" s="95">
        <f>_Actuals!E20</f>
        <v/>
      </c>
      <c r="F20" s="95">
        <f>_Actuals!F20</f>
        <v/>
      </c>
      <c r="G20" s="96">
        <f>G62*F47</f>
        <v/>
      </c>
      <c r="H20" s="97">
        <f>H62*G47</f>
        <v/>
      </c>
      <c r="I20" s="97">
        <f>I62*H47</f>
        <v/>
      </c>
      <c r="J20" s="97">
        <f>J62*I47</f>
        <v/>
      </c>
      <c r="K20" s="97">
        <f>K62*J47</f>
        <v/>
      </c>
      <c r="L20" s="97">
        <f>L62*K47</f>
        <v/>
      </c>
      <c r="M20" s="97">
        <f>M62*L47</f>
        <v/>
      </c>
      <c r="N20" s="97">
        <f>N62*M47</f>
        <v/>
      </c>
      <c r="O20" s="97">
        <f>O62*N47</f>
        <v/>
      </c>
      <c r="P20" s="97">
        <f>P62*O47</f>
        <v/>
      </c>
      <c r="Q20" s="97">
        <f>Q62*P47</f>
        <v/>
      </c>
      <c r="R20" s="97">
        <f>R62*Q47</f>
        <v/>
      </c>
      <c r="S20" s="97">
        <f>S62*R47</f>
        <v/>
      </c>
      <c r="T20" s="97">
        <f>T62*S47</f>
        <v/>
      </c>
      <c r="U20" s="97">
        <f>U62*T47</f>
        <v/>
      </c>
      <c r="V20" s="97">
        <f>V62*U47</f>
        <v/>
      </c>
      <c r="W20" s="97">
        <f>W62*V47</f>
        <v/>
      </c>
      <c r="X20" s="97">
        <f>X62*W47</f>
        <v/>
      </c>
      <c r="Y20" s="97">
        <f>Y62*X47</f>
        <v/>
      </c>
      <c r="Z20" s="97">
        <f>Z62*Y47</f>
        <v/>
      </c>
      <c r="AA20" s="97">
        <f>AA62*Z47</f>
        <v/>
      </c>
      <c r="AB20" s="97">
        <f>AB62*AA47</f>
        <v/>
      </c>
      <c r="AC20" s="97">
        <f>AC62*AB47</f>
        <v/>
      </c>
      <c r="AD20" s="97">
        <f>AD62*AC47</f>
        <v/>
      </c>
      <c r="AE20" s="97">
        <f>AE62*AD47</f>
        <v/>
      </c>
      <c r="AF20" s="97">
        <f>AF62*AE47</f>
        <v/>
      </c>
      <c r="AG20" s="97">
        <f>AG62*AF47</f>
        <v/>
      </c>
      <c r="AH20" s="97">
        <f>AH62*AG47</f>
        <v/>
      </c>
      <c r="AI20" s="97">
        <f>AI62*AH47</f>
        <v/>
      </c>
      <c r="AJ20" s="97">
        <f>AJ62*AI47</f>
        <v/>
      </c>
    </row>
    <row r="21" ht="15" customHeight="1" s="83">
      <c r="A21" s="94" t="inlineStr">
        <is>
          <t>Net income (comprehensive)</t>
        </is>
      </c>
      <c r="C21" s="95">
        <f>_Actuals!C21</f>
        <v/>
      </c>
      <c r="D21" s="95">
        <f>_Actuals!D21</f>
        <v/>
      </c>
      <c r="E21" s="95">
        <f>_Actuals!E21</f>
        <v/>
      </c>
      <c r="F21" s="95">
        <f>_Actuals!F21</f>
        <v/>
      </c>
      <c r="G21" s="96">
        <f>G18-G20</f>
        <v/>
      </c>
      <c r="H21" s="97">
        <f>H18-H20</f>
        <v/>
      </c>
      <c r="I21" s="97">
        <f>I18-I20</f>
        <v/>
      </c>
      <c r="J21" s="97">
        <f>J18-J20</f>
        <v/>
      </c>
      <c r="K21" s="97">
        <f>K18-K20</f>
        <v/>
      </c>
      <c r="L21" s="97">
        <f>L18-L20</f>
        <v/>
      </c>
      <c r="M21" s="97">
        <f>M18-M20</f>
        <v/>
      </c>
      <c r="N21" s="97">
        <f>N18-N20</f>
        <v/>
      </c>
      <c r="O21" s="97">
        <f>O18-O20</f>
        <v/>
      </c>
      <c r="P21" s="97">
        <f>P18-P20</f>
        <v/>
      </c>
      <c r="Q21" s="97">
        <f>Q18-Q20</f>
        <v/>
      </c>
      <c r="R21" s="97">
        <f>R18-R20</f>
        <v/>
      </c>
      <c r="S21" s="97">
        <f>S18-S20</f>
        <v/>
      </c>
      <c r="T21" s="97">
        <f>T18-T20</f>
        <v/>
      </c>
      <c r="U21" s="97">
        <f>U18-U20</f>
        <v/>
      </c>
      <c r="V21" s="97">
        <f>V18-V20</f>
        <v/>
      </c>
      <c r="W21" s="97">
        <f>W18-W20</f>
        <v/>
      </c>
      <c r="X21" s="97">
        <f>X18-X20</f>
        <v/>
      </c>
      <c r="Y21" s="97">
        <f>Y18-Y20</f>
        <v/>
      </c>
      <c r="Z21" s="97">
        <f>Z18-Z20</f>
        <v/>
      </c>
      <c r="AA21" s="97">
        <f>AA18-AA20</f>
        <v/>
      </c>
      <c r="AB21" s="97">
        <f>AB18-AB20</f>
        <v/>
      </c>
      <c r="AC21" s="97">
        <f>AC18-AC20</f>
        <v/>
      </c>
      <c r="AD21" s="97">
        <f>AD18-AD20</f>
        <v/>
      </c>
      <c r="AE21" s="97">
        <f>AE18-AE20</f>
        <v/>
      </c>
      <c r="AF21" s="97">
        <f>AF18-AF20</f>
        <v/>
      </c>
      <c r="AG21" s="97">
        <f>AG18-AG20</f>
        <v/>
      </c>
      <c r="AH21" s="97">
        <f>AH18-AH20</f>
        <v/>
      </c>
      <c r="AI21" s="97">
        <f>AI18-AI20</f>
        <v/>
      </c>
      <c r="AJ21" s="97">
        <f>AJ18-AJ20</f>
        <v/>
      </c>
    </row>
    <row r="22" ht="15" customHeight="1" s="83">
      <c r="A22" s="98" t="inlineStr">
        <is>
          <t xml:space="preserve">   growth</t>
        </is>
      </c>
      <c r="C22" s="99" t="n"/>
      <c r="D22" s="99">
        <f>IF(C21=0,"",D21/C21-1)</f>
        <v/>
      </c>
      <c r="E22" s="99">
        <f>IF(D21=0,"",E21/D21-1)</f>
        <v/>
      </c>
      <c r="F22" s="99">
        <f>IF(E21=0,"",F21/E21-1)</f>
        <v/>
      </c>
      <c r="G22" s="102">
        <f>IF(F21=0,"",G21/F21-1)</f>
        <v/>
      </c>
      <c r="H22" s="103">
        <f>IF(G21=0,"",H21/G21-1)</f>
        <v/>
      </c>
      <c r="I22" s="103">
        <f>IF(H21=0,"",I21/H21-1)</f>
        <v/>
      </c>
      <c r="J22" s="103">
        <f>IF(I21=0,"",J21/I21-1)</f>
        <v/>
      </c>
      <c r="K22" s="103">
        <f>IF(J21=0,"",K21/J21-1)</f>
        <v/>
      </c>
      <c r="L22" s="103">
        <f>IF(K21=0,"",L21/K21-1)</f>
        <v/>
      </c>
      <c r="M22" s="103">
        <f>IF(L21=0,"",M21/L21-1)</f>
        <v/>
      </c>
      <c r="N22" s="103">
        <f>IF(M21=0,"",N21/M21-1)</f>
        <v/>
      </c>
      <c r="O22" s="103">
        <f>IF(N21=0,"",O21/N21-1)</f>
        <v/>
      </c>
      <c r="P22" s="103">
        <f>IF(O21=0,"",P21/O21-1)</f>
        <v/>
      </c>
      <c r="Q22" s="103">
        <f>IF(P21=0,"",Q21/P21-1)</f>
        <v/>
      </c>
      <c r="R22" s="103">
        <f>IF(Q21=0,"",R21/Q21-1)</f>
        <v/>
      </c>
      <c r="S22" s="103">
        <f>IF(R21=0,"",S21/R21-1)</f>
        <v/>
      </c>
      <c r="T22" s="103">
        <f>IF(S21=0,"",T21/S21-1)</f>
        <v/>
      </c>
      <c r="U22" s="103">
        <f>IF(T21=0,"",U21/T21-1)</f>
        <v/>
      </c>
      <c r="V22" s="103">
        <f>IF(U21=0,"",V21/U21-1)</f>
        <v/>
      </c>
      <c r="W22" s="103">
        <f>IF(V21=0,"",W21/V21-1)</f>
        <v/>
      </c>
      <c r="X22" s="103">
        <f>IF(W21=0,"",X21/W21-1)</f>
        <v/>
      </c>
      <c r="Y22" s="103">
        <f>IF(X21=0,"",Y21/X21-1)</f>
        <v/>
      </c>
      <c r="Z22" s="103">
        <f>IF(Y21=0,"",Z21/Y21-1)</f>
        <v/>
      </c>
      <c r="AA22" s="103">
        <f>IF(Z21=0,"",AA21/Z21-1)</f>
        <v/>
      </c>
      <c r="AB22" s="103">
        <f>IF(AA21=0,"",AB21/AA21-1)</f>
        <v/>
      </c>
      <c r="AC22" s="103">
        <f>IF(AB21=0,"",AC21/AB21-1)</f>
        <v/>
      </c>
      <c r="AD22" s="103">
        <f>IF(AC21=0,"",AD21/AC21-1)</f>
        <v/>
      </c>
      <c r="AE22" s="103">
        <f>IF(AD21=0,"",AE21/AD21-1)</f>
        <v/>
      </c>
      <c r="AF22" s="103">
        <f>IF(AE21=0,"",AF21/AE21-1)</f>
        <v/>
      </c>
      <c r="AG22" s="103">
        <f>IF(AF21=0,"",AG21/AF21-1)</f>
        <v/>
      </c>
      <c r="AH22" s="103">
        <f>IF(AG21=0,"",AH21/AG21-1)</f>
        <v/>
      </c>
      <c r="AI22" s="103">
        <f>IF(AH21=0,"",AI21/AH21-1)</f>
        <v/>
      </c>
      <c r="AJ22" s="103">
        <f>IF(AI21=0,"",AJ21/AI21-1)</f>
        <v/>
      </c>
    </row>
    <row r="23" ht="15" customHeight="1" s="83">
      <c r="A23" s="94" t="inlineStr">
        <is>
          <t xml:space="preserve">   Shares outstanding (mm)</t>
        </is>
      </c>
      <c r="C23" s="104">
        <f>_Actuals!C23</f>
        <v/>
      </c>
      <c r="D23" s="104">
        <f>_Actuals!D23</f>
        <v/>
      </c>
      <c r="E23" s="104">
        <f>_Actuals!E23</f>
        <v/>
      </c>
      <c r="F23" s="104">
        <f>_Actuals!F23</f>
        <v/>
      </c>
      <c r="G23" s="105">
        <f>IF($C$2="Enterprise",F23*(1-G24),F23)</f>
        <v/>
      </c>
      <c r="H23" s="106">
        <f>IF($C$2="Enterprise",G23*(1-H24),G23)</f>
        <v/>
      </c>
      <c r="I23" s="106">
        <f>IF($C$2="Enterprise",H23*(1-I24),H23)</f>
        <v/>
      </c>
      <c r="J23" s="106">
        <f>IF($C$2="Enterprise",I23*(1-J24),I23)</f>
        <v/>
      </c>
      <c r="K23" s="106">
        <f>IF($C$2="Enterprise",J23*(1-K24),J23)</f>
        <v/>
      </c>
      <c r="L23" s="106">
        <f>IF($C$2="Enterprise",K23*(1-L24),K23)</f>
        <v/>
      </c>
      <c r="M23" s="106">
        <f>IF($C$2="Enterprise",L23*(1-M24),L23)</f>
        <v/>
      </c>
      <c r="N23" s="106">
        <f>IF($C$2="Enterprise",M23*(1-N24),M23)</f>
        <v/>
      </c>
      <c r="O23" s="106">
        <f>IF($C$2="Enterprise",N23*(1-O24),N23)</f>
        <v/>
      </c>
      <c r="P23" s="106">
        <f>IF($C$2="Enterprise",O23*(1-P24),O23)</f>
        <v/>
      </c>
      <c r="Q23" s="106">
        <f>IF($C$2="Enterprise",P23*(1-Q24),P23)</f>
        <v/>
      </c>
      <c r="R23" s="106">
        <f>IF($C$2="Enterprise",Q23*(1-R24),Q23)</f>
        <v/>
      </c>
      <c r="S23" s="106">
        <f>IF($C$2="Enterprise",R23*(1-S24),R23)</f>
        <v/>
      </c>
      <c r="T23" s="106">
        <f>IF($C$2="Enterprise",S23*(1-T24),S23)</f>
        <v/>
      </c>
      <c r="U23" s="106">
        <f>IF($C$2="Enterprise",T23*(1-U24),T23)</f>
        <v/>
      </c>
      <c r="V23" s="106">
        <f>IF($C$2="Enterprise",U23*(1-V24),U23)</f>
        <v/>
      </c>
      <c r="W23" s="106">
        <f>IF($C$2="Enterprise",V23*(1-W24),V23)</f>
        <v/>
      </c>
      <c r="X23" s="106">
        <f>IF($C$2="Enterprise",W23*(1-X24),W23)</f>
        <v/>
      </c>
      <c r="Y23" s="106">
        <f>IF($C$2="Enterprise",X23*(1-Y24),X23)</f>
        <v/>
      </c>
      <c r="Z23" s="106">
        <f>IF($C$2="Enterprise",Y23*(1-Z24),Y23)</f>
        <v/>
      </c>
      <c r="AA23" s="106">
        <f>IF($C$2="Enterprise",Z23*(1-AA24),Z23)</f>
        <v/>
      </c>
      <c r="AB23" s="106">
        <f>IF($C$2="Enterprise",AA23*(1-AB24),AA23)</f>
        <v/>
      </c>
      <c r="AC23" s="106">
        <f>IF($C$2="Enterprise",AB23*(1-AC24),AB23)</f>
        <v/>
      </c>
      <c r="AD23" s="106">
        <f>IF($C$2="Enterprise",AC23*(1-AD24),AC23)</f>
        <v/>
      </c>
      <c r="AE23" s="106">
        <f>IF($C$2="Enterprise",AD23*(1-AE24),AD23)</f>
        <v/>
      </c>
      <c r="AF23" s="106">
        <f>IF($C$2="Enterprise",AE23*(1-AF24),AE23)</f>
        <v/>
      </c>
      <c r="AG23" s="106">
        <f>IF($C$2="Enterprise",AF23*(1-AG24),AF23)</f>
        <v/>
      </c>
      <c r="AH23" s="106">
        <f>IF($C$2="Enterprise",AG23*(1-AH24),AG23)</f>
        <v/>
      </c>
      <c r="AI23" s="106">
        <f>IF($C$2="Enterprise",AH23*(1-AI24),AH23)</f>
        <v/>
      </c>
      <c r="AJ23" s="106">
        <f>IF($C$2="Enterprise",AI23*(1-AJ24),AI23)</f>
        <v/>
      </c>
    </row>
    <row r="24" ht="15" customHeight="1" s="83">
      <c r="A24" s="98" t="inlineStr">
        <is>
          <t xml:space="preserve">      change</t>
        </is>
      </c>
      <c r="C24" s="99" t="n"/>
      <c r="D24" s="99">
        <f>IF(C23=0,"",D23/C23-1)</f>
        <v/>
      </c>
      <c r="E24" s="99">
        <f>IF(D23=0,"",E23/D23-1)</f>
        <v/>
      </c>
      <c r="F24" s="99">
        <f>IF(E23=0,"",F23/E23-1)</f>
        <v/>
      </c>
      <c r="G24" s="100" t="n"/>
      <c r="H24" s="101">
        <f>G24</f>
        <v/>
      </c>
      <c r="I24" s="101">
        <f>H24</f>
        <v/>
      </c>
      <c r="J24" s="101">
        <f>I24</f>
        <v/>
      </c>
      <c r="K24" s="101">
        <f>J24</f>
        <v/>
      </c>
      <c r="L24" s="101">
        <f>K24</f>
        <v/>
      </c>
      <c r="M24" s="101">
        <f>L24</f>
        <v/>
      </c>
      <c r="N24" s="101">
        <f>M24</f>
        <v/>
      </c>
      <c r="O24" s="101">
        <f>N24</f>
        <v/>
      </c>
      <c r="P24" s="101">
        <f>O24</f>
        <v/>
      </c>
      <c r="Q24" s="101">
        <f>P24</f>
        <v/>
      </c>
      <c r="R24" s="101">
        <f>Q24</f>
        <v/>
      </c>
      <c r="S24" s="101">
        <f>R24</f>
        <v/>
      </c>
      <c r="T24" s="101">
        <f>S24</f>
        <v/>
      </c>
      <c r="U24" s="101">
        <f>T24</f>
        <v/>
      </c>
      <c r="V24" s="101">
        <f>U24</f>
        <v/>
      </c>
      <c r="W24" s="101">
        <f>V24</f>
        <v/>
      </c>
      <c r="X24" s="101">
        <f>W24</f>
        <v/>
      </c>
      <c r="Y24" s="101">
        <f>X24</f>
        <v/>
      </c>
      <c r="Z24" s="101">
        <f>Y24</f>
        <v/>
      </c>
      <c r="AA24" s="101">
        <f>Z24</f>
        <v/>
      </c>
      <c r="AB24" s="101">
        <f>AA24</f>
        <v/>
      </c>
      <c r="AC24" s="101">
        <f>AB24</f>
        <v/>
      </c>
      <c r="AD24" s="101">
        <f>AC24</f>
        <v/>
      </c>
      <c r="AE24" s="101">
        <f>AD24</f>
        <v/>
      </c>
      <c r="AF24" s="101">
        <f>AE24</f>
        <v/>
      </c>
      <c r="AG24" s="101">
        <f>AF24</f>
        <v/>
      </c>
      <c r="AH24" s="101">
        <f>AG24</f>
        <v/>
      </c>
      <c r="AI24" s="101">
        <f>AH24</f>
        <v/>
      </c>
      <c r="AJ24" s="101">
        <f>AI24</f>
        <v/>
      </c>
    </row>
    <row r="25" ht="15" customHeight="1" s="83">
      <c r="A25" s="94" t="inlineStr">
        <is>
          <t>Earnings per share (EPS = NI ÷ shares)   ← required</t>
        </is>
      </c>
      <c r="C25" s="107">
        <f>_Actuals!C25</f>
        <v/>
      </c>
      <c r="D25" s="107">
        <f>_Actuals!D25</f>
        <v/>
      </c>
      <c r="E25" s="107">
        <f>_Actuals!E25</f>
        <v/>
      </c>
      <c r="F25" s="107">
        <f>_Actuals!F25</f>
        <v/>
      </c>
      <c r="G25" s="108">
        <f>G21/G23</f>
        <v/>
      </c>
      <c r="H25" s="109">
        <f>H21/H23</f>
        <v/>
      </c>
      <c r="I25" s="109">
        <f>I21/I23</f>
        <v/>
      </c>
      <c r="J25" s="109">
        <f>J21/J23</f>
        <v/>
      </c>
      <c r="K25" s="109">
        <f>K21/K23</f>
        <v/>
      </c>
      <c r="L25" s="109">
        <f>L21/L23</f>
        <v/>
      </c>
      <c r="M25" s="109">
        <f>M21/M23</f>
        <v/>
      </c>
      <c r="N25" s="109">
        <f>N21/N23</f>
        <v/>
      </c>
      <c r="O25" s="109">
        <f>O21/O23</f>
        <v/>
      </c>
      <c r="P25" s="109">
        <f>P21/P23</f>
        <v/>
      </c>
      <c r="Q25" s="109">
        <f>Q21/Q23</f>
        <v/>
      </c>
      <c r="R25" s="109">
        <f>R21/R23</f>
        <v/>
      </c>
      <c r="S25" s="109">
        <f>S21/S23</f>
        <v/>
      </c>
      <c r="T25" s="109">
        <f>T21/T23</f>
        <v/>
      </c>
      <c r="U25" s="109">
        <f>U21/U23</f>
        <v/>
      </c>
      <c r="V25" s="109">
        <f>V21/V23</f>
        <v/>
      </c>
      <c r="W25" s="109">
        <f>W21/W23</f>
        <v/>
      </c>
      <c r="X25" s="109">
        <f>X21/X23</f>
        <v/>
      </c>
      <c r="Y25" s="109">
        <f>Y21/Y23</f>
        <v/>
      </c>
      <c r="Z25" s="109">
        <f>Z21/Z23</f>
        <v/>
      </c>
      <c r="AA25" s="109">
        <f>AA21/AA23</f>
        <v/>
      </c>
      <c r="AB25" s="109">
        <f>AB21/AB23</f>
        <v/>
      </c>
      <c r="AC25" s="109">
        <f>AC21/AC23</f>
        <v/>
      </c>
      <c r="AD25" s="109">
        <f>AD21/AD23</f>
        <v/>
      </c>
      <c r="AE25" s="109">
        <f>AE21/AE23</f>
        <v/>
      </c>
      <c r="AF25" s="109">
        <f>AF21/AF23</f>
        <v/>
      </c>
      <c r="AG25" s="109">
        <f>AG21/AG23</f>
        <v/>
      </c>
      <c r="AH25" s="109">
        <f>AH21/AH23</f>
        <v/>
      </c>
      <c r="AI25" s="109">
        <f>AI21/AI23</f>
        <v/>
      </c>
      <c r="AJ25" s="110">
        <f>AJ21/AJ23</f>
        <v/>
      </c>
    </row>
    <row r="26" ht="15" customHeight="1" s="83">
      <c r="A26" s="98" t="inlineStr">
        <is>
          <t xml:space="preserve">   growth</t>
        </is>
      </c>
      <c r="C26" s="99" t="n"/>
      <c r="D26" s="99">
        <f>IF(C25=0,"",D25/C25-1)</f>
        <v/>
      </c>
      <c r="E26" s="99">
        <f>IF(D25=0,"",E25/D25-1)</f>
        <v/>
      </c>
      <c r="F26" s="99">
        <f>IF(E25=0,"",F25/E25-1)</f>
        <v/>
      </c>
      <c r="G26" s="102">
        <f>IF(F25=0,"",G25/F25-1)</f>
        <v/>
      </c>
      <c r="H26" s="103">
        <f>IF(G25=0,"",H25/G25-1)</f>
        <v/>
      </c>
      <c r="I26" s="103">
        <f>IF(H25=0,"",I25/H25-1)</f>
        <v/>
      </c>
      <c r="J26" s="103">
        <f>IF(I25=0,"",J25/I25-1)</f>
        <v/>
      </c>
      <c r="K26" s="103">
        <f>IF(J25=0,"",K25/J25-1)</f>
        <v/>
      </c>
      <c r="L26" s="103">
        <f>IF(K25=0,"",L25/K25-1)</f>
        <v/>
      </c>
      <c r="M26" s="103">
        <f>IF(L25=0,"",M25/L25-1)</f>
        <v/>
      </c>
      <c r="N26" s="103">
        <f>IF(M25=0,"",N25/M25-1)</f>
        <v/>
      </c>
      <c r="O26" s="103">
        <f>IF(N25=0,"",O25/N25-1)</f>
        <v/>
      </c>
      <c r="P26" s="103">
        <f>IF(O25=0,"",P25/O25-1)</f>
        <v/>
      </c>
      <c r="Q26" s="103">
        <f>IF(P25=0,"",Q25/P25-1)</f>
        <v/>
      </c>
      <c r="R26" s="103">
        <f>IF(Q25=0,"",R25/Q25-1)</f>
        <v/>
      </c>
      <c r="S26" s="103">
        <f>IF(R25=0,"",S25/R25-1)</f>
        <v/>
      </c>
      <c r="T26" s="103">
        <f>IF(S25=0,"",T25/S25-1)</f>
        <v/>
      </c>
      <c r="U26" s="103">
        <f>IF(T25=0,"",U25/T25-1)</f>
        <v/>
      </c>
      <c r="V26" s="103">
        <f>IF(U25=0,"",V25/U25-1)</f>
        <v/>
      </c>
      <c r="W26" s="103">
        <f>IF(V25=0,"",W25/V25-1)</f>
        <v/>
      </c>
      <c r="X26" s="103">
        <f>IF(W25=0,"",X25/W25-1)</f>
        <v/>
      </c>
      <c r="Y26" s="103">
        <f>IF(X25=0,"",Y25/X25-1)</f>
        <v/>
      </c>
      <c r="Z26" s="103">
        <f>IF(Y25=0,"",Z25/Y25-1)</f>
        <v/>
      </c>
      <c r="AA26" s="103">
        <f>IF(Z25=0,"",AA25/Z25-1)</f>
        <v/>
      </c>
      <c r="AB26" s="103">
        <f>IF(AA25=0,"",AB25/AA25-1)</f>
        <v/>
      </c>
      <c r="AC26" s="103">
        <f>IF(AB25=0,"",AC25/AB25-1)</f>
        <v/>
      </c>
      <c r="AD26" s="103">
        <f>IF(AC25=0,"",AD25/AC25-1)</f>
        <v/>
      </c>
      <c r="AE26" s="103">
        <f>IF(AD25=0,"",AE25/AD25-1)</f>
        <v/>
      </c>
      <c r="AF26" s="103">
        <f>IF(AE25=0,"",AF25/AE25-1)</f>
        <v/>
      </c>
      <c r="AG26" s="103">
        <f>IF(AF25=0,"",AG25/AF25-1)</f>
        <v/>
      </c>
      <c r="AH26" s="103">
        <f>IF(AG25=0,"",AH25/AG25-1)</f>
        <v/>
      </c>
      <c r="AI26" s="103">
        <f>IF(AH25=0,"",AI25/AH25-1)</f>
        <v/>
      </c>
      <c r="AJ26" s="103">
        <f>IF(AI25=0,"",AJ25/AI25-1)</f>
        <v/>
      </c>
    </row>
    <row r="27" ht="15" customHeight="1" s="83">
      <c r="A27" s="92" t="inlineStr">
        <is>
          <t xml:space="preserve">  DISTRIBUTIONS</t>
        </is>
      </c>
      <c r="G27" s="93" t="n"/>
    </row>
    <row r="28" ht="15" customHeight="1" s="83">
      <c r="A28" s="94" t="inlineStr">
        <is>
          <t>Dividends per share (DPS)   ← required</t>
        </is>
      </c>
      <c r="C28" s="107">
        <f>_Actuals!C28</f>
        <v/>
      </c>
      <c r="D28" s="107">
        <f>_Actuals!D28</f>
        <v/>
      </c>
      <c r="E28" s="107">
        <f>_Actuals!E28</f>
        <v/>
      </c>
      <c r="F28" s="107">
        <f>_Actuals!F28</f>
        <v/>
      </c>
      <c r="G28" s="108">
        <f>IF($C$2="Enterprise",IF(G23=0,"",(G21-(G48-F48)-G31)/G23),$E$2*G25)</f>
        <v/>
      </c>
      <c r="H28" s="109">
        <f>IF($C$2="Enterprise",IF(H23=0,"",(H21-(H48-G48)-H31)/H23),$E$2*H25)</f>
        <v/>
      </c>
      <c r="I28" s="109">
        <f>IF($C$2="Enterprise",IF(I23=0,"",(I21-(I48-H48)-I31)/I23),$E$2*I25)</f>
        <v/>
      </c>
      <c r="J28" s="109">
        <f>IF($C$2="Enterprise",IF(J23=0,"",(J21-(J48-I48)-J31)/J23),$E$2*J25)</f>
        <v/>
      </c>
      <c r="K28" s="109">
        <f>IF($C$2="Enterprise",IF(K23=0,"",(K21-(K48-J48)-K31)/K23),$E$2*K25)</f>
        <v/>
      </c>
      <c r="L28" s="109">
        <f>IF($C$2="Enterprise",IF(L23=0,"",(L21-(L48-K48)-L31)/L23),$E$2*L25)</f>
        <v/>
      </c>
      <c r="M28" s="109">
        <f>IF($C$2="Enterprise",IF(M23=0,"",(M21-(M48-L48)-M31)/M23),$E$2*M25)</f>
        <v/>
      </c>
      <c r="N28" s="109">
        <f>IF($C$2="Enterprise",IF(N23=0,"",(N21-(N48-M48)-N31)/N23),$E$2*N25)</f>
        <v/>
      </c>
      <c r="O28" s="109">
        <f>IF($C$2="Enterprise",IF(O23=0,"",(O21-(O48-N48)-O31)/O23),$E$2*O25)</f>
        <v/>
      </c>
      <c r="P28" s="109">
        <f>IF($C$2="Enterprise",IF(P23=0,"",(P21-(P48-O48)-P31)/P23),$E$2*P25)</f>
        <v/>
      </c>
      <c r="Q28" s="109">
        <f>IF($C$2="Enterprise",IF(Q23=0,"",(Q21-(Q48-P48)-Q31)/Q23),$E$2*Q25)</f>
        <v/>
      </c>
      <c r="R28" s="109">
        <f>IF($C$2="Enterprise",IF(R23=0,"",(R21-(R48-Q48)-R31)/R23),$E$2*R25)</f>
        <v/>
      </c>
      <c r="S28" s="109">
        <f>IF($C$2="Enterprise",IF(S23=0,"",(S21-(S48-R48)-S31)/S23),$E$2*S25)</f>
        <v/>
      </c>
      <c r="T28" s="109">
        <f>IF($C$2="Enterprise",IF(T23=0,"",(T21-(T48-S48)-T31)/T23),$E$2*T25)</f>
        <v/>
      </c>
      <c r="U28" s="109">
        <f>IF($C$2="Enterprise",IF(U23=0,"",(U21-(U48-T48)-U31)/U23),$E$2*U25)</f>
        <v/>
      </c>
      <c r="V28" s="109">
        <f>IF($C$2="Enterprise",IF(V23=0,"",(V21-(V48-U48)-V31)/V23),$E$2*V25)</f>
        <v/>
      </c>
      <c r="W28" s="109">
        <f>IF($C$2="Enterprise",IF(W23=0,"",(W21-(W48-V48)-W31)/W23),$E$2*W25)</f>
        <v/>
      </c>
      <c r="X28" s="109">
        <f>IF($C$2="Enterprise",IF(X23=0,"",(X21-(X48-W48)-X31)/X23),$E$2*X25)</f>
        <v/>
      </c>
      <c r="Y28" s="109">
        <f>IF($C$2="Enterprise",IF(Y23=0,"",(Y21-(Y48-X48)-Y31)/Y23),$E$2*Y25)</f>
        <v/>
      </c>
      <c r="Z28" s="109">
        <f>IF($C$2="Enterprise",IF(Z23=0,"",(Z21-(Z48-Y48)-Z31)/Z23),$E$2*Z25)</f>
        <v/>
      </c>
      <c r="AA28" s="109">
        <f>IF($C$2="Enterprise",IF(AA23=0,"",(AA21-(AA48-Z48)-AA31)/AA23),$E$2*AA25)</f>
        <v/>
      </c>
      <c r="AB28" s="109">
        <f>IF($C$2="Enterprise",IF(AB23=0,"",(AB21-(AB48-AA48)-AB31)/AB23),$E$2*AB25)</f>
        <v/>
      </c>
      <c r="AC28" s="109">
        <f>IF($C$2="Enterprise",IF(AC23=0,"",(AC21-(AC48-AB48)-AC31)/AC23),$E$2*AC25)</f>
        <v/>
      </c>
      <c r="AD28" s="109">
        <f>IF($C$2="Enterprise",IF(AD23=0,"",(AD21-(AD48-AC48)-AD31)/AD23),$E$2*AD25)</f>
        <v/>
      </c>
      <c r="AE28" s="109">
        <f>IF($C$2="Enterprise",IF(AE23=0,"",(AE21-(AE48-AD48)-AE31)/AE23),$E$2*AE25)</f>
        <v/>
      </c>
      <c r="AF28" s="109">
        <f>IF($C$2="Enterprise",IF(AF23=0,"",(AF21-(AF48-AE48)-AF31)/AF23),$E$2*AF25)</f>
        <v/>
      </c>
      <c r="AG28" s="109">
        <f>IF($C$2="Enterprise",IF(AG23=0,"",(AG21-(AG48-AF48)-AG31)/AG23),$E$2*AG25)</f>
        <v/>
      </c>
      <c r="AH28" s="109">
        <f>IF($C$2="Enterprise",IF(AH23=0,"",(AH21-(AH48-AG48)-AH31)/AH23),$E$2*AH25)</f>
        <v/>
      </c>
      <c r="AI28" s="109">
        <f>IF($C$2="Enterprise",IF(AI23=0,"",(AI21-(AI48-AH48)-AI31)/AI23),$E$2*AI25)</f>
        <v/>
      </c>
      <c r="AJ28" s="110">
        <f>IF($C$2="Enterprise",IF(AJ23=0,"",(AJ21-(AJ48-AI48)-AJ31)/AJ23),$E$2*AJ25)</f>
        <v/>
      </c>
    </row>
    <row r="29" ht="15" customHeight="1" s="83">
      <c r="A29" s="98" t="inlineStr">
        <is>
          <t xml:space="preserve">   payout ratio</t>
        </is>
      </c>
      <c r="C29" s="99">
        <f>IF(C25=0,"",C28/C25)</f>
        <v/>
      </c>
      <c r="D29" s="99">
        <f>IF(D25=0,"",D28/D25)</f>
        <v/>
      </c>
      <c r="E29" s="99">
        <f>IF(E25=0,"",E28/E25)</f>
        <v/>
      </c>
      <c r="F29" s="99">
        <f>IF(F25=0,"",F28/F25)</f>
        <v/>
      </c>
      <c r="G29" s="102">
        <f>IF(G25=0,"",G28/G25)</f>
        <v/>
      </c>
      <c r="H29" s="103">
        <f>IF(H25=0,"",H28/H25)</f>
        <v/>
      </c>
      <c r="I29" s="103">
        <f>IF(I25=0,"",I28/I25)</f>
        <v/>
      </c>
      <c r="J29" s="103">
        <f>IF(J25=0,"",J28/J25)</f>
        <v/>
      </c>
      <c r="K29" s="103">
        <f>IF(K25=0,"",K28/K25)</f>
        <v/>
      </c>
      <c r="L29" s="103">
        <f>IF(L25=0,"",L28/L25)</f>
        <v/>
      </c>
      <c r="M29" s="103">
        <f>IF(M25=0,"",M28/M25)</f>
        <v/>
      </c>
      <c r="N29" s="103">
        <f>IF(N25=0,"",N28/N25)</f>
        <v/>
      </c>
      <c r="O29" s="103">
        <f>IF(O25=0,"",O28/O25)</f>
        <v/>
      </c>
      <c r="P29" s="103">
        <f>IF(P25=0,"",P28/P25)</f>
        <v/>
      </c>
      <c r="Q29" s="103">
        <f>IF(Q25=0,"",Q28/Q25)</f>
        <v/>
      </c>
      <c r="R29" s="103">
        <f>IF(R25=0,"",R28/R25)</f>
        <v/>
      </c>
      <c r="S29" s="103">
        <f>IF(S25=0,"",S28/S25)</f>
        <v/>
      </c>
      <c r="T29" s="103">
        <f>IF(T25=0,"",T28/T25)</f>
        <v/>
      </c>
      <c r="U29" s="103">
        <f>IF(U25=0,"",U28/U25)</f>
        <v/>
      </c>
      <c r="V29" s="103">
        <f>IF(V25=0,"",V28/V25)</f>
        <v/>
      </c>
      <c r="W29" s="103">
        <f>IF(W25=0,"",W28/W25)</f>
        <v/>
      </c>
      <c r="X29" s="103">
        <f>IF(X25=0,"",X28/X25)</f>
        <v/>
      </c>
      <c r="Y29" s="103">
        <f>IF(Y25=0,"",Y28/Y25)</f>
        <v/>
      </c>
      <c r="Z29" s="103">
        <f>IF(Z25=0,"",Z28/Z25)</f>
        <v/>
      </c>
      <c r="AA29" s="103">
        <f>IF(AA25=0,"",AA28/AA25)</f>
        <v/>
      </c>
      <c r="AB29" s="103">
        <f>IF(AB25=0,"",AB28/AB25)</f>
        <v/>
      </c>
      <c r="AC29" s="103">
        <f>IF(AC25=0,"",AC28/AC25)</f>
        <v/>
      </c>
      <c r="AD29" s="103">
        <f>IF(AD25=0,"",AD28/AD25)</f>
        <v/>
      </c>
      <c r="AE29" s="103">
        <f>IF(AE25=0,"",AE28/AE25)</f>
        <v/>
      </c>
      <c r="AF29" s="103">
        <f>IF(AF25=0,"",AF28/AF25)</f>
        <v/>
      </c>
      <c r="AG29" s="103">
        <f>IF(AG25=0,"",AG28/AG25)</f>
        <v/>
      </c>
      <c r="AH29" s="103">
        <f>IF(AH25=0,"",AH28/AH25)</f>
        <v/>
      </c>
      <c r="AI29" s="103">
        <f>IF(AI25=0,"",AI28/AI25)</f>
        <v/>
      </c>
      <c r="AJ29" s="103">
        <f>IF(AJ25=0,"",AJ28/AJ25)</f>
        <v/>
      </c>
    </row>
    <row r="30" ht="15" customHeight="1" s="83">
      <c r="A30" s="111" t="inlineStr">
        <is>
          <t xml:space="preserve">   Share price  (constant P/B, off prior book)</t>
        </is>
      </c>
      <c r="B30" s="112" t="n"/>
      <c r="C30" s="112" t="n"/>
      <c r="D30" s="112" t="n"/>
      <c r="E30" s="112" t="n"/>
      <c r="F30" s="113" t="n">
        <v>21.12</v>
      </c>
      <c r="G30" s="114">
        <f>($F$30/($F$48/$F$23))*(F48/F23)</f>
        <v/>
      </c>
      <c r="H30" s="114">
        <f>($F$30/($F$48/$F$23))*(G48/G23)</f>
        <v/>
      </c>
      <c r="I30" s="114">
        <f>($F$30/($F$48/$F$23))*(H48/H23)</f>
        <v/>
      </c>
      <c r="J30" s="114">
        <f>($F$30/($F$48/$F$23))*(I48/I23)</f>
        <v/>
      </c>
      <c r="K30" s="114">
        <f>($F$30/($F$48/$F$23))*(J48/J23)</f>
        <v/>
      </c>
      <c r="L30" s="114">
        <f>($F$30/($F$48/$F$23))*(K48/K23)</f>
        <v/>
      </c>
      <c r="M30" s="114">
        <f>($F$30/($F$48/$F$23))*(L48/L23)</f>
        <v/>
      </c>
      <c r="N30" s="114">
        <f>($F$30/($F$48/$F$23))*(M48/M23)</f>
        <v/>
      </c>
      <c r="O30" s="114">
        <f>($F$30/($F$48/$F$23))*(N48/N23)</f>
        <v/>
      </c>
      <c r="P30" s="114">
        <f>($F$30/($F$48/$F$23))*(O48/O23)</f>
        <v/>
      </c>
      <c r="Q30" s="114">
        <f>($F$30/($F$48/$F$23))*(P48/P23)</f>
        <v/>
      </c>
      <c r="R30" s="114">
        <f>($F$30/($F$48/$F$23))*(Q48/Q23)</f>
        <v/>
      </c>
      <c r="S30" s="114">
        <f>($F$30/($F$48/$F$23))*(R48/R23)</f>
        <v/>
      </c>
      <c r="T30" s="114">
        <f>($F$30/($F$48/$F$23))*(S48/S23)</f>
        <v/>
      </c>
      <c r="U30" s="114">
        <f>($F$30/($F$48/$F$23))*(T48/T23)</f>
        <v/>
      </c>
      <c r="V30" s="114">
        <f>($F$30/($F$48/$F$23))*(U48/U23)</f>
        <v/>
      </c>
      <c r="W30" s="114">
        <f>($F$30/($F$48/$F$23))*(V48/V23)</f>
        <v/>
      </c>
      <c r="X30" s="114">
        <f>($F$30/($F$48/$F$23))*(W48/W23)</f>
        <v/>
      </c>
      <c r="Y30" s="114">
        <f>($F$30/($F$48/$F$23))*(X48/X23)</f>
        <v/>
      </c>
      <c r="Z30" s="114">
        <f>($F$30/($F$48/$F$23))*(Y48/Y23)</f>
        <v/>
      </c>
      <c r="AA30" s="114">
        <f>($F$30/($F$48/$F$23))*(Z48/Z23)</f>
        <v/>
      </c>
      <c r="AB30" s="114">
        <f>($F$30/($F$48/$F$23))*(AA48/AA23)</f>
        <v/>
      </c>
      <c r="AC30" s="114">
        <f>($F$30/($F$48/$F$23))*(AB48/AB23)</f>
        <v/>
      </c>
      <c r="AD30" s="114">
        <f>($F$30/($F$48/$F$23))*(AC48/AC23)</f>
        <v/>
      </c>
      <c r="AE30" s="114">
        <f>($F$30/($F$48/$F$23))*(AD48/AD23)</f>
        <v/>
      </c>
      <c r="AF30" s="114">
        <f>($F$30/($F$48/$F$23))*(AE48/AE23)</f>
        <v/>
      </c>
      <c r="AG30" s="114">
        <f>($F$30/($F$48/$F$23))*(AF48/AF23)</f>
        <v/>
      </c>
      <c r="AH30" s="114">
        <f>($F$30/($F$48/$F$23))*(AG48/AG23)</f>
        <v/>
      </c>
      <c r="AI30" s="114">
        <f>($F$30/($F$48/$F$23))*(AH48/AH23)</f>
        <v/>
      </c>
      <c r="AJ30" s="114">
        <f>($F$30/($F$48/$F$23))*(AI48/AI23)</f>
        <v/>
      </c>
    </row>
    <row r="31" ht="15" customHeight="1" s="83">
      <c r="A31" s="111" t="inlineStr">
        <is>
          <t xml:space="preserve">   Share repurchases ($) = shares retired × price</t>
        </is>
      </c>
      <c r="B31" s="112" t="n"/>
      <c r="C31" s="115" t="n"/>
      <c r="D31" s="115" t="n"/>
      <c r="E31" s="115" t="n"/>
      <c r="F31" s="115" t="n"/>
      <c r="G31" s="116">
        <f>(F23-G23)*G30</f>
        <v/>
      </c>
      <c r="H31" s="116">
        <f>(G23-H23)*H30</f>
        <v/>
      </c>
      <c r="I31" s="116">
        <f>(H23-I23)*I30</f>
        <v/>
      </c>
      <c r="J31" s="116">
        <f>(I23-J23)*J30</f>
        <v/>
      </c>
      <c r="K31" s="116">
        <f>(J23-K23)*K30</f>
        <v/>
      </c>
      <c r="L31" s="116">
        <f>(K23-L23)*L30</f>
        <v/>
      </c>
      <c r="M31" s="116">
        <f>(L23-M23)*M30</f>
        <v/>
      </c>
      <c r="N31" s="116">
        <f>(M23-N23)*N30</f>
        <v/>
      </c>
      <c r="O31" s="116">
        <f>(N23-O23)*O30</f>
        <v/>
      </c>
      <c r="P31" s="116">
        <f>(O23-P23)*P30</f>
        <v/>
      </c>
      <c r="Q31" s="116">
        <f>(P23-Q23)*Q30</f>
        <v/>
      </c>
      <c r="R31" s="116">
        <f>(Q23-R23)*R30</f>
        <v/>
      </c>
      <c r="S31" s="116">
        <f>(R23-S23)*S30</f>
        <v/>
      </c>
      <c r="T31" s="116">
        <f>(S23-T23)*T30</f>
        <v/>
      </c>
      <c r="U31" s="116">
        <f>(T23-U23)*U30</f>
        <v/>
      </c>
      <c r="V31" s="116">
        <f>(U23-V23)*V30</f>
        <v/>
      </c>
      <c r="W31" s="116">
        <f>(V23-W23)*W30</f>
        <v/>
      </c>
      <c r="X31" s="116">
        <f>(W23-X23)*X30</f>
        <v/>
      </c>
      <c r="Y31" s="116">
        <f>(X23-Y23)*Y30</f>
        <v/>
      </c>
      <c r="Z31" s="116">
        <f>(Y23-Z23)*Z30</f>
        <v/>
      </c>
      <c r="AA31" s="116">
        <f>(Z23-AA23)*AA30</f>
        <v/>
      </c>
      <c r="AB31" s="116">
        <f>(AA23-AB23)*AB30</f>
        <v/>
      </c>
      <c r="AC31" s="116">
        <f>(AB23-AC23)*AC30</f>
        <v/>
      </c>
      <c r="AD31" s="116">
        <f>(AC23-AD23)*AD30</f>
        <v/>
      </c>
      <c r="AE31" s="116">
        <f>(AD23-AE23)*AE30</f>
        <v/>
      </c>
      <c r="AF31" s="116">
        <f>(AE23-AF23)*AF30</f>
        <v/>
      </c>
      <c r="AG31" s="116">
        <f>(AF23-AG23)*AG30</f>
        <v/>
      </c>
      <c r="AH31" s="116">
        <f>(AG23-AH23)*AH30</f>
        <v/>
      </c>
      <c r="AI31" s="116">
        <f>(AH23-AI23)*AI30</f>
        <v/>
      </c>
      <c r="AJ31" s="116">
        <f>(AI23-AJ23)*AJ30</f>
        <v/>
      </c>
    </row>
    <row r="32" ht="15" customHeight="1" s="83">
      <c r="A32" s="92" t="inlineStr">
        <is>
          <t xml:space="preserve">  CASH FLOW — to free cash flow to equity</t>
        </is>
      </c>
      <c r="G32" s="93" t="n"/>
    </row>
    <row r="33" ht="15" customHeight="1" s="83">
      <c r="A33" s="94" t="inlineStr">
        <is>
          <t>Operating income, after tax (OI)</t>
        </is>
      </c>
      <c r="C33" s="95">
        <f>_Actuals!C18</f>
        <v/>
      </c>
      <c r="D33" s="95">
        <f>_Actuals!D18</f>
        <v/>
      </c>
      <c r="E33" s="95">
        <f>_Actuals!E18</f>
        <v/>
      </c>
      <c r="F33" s="95">
        <f>_Actuals!F18</f>
        <v/>
      </c>
      <c r="G33" s="96">
        <f>G18</f>
        <v/>
      </c>
      <c r="H33" s="97">
        <f>H18</f>
        <v/>
      </c>
      <c r="I33" s="97">
        <f>I18</f>
        <v/>
      </c>
      <c r="J33" s="97">
        <f>J18</f>
        <v/>
      </c>
      <c r="K33" s="97">
        <f>K18</f>
        <v/>
      </c>
      <c r="L33" s="97">
        <f>L18</f>
        <v/>
      </c>
      <c r="M33" s="97">
        <f>M18</f>
        <v/>
      </c>
      <c r="N33" s="97">
        <f>N18</f>
        <v/>
      </c>
      <c r="O33" s="97">
        <f>O18</f>
        <v/>
      </c>
      <c r="P33" s="97">
        <f>P18</f>
        <v/>
      </c>
      <c r="Q33" s="97">
        <f>Q18</f>
        <v/>
      </c>
      <c r="R33" s="97">
        <f>R18</f>
        <v/>
      </c>
      <c r="S33" s="97">
        <f>S18</f>
        <v/>
      </c>
      <c r="T33" s="97">
        <f>T18</f>
        <v/>
      </c>
      <c r="U33" s="97">
        <f>U18</f>
        <v/>
      </c>
      <c r="V33" s="97">
        <f>V18</f>
        <v/>
      </c>
      <c r="W33" s="97">
        <f>W18</f>
        <v/>
      </c>
      <c r="X33" s="97">
        <f>X18</f>
        <v/>
      </c>
      <c r="Y33" s="97">
        <f>Y18</f>
        <v/>
      </c>
      <c r="Z33" s="97">
        <f>Z18</f>
        <v/>
      </c>
      <c r="AA33" s="97">
        <f>AA18</f>
        <v/>
      </c>
      <c r="AB33" s="97">
        <f>AB18</f>
        <v/>
      </c>
      <c r="AC33" s="97">
        <f>AC18</f>
        <v/>
      </c>
      <c r="AD33" s="97">
        <f>AD18</f>
        <v/>
      </c>
      <c r="AE33" s="97">
        <f>AE18</f>
        <v/>
      </c>
      <c r="AF33" s="97">
        <f>AF18</f>
        <v/>
      </c>
      <c r="AG33" s="97">
        <f>AG18</f>
        <v/>
      </c>
      <c r="AH33" s="97">
        <f>AH18</f>
        <v/>
      </c>
      <c r="AI33" s="97">
        <f>AI18</f>
        <v/>
      </c>
      <c r="AJ33" s="97">
        <f>AJ18</f>
        <v/>
      </c>
    </row>
    <row r="34" ht="15" customHeight="1" s="83">
      <c r="A34" s="94" t="inlineStr">
        <is>
          <t xml:space="preserve">   Investment in NOA  (−ΔNOA)</t>
        </is>
      </c>
      <c r="C34" s="95" t="n"/>
      <c r="D34" s="95">
        <f>-(D46-C46)</f>
        <v/>
      </c>
      <c r="E34" s="95">
        <f>-(E46-D46)</f>
        <v/>
      </c>
      <c r="F34" s="95">
        <f>-(F46-E46)</f>
        <v/>
      </c>
      <c r="G34" s="96">
        <f>-(G46-F46)</f>
        <v/>
      </c>
      <c r="H34" s="97">
        <f>-(H46-G46)</f>
        <v/>
      </c>
      <c r="I34" s="97">
        <f>-(I46-H46)</f>
        <v/>
      </c>
      <c r="J34" s="97">
        <f>-(J46-I46)</f>
        <v/>
      </c>
      <c r="K34" s="97">
        <f>-(K46-J46)</f>
        <v/>
      </c>
      <c r="L34" s="97">
        <f>-(L46-K46)</f>
        <v/>
      </c>
      <c r="M34" s="97">
        <f>-(M46-L46)</f>
        <v/>
      </c>
      <c r="N34" s="97">
        <f>-(N46-M46)</f>
        <v/>
      </c>
      <c r="O34" s="97">
        <f>-(O46-N46)</f>
        <v/>
      </c>
      <c r="P34" s="97">
        <f>-(P46-O46)</f>
        <v/>
      </c>
      <c r="Q34" s="97">
        <f>-(Q46-P46)</f>
        <v/>
      </c>
      <c r="R34" s="97">
        <f>-(R46-Q46)</f>
        <v/>
      </c>
      <c r="S34" s="97">
        <f>-(S46-R46)</f>
        <v/>
      </c>
      <c r="T34" s="97">
        <f>-(T46-S46)</f>
        <v/>
      </c>
      <c r="U34" s="97">
        <f>-(U46-T46)</f>
        <v/>
      </c>
      <c r="V34" s="97">
        <f>-(V46-U46)</f>
        <v/>
      </c>
      <c r="W34" s="97">
        <f>-(W46-V46)</f>
        <v/>
      </c>
      <c r="X34" s="97">
        <f>-(X46-W46)</f>
        <v/>
      </c>
      <c r="Y34" s="97">
        <f>-(Y46-X46)</f>
        <v/>
      </c>
      <c r="Z34" s="97">
        <f>-(Z46-Y46)</f>
        <v/>
      </c>
      <c r="AA34" s="97">
        <f>-(AA46-Z46)</f>
        <v/>
      </c>
      <c r="AB34" s="97">
        <f>-(AB46-AA46)</f>
        <v/>
      </c>
      <c r="AC34" s="97">
        <f>-(AC46-AB46)</f>
        <v/>
      </c>
      <c r="AD34" s="97">
        <f>-(AD46-AC46)</f>
        <v/>
      </c>
      <c r="AE34" s="97">
        <f>-(AE46-AD46)</f>
        <v/>
      </c>
      <c r="AF34" s="97">
        <f>-(AF46-AE46)</f>
        <v/>
      </c>
      <c r="AG34" s="97">
        <f>-(AG46-AF46)</f>
        <v/>
      </c>
      <c r="AH34" s="97">
        <f>-(AH46-AG46)</f>
        <v/>
      </c>
      <c r="AI34" s="97">
        <f>-(AI46-AH46)</f>
        <v/>
      </c>
      <c r="AJ34" s="97">
        <f>-(AJ46-AI46)</f>
        <v/>
      </c>
    </row>
    <row r="35" ht="15" customHeight="1" s="83">
      <c r="A35" s="94" t="inlineStr">
        <is>
          <t xml:space="preserve">   Capital expenditure (capex)</t>
        </is>
      </c>
      <c r="C35" s="95" t="n"/>
      <c r="D35" s="95">
        <f>(D49-C49)+D13</f>
        <v/>
      </c>
      <c r="E35" s="95">
        <f>(E49-D49)+E13</f>
        <v/>
      </c>
      <c r="F35" s="95">
        <f>(F49-E49)+F13</f>
        <v/>
      </c>
      <c r="G35" s="117">
        <f>G36*G6</f>
        <v/>
      </c>
      <c r="H35" s="118">
        <f>H36*H6</f>
        <v/>
      </c>
      <c r="I35" s="118">
        <f>I36*I6</f>
        <v/>
      </c>
      <c r="J35" s="118">
        <f>J36*J6</f>
        <v/>
      </c>
      <c r="K35" s="118">
        <f>K36*K6</f>
        <v/>
      </c>
      <c r="L35" s="118">
        <f>L36*L6</f>
        <v/>
      </c>
      <c r="M35" s="118">
        <f>M36*M6</f>
        <v/>
      </c>
      <c r="N35" s="118">
        <f>N36*N6</f>
        <v/>
      </c>
      <c r="O35" s="118">
        <f>O36*O6</f>
        <v/>
      </c>
      <c r="P35" s="118">
        <f>P36*P6</f>
        <v/>
      </c>
      <c r="Q35" s="118">
        <f>Q36*Q6</f>
        <v/>
      </c>
      <c r="R35" s="118">
        <f>R36*R6</f>
        <v/>
      </c>
      <c r="S35" s="118">
        <f>S36*S6</f>
        <v/>
      </c>
      <c r="T35" s="118">
        <f>T36*T6</f>
        <v/>
      </c>
      <c r="U35" s="118">
        <f>U36*U6</f>
        <v/>
      </c>
      <c r="V35" s="118">
        <f>V36*V6</f>
        <v/>
      </c>
      <c r="W35" s="118">
        <f>W36*W6</f>
        <v/>
      </c>
      <c r="X35" s="118">
        <f>X36*X6</f>
        <v/>
      </c>
      <c r="Y35" s="118">
        <f>Y36*Y6</f>
        <v/>
      </c>
      <c r="Z35" s="118">
        <f>Z36*Z6</f>
        <v/>
      </c>
      <c r="AA35" s="118">
        <f>AA36*AA6</f>
        <v/>
      </c>
      <c r="AB35" s="118">
        <f>AB36*AB6</f>
        <v/>
      </c>
      <c r="AC35" s="118">
        <f>AC36*AC6</f>
        <v/>
      </c>
      <c r="AD35" s="118">
        <f>AD36*AD6</f>
        <v/>
      </c>
      <c r="AE35" s="118">
        <f>AE36*AE6</f>
        <v/>
      </c>
      <c r="AF35" s="118">
        <f>AF36*AF6</f>
        <v/>
      </c>
      <c r="AG35" s="118">
        <f>AG36*AG6</f>
        <v/>
      </c>
      <c r="AH35" s="118">
        <f>AH36*AH6</f>
        <v/>
      </c>
      <c r="AI35" s="118">
        <f>AI36*AI6</f>
        <v/>
      </c>
      <c r="AJ35" s="118">
        <f>AJ36*AJ6</f>
        <v/>
      </c>
    </row>
    <row r="36" ht="15" customHeight="1" s="83">
      <c r="A36" s="111" t="inlineStr">
        <is>
          <t xml:space="preserve">      capex % of revenue</t>
        </is>
      </c>
      <c r="B36" s="112" t="n"/>
      <c r="C36" s="115" t="n"/>
      <c r="D36" s="115" t="n"/>
      <c r="E36" s="115" t="n"/>
      <c r="F36" s="115" t="n"/>
      <c r="G36" s="119">
        <f>$F$35/$F$6</f>
        <v/>
      </c>
      <c r="H36" s="119">
        <f>G36</f>
        <v/>
      </c>
      <c r="I36" s="119">
        <f>H36</f>
        <v/>
      </c>
      <c r="J36" s="119">
        <f>I36</f>
        <v/>
      </c>
      <c r="K36" s="119">
        <f>J36</f>
        <v/>
      </c>
      <c r="L36" s="119">
        <f>K36</f>
        <v/>
      </c>
      <c r="M36" s="119">
        <f>L36</f>
        <v/>
      </c>
      <c r="N36" s="119">
        <f>M36</f>
        <v/>
      </c>
      <c r="O36" s="119">
        <f>N36</f>
        <v/>
      </c>
      <c r="P36" s="119">
        <f>O36</f>
        <v/>
      </c>
      <c r="Q36" s="119">
        <f>P36</f>
        <v/>
      </c>
      <c r="R36" s="119">
        <f>Q36</f>
        <v/>
      </c>
      <c r="S36" s="119">
        <f>R36</f>
        <v/>
      </c>
      <c r="T36" s="119">
        <f>S36</f>
        <v/>
      </c>
      <c r="U36" s="119">
        <f>T36</f>
        <v/>
      </c>
      <c r="V36" s="119">
        <f>U36</f>
        <v/>
      </c>
      <c r="W36" s="119">
        <f>V36</f>
        <v/>
      </c>
      <c r="X36" s="119">
        <f>W36</f>
        <v/>
      </c>
      <c r="Y36" s="119">
        <f>X36</f>
        <v/>
      </c>
      <c r="Z36" s="119">
        <f>Y36</f>
        <v/>
      </c>
      <c r="AA36" s="119">
        <f>Z36</f>
        <v/>
      </c>
      <c r="AB36" s="119">
        <f>AA36</f>
        <v/>
      </c>
      <c r="AC36" s="119">
        <f>AB36</f>
        <v/>
      </c>
      <c r="AD36" s="119">
        <f>AC36</f>
        <v/>
      </c>
      <c r="AE36" s="119">
        <f>AD36</f>
        <v/>
      </c>
      <c r="AF36" s="119">
        <f>AE36</f>
        <v/>
      </c>
      <c r="AG36" s="119">
        <f>AF36</f>
        <v/>
      </c>
      <c r="AH36" s="119">
        <f>AG36</f>
        <v/>
      </c>
      <c r="AI36" s="119">
        <f>AH36</f>
        <v/>
      </c>
      <c r="AJ36" s="119">
        <f>AI36</f>
        <v/>
      </c>
    </row>
    <row r="37" ht="15" customHeight="1" s="83">
      <c r="A37" s="94" t="inlineStr">
        <is>
          <t>Free cash flow to firm  (OI − ΔNOA)</t>
        </is>
      </c>
      <c r="C37" s="95" t="n"/>
      <c r="D37" s="95">
        <f>D33+D34</f>
        <v/>
      </c>
      <c r="E37" s="95">
        <f>E33+E34</f>
        <v/>
      </c>
      <c r="F37" s="95">
        <f>F33+F34</f>
        <v/>
      </c>
      <c r="G37" s="96">
        <f>G33+G34</f>
        <v/>
      </c>
      <c r="H37" s="97">
        <f>H33+H34</f>
        <v/>
      </c>
      <c r="I37" s="97">
        <f>I33+I34</f>
        <v/>
      </c>
      <c r="J37" s="97">
        <f>J33+J34</f>
        <v/>
      </c>
      <c r="K37" s="97">
        <f>K33+K34</f>
        <v/>
      </c>
      <c r="L37" s="97">
        <f>L33+L34</f>
        <v/>
      </c>
      <c r="M37" s="97">
        <f>M33+M34</f>
        <v/>
      </c>
      <c r="N37" s="97">
        <f>N33+N34</f>
        <v/>
      </c>
      <c r="O37" s="97">
        <f>O33+O34</f>
        <v/>
      </c>
      <c r="P37" s="97">
        <f>P33+P34</f>
        <v/>
      </c>
      <c r="Q37" s="97">
        <f>Q33+Q34</f>
        <v/>
      </c>
      <c r="R37" s="97">
        <f>R33+R34</f>
        <v/>
      </c>
      <c r="S37" s="97">
        <f>S33+S34</f>
        <v/>
      </c>
      <c r="T37" s="97">
        <f>T33+T34</f>
        <v/>
      </c>
      <c r="U37" s="97">
        <f>U33+U34</f>
        <v/>
      </c>
      <c r="V37" s="97">
        <f>V33+V34</f>
        <v/>
      </c>
      <c r="W37" s="97">
        <f>W33+W34</f>
        <v/>
      </c>
      <c r="X37" s="97">
        <f>X33+X34</f>
        <v/>
      </c>
      <c r="Y37" s="97">
        <f>Y33+Y34</f>
        <v/>
      </c>
      <c r="Z37" s="97">
        <f>Z33+Z34</f>
        <v/>
      </c>
      <c r="AA37" s="97">
        <f>AA33+AA34</f>
        <v/>
      </c>
      <c r="AB37" s="97">
        <f>AB33+AB34</f>
        <v/>
      </c>
      <c r="AC37" s="97">
        <f>AC33+AC34</f>
        <v/>
      </c>
      <c r="AD37" s="97">
        <f>AD33+AD34</f>
        <v/>
      </c>
      <c r="AE37" s="97">
        <f>AE33+AE34</f>
        <v/>
      </c>
      <c r="AF37" s="97">
        <f>AF33+AF34</f>
        <v/>
      </c>
      <c r="AG37" s="97">
        <f>AG33+AG34</f>
        <v/>
      </c>
      <c r="AH37" s="97">
        <f>AH33+AH34</f>
        <v/>
      </c>
      <c r="AI37" s="97">
        <f>AI33+AI34</f>
        <v/>
      </c>
      <c r="AJ37" s="97">
        <f>AJ33+AJ34</f>
        <v/>
      </c>
    </row>
    <row r="38" ht="15" customHeight="1" s="83">
      <c r="A38" s="94" t="inlineStr">
        <is>
          <t xml:space="preserve">   Net financial expense  (−NFE)</t>
        </is>
      </c>
      <c r="C38" s="95">
        <f>-C20</f>
        <v/>
      </c>
      <c r="D38" s="95">
        <f>-D20</f>
        <v/>
      </c>
      <c r="E38" s="95">
        <f>-E20</f>
        <v/>
      </c>
      <c r="F38" s="95">
        <f>-F20</f>
        <v/>
      </c>
      <c r="G38" s="96">
        <f>-G20</f>
        <v/>
      </c>
      <c r="H38" s="97">
        <f>-H20</f>
        <v/>
      </c>
      <c r="I38" s="97">
        <f>-I20</f>
        <v/>
      </c>
      <c r="J38" s="97">
        <f>-J20</f>
        <v/>
      </c>
      <c r="K38" s="97">
        <f>-K20</f>
        <v/>
      </c>
      <c r="L38" s="97">
        <f>-L20</f>
        <v/>
      </c>
      <c r="M38" s="97">
        <f>-M20</f>
        <v/>
      </c>
      <c r="N38" s="97">
        <f>-N20</f>
        <v/>
      </c>
      <c r="O38" s="97">
        <f>-O20</f>
        <v/>
      </c>
      <c r="P38" s="97">
        <f>-P20</f>
        <v/>
      </c>
      <c r="Q38" s="97">
        <f>-Q20</f>
        <v/>
      </c>
      <c r="R38" s="97">
        <f>-R20</f>
        <v/>
      </c>
      <c r="S38" s="97">
        <f>-S20</f>
        <v/>
      </c>
      <c r="T38" s="97">
        <f>-T20</f>
        <v/>
      </c>
      <c r="U38" s="97">
        <f>-U20</f>
        <v/>
      </c>
      <c r="V38" s="97">
        <f>-V20</f>
        <v/>
      </c>
      <c r="W38" s="97">
        <f>-W20</f>
        <v/>
      </c>
      <c r="X38" s="97">
        <f>-X20</f>
        <v/>
      </c>
      <c r="Y38" s="97">
        <f>-Y20</f>
        <v/>
      </c>
      <c r="Z38" s="97">
        <f>-Z20</f>
        <v/>
      </c>
      <c r="AA38" s="97">
        <f>-AA20</f>
        <v/>
      </c>
      <c r="AB38" s="97">
        <f>-AB20</f>
        <v/>
      </c>
      <c r="AC38" s="97">
        <f>-AC20</f>
        <v/>
      </c>
      <c r="AD38" s="97">
        <f>-AD20</f>
        <v/>
      </c>
      <c r="AE38" s="97">
        <f>-AE20</f>
        <v/>
      </c>
      <c r="AF38" s="97">
        <f>-AF20</f>
        <v/>
      </c>
      <c r="AG38" s="97">
        <f>-AG20</f>
        <v/>
      </c>
      <c r="AH38" s="97">
        <f>-AH20</f>
        <v/>
      </c>
      <c r="AI38" s="97">
        <f>-AI20</f>
        <v/>
      </c>
      <c r="AJ38" s="97">
        <f>-AJ20</f>
        <v/>
      </c>
    </row>
    <row r="39" ht="15" customHeight="1" s="83">
      <c r="A39" s="94" t="inlineStr">
        <is>
          <t xml:space="preserve">   Net new borrowing  (+ΔNFO)</t>
        </is>
      </c>
      <c r="C39" s="95" t="n"/>
      <c r="D39" s="95">
        <f>D47-C47</f>
        <v/>
      </c>
      <c r="E39" s="95">
        <f>E47-D47</f>
        <v/>
      </c>
      <c r="F39" s="95">
        <f>F47-E47</f>
        <v/>
      </c>
      <c r="G39" s="96">
        <f>G47-F47</f>
        <v/>
      </c>
      <c r="H39" s="97">
        <f>H47-G47</f>
        <v/>
      </c>
      <c r="I39" s="97">
        <f>I47-H47</f>
        <v/>
      </c>
      <c r="J39" s="97">
        <f>J47-I47</f>
        <v/>
      </c>
      <c r="K39" s="97">
        <f>K47-J47</f>
        <v/>
      </c>
      <c r="L39" s="97">
        <f>L47-K47</f>
        <v/>
      </c>
      <c r="M39" s="97">
        <f>M47-L47</f>
        <v/>
      </c>
      <c r="N39" s="97">
        <f>N47-M47</f>
        <v/>
      </c>
      <c r="O39" s="97">
        <f>O47-N47</f>
        <v/>
      </c>
      <c r="P39" s="97">
        <f>P47-O47</f>
        <v/>
      </c>
      <c r="Q39" s="97">
        <f>Q47-P47</f>
        <v/>
      </c>
      <c r="R39" s="97">
        <f>R47-Q47</f>
        <v/>
      </c>
      <c r="S39" s="97">
        <f>S47-R47</f>
        <v/>
      </c>
      <c r="T39" s="97">
        <f>T47-S47</f>
        <v/>
      </c>
      <c r="U39" s="97">
        <f>U47-T47</f>
        <v/>
      </c>
      <c r="V39" s="97">
        <f>V47-U47</f>
        <v/>
      </c>
      <c r="W39" s="97">
        <f>W47-V47</f>
        <v/>
      </c>
      <c r="X39" s="97">
        <f>X47-W47</f>
        <v/>
      </c>
      <c r="Y39" s="97">
        <f>Y47-X47</f>
        <v/>
      </c>
      <c r="Z39" s="97">
        <f>Z47-Y47</f>
        <v/>
      </c>
      <c r="AA39" s="97">
        <f>AA47-Z47</f>
        <v/>
      </c>
      <c r="AB39" s="97">
        <f>AB47-AA47</f>
        <v/>
      </c>
      <c r="AC39" s="97">
        <f>AC47-AB47</f>
        <v/>
      </c>
      <c r="AD39" s="97">
        <f>AD47-AC47</f>
        <v/>
      </c>
      <c r="AE39" s="97">
        <f>AE47-AD47</f>
        <v/>
      </c>
      <c r="AF39" s="97">
        <f>AF47-AE47</f>
        <v/>
      </c>
      <c r="AG39" s="97">
        <f>AG47-AF47</f>
        <v/>
      </c>
      <c r="AH39" s="97">
        <f>AH47-AG47</f>
        <v/>
      </c>
      <c r="AI39" s="97">
        <f>AI47-AH47</f>
        <v/>
      </c>
      <c r="AJ39" s="97">
        <f>AJ47-AI47</f>
        <v/>
      </c>
    </row>
    <row r="40" ht="15" customHeight="1" s="83">
      <c r="A40" s="94" t="inlineStr">
        <is>
          <t>Free cash flow to equity (FCFE)</t>
        </is>
      </c>
      <c r="C40" s="95" t="n"/>
      <c r="D40" s="95">
        <f>D37+D38+D39</f>
        <v/>
      </c>
      <c r="E40" s="95">
        <f>E37+E38+E39</f>
        <v/>
      </c>
      <c r="F40" s="95">
        <f>F37+F38+F39</f>
        <v/>
      </c>
      <c r="G40" s="120">
        <f>G37+G38+G39</f>
        <v/>
      </c>
      <c r="H40" s="121">
        <f>H37+H38+H39</f>
        <v/>
      </c>
      <c r="I40" s="121">
        <f>I37+I38+I39</f>
        <v/>
      </c>
      <c r="J40" s="121">
        <f>J37+J38+J39</f>
        <v/>
      </c>
      <c r="K40" s="121">
        <f>K37+K38+K39</f>
        <v/>
      </c>
      <c r="L40" s="121">
        <f>L37+L38+L39</f>
        <v/>
      </c>
      <c r="M40" s="121">
        <f>M37+M38+M39</f>
        <v/>
      </c>
      <c r="N40" s="121">
        <f>N37+N38+N39</f>
        <v/>
      </c>
      <c r="O40" s="121">
        <f>O37+O38+O39</f>
        <v/>
      </c>
      <c r="P40" s="121">
        <f>P37+P38+P39</f>
        <v/>
      </c>
      <c r="Q40" s="121">
        <f>Q37+Q38+Q39</f>
        <v/>
      </c>
      <c r="R40" s="121">
        <f>R37+R38+R39</f>
        <v/>
      </c>
      <c r="S40" s="121">
        <f>S37+S38+S39</f>
        <v/>
      </c>
      <c r="T40" s="121">
        <f>T37+T38+T39</f>
        <v/>
      </c>
      <c r="U40" s="121">
        <f>U37+U38+U39</f>
        <v/>
      </c>
      <c r="V40" s="121">
        <f>V37+V38+V39</f>
        <v/>
      </c>
      <c r="W40" s="121">
        <f>W37+W38+W39</f>
        <v/>
      </c>
      <c r="X40" s="121">
        <f>X37+X38+X39</f>
        <v/>
      </c>
      <c r="Y40" s="121">
        <f>Y37+Y38+Y39</f>
        <v/>
      </c>
      <c r="Z40" s="121">
        <f>Z37+Z38+Z39</f>
        <v/>
      </c>
      <c r="AA40" s="121">
        <f>AA37+AA38+AA39</f>
        <v/>
      </c>
      <c r="AB40" s="121">
        <f>AB37+AB38+AB39</f>
        <v/>
      </c>
      <c r="AC40" s="121">
        <f>AC37+AC38+AC39</f>
        <v/>
      </c>
      <c r="AD40" s="121">
        <f>AD37+AD38+AD39</f>
        <v/>
      </c>
      <c r="AE40" s="121">
        <f>AE37+AE38+AE39</f>
        <v/>
      </c>
      <c r="AF40" s="121">
        <f>AF37+AF38+AF39</f>
        <v/>
      </c>
      <c r="AG40" s="121">
        <f>AG37+AG38+AG39</f>
        <v/>
      </c>
      <c r="AH40" s="121">
        <f>AH37+AH38+AH39</f>
        <v/>
      </c>
      <c r="AI40" s="121">
        <f>AI37+AI38+AI39</f>
        <v/>
      </c>
      <c r="AJ40" s="121">
        <f>AJ37+AJ38+AJ39</f>
        <v/>
      </c>
    </row>
    <row r="41" ht="15" customHeight="1" s="83">
      <c r="A41" s="94" t="inlineStr">
        <is>
          <t xml:space="preserve">   memo: total distribution to equity  (FCFE must match)</t>
        </is>
      </c>
      <c r="C41" s="95">
        <f>C28*C23</f>
        <v/>
      </c>
      <c r="D41" s="95">
        <f>D28*D23</f>
        <v/>
      </c>
      <c r="E41" s="95">
        <f>E28*E23</f>
        <v/>
      </c>
      <c r="F41" s="95">
        <f>F28*F23</f>
        <v/>
      </c>
      <c r="G41" s="122">
        <f>G28*G23+G31</f>
        <v/>
      </c>
      <c r="H41" s="123">
        <f>H28*H23+H31</f>
        <v/>
      </c>
      <c r="I41" s="123">
        <f>I28*I23+I31</f>
        <v/>
      </c>
      <c r="J41" s="123">
        <f>J28*J23+J31</f>
        <v/>
      </c>
      <c r="K41" s="123">
        <f>K28*K23+K31</f>
        <v/>
      </c>
      <c r="L41" s="123">
        <f>L28*L23+L31</f>
        <v/>
      </c>
      <c r="M41" s="123">
        <f>M28*M23+M31</f>
        <v/>
      </c>
      <c r="N41" s="123">
        <f>N28*N23+N31</f>
        <v/>
      </c>
      <c r="O41" s="123">
        <f>O28*O23+O31</f>
        <v/>
      </c>
      <c r="P41" s="123">
        <f>P28*P23+P31</f>
        <v/>
      </c>
      <c r="Q41" s="123">
        <f>Q28*Q23+Q31</f>
        <v/>
      </c>
      <c r="R41" s="123">
        <f>R28*R23+R31</f>
        <v/>
      </c>
      <c r="S41" s="123">
        <f>S28*S23+S31</f>
        <v/>
      </c>
      <c r="T41" s="123">
        <f>T28*T23+T31</f>
        <v/>
      </c>
      <c r="U41" s="123">
        <f>U28*U23+U31</f>
        <v/>
      </c>
      <c r="V41" s="123">
        <f>V28*V23+V31</f>
        <v/>
      </c>
      <c r="W41" s="123">
        <f>W28*W23+W31</f>
        <v/>
      </c>
      <c r="X41" s="123">
        <f>X28*X23+X31</f>
        <v/>
      </c>
      <c r="Y41" s="123">
        <f>Y28*Y23+Y31</f>
        <v/>
      </c>
      <c r="Z41" s="123">
        <f>Z28*Z23+Z31</f>
        <v/>
      </c>
      <c r="AA41" s="123">
        <f>AA28*AA23+AA31</f>
        <v/>
      </c>
      <c r="AB41" s="123">
        <f>AB28*AB23+AB31</f>
        <v/>
      </c>
      <c r="AC41" s="123">
        <f>AC28*AC23+AC31</f>
        <v/>
      </c>
      <c r="AD41" s="123">
        <f>AD28*AD23+AD31</f>
        <v/>
      </c>
      <c r="AE41" s="123">
        <f>AE28*AE23+AE31</f>
        <v/>
      </c>
      <c r="AF41" s="123">
        <f>AF28*AF23+AF31</f>
        <v/>
      </c>
      <c r="AG41" s="123">
        <f>AG28*AG23+AG31</f>
        <v/>
      </c>
      <c r="AH41" s="123">
        <f>AH28*AH23+AH31</f>
        <v/>
      </c>
      <c r="AI41" s="123">
        <f>AI28*AI23+AI31</f>
        <v/>
      </c>
      <c r="AJ41" s="123">
        <f>AJ28*AJ23+AJ31</f>
        <v/>
      </c>
    </row>
    <row r="42" ht="15" customHeight="1" s="83">
      <c r="A42" s="92" t="inlineStr">
        <is>
          <t xml:space="preserve">  BALANCE SHEET — imputed ($mm)</t>
        </is>
      </c>
      <c r="G42" s="93" t="n"/>
    </row>
    <row r="43" ht="15" customHeight="1" s="83">
      <c r="A43" s="94" t="inlineStr">
        <is>
          <t xml:space="preserve">   Total assets (gross, memo) = NOA + op. liabilities</t>
        </is>
      </c>
      <c r="B43" s="82" t="n"/>
      <c r="C43" s="97">
        <f>C46+C45*C6</f>
        <v/>
      </c>
      <c r="D43" s="97">
        <f>D46+D45*D6</f>
        <v/>
      </c>
      <c r="E43" s="97">
        <f>E46+E45*E6</f>
        <v/>
      </c>
      <c r="F43" s="97">
        <f>F46+F45*F6</f>
        <v/>
      </c>
      <c r="G43" s="97">
        <f>G46+G45*G6</f>
        <v/>
      </c>
      <c r="H43" s="97">
        <f>H46+H45*H6</f>
        <v/>
      </c>
      <c r="I43" s="97">
        <f>I46+I45*I6</f>
        <v/>
      </c>
      <c r="J43" s="97">
        <f>J46+J45*J6</f>
        <v/>
      </c>
      <c r="K43" s="97">
        <f>K46+K45*K6</f>
        <v/>
      </c>
      <c r="L43" s="97">
        <f>L46+L45*L6</f>
        <v/>
      </c>
      <c r="M43" s="97">
        <f>M46+M45*M6</f>
        <v/>
      </c>
      <c r="N43" s="97">
        <f>N46+N45*N6</f>
        <v/>
      </c>
      <c r="O43" s="97">
        <f>O46+O45*O6</f>
        <v/>
      </c>
      <c r="P43" s="97">
        <f>P46+P45*P6</f>
        <v/>
      </c>
      <c r="Q43" s="97">
        <f>Q46+Q45*Q6</f>
        <v/>
      </c>
      <c r="R43" s="97">
        <f>R46+R45*R6</f>
        <v/>
      </c>
      <c r="S43" s="97">
        <f>S46+S45*S6</f>
        <v/>
      </c>
      <c r="T43" s="97">
        <f>T46+T45*T6</f>
        <v/>
      </c>
      <c r="U43" s="97">
        <f>U46+U45*U6</f>
        <v/>
      </c>
      <c r="V43" s="97">
        <f>V46+V45*V6</f>
        <v/>
      </c>
      <c r="W43" s="97">
        <f>W46+W45*W6</f>
        <v/>
      </c>
      <c r="X43" s="97">
        <f>X46+X45*X6</f>
        <v/>
      </c>
      <c r="Y43" s="97">
        <f>Y46+Y45*Y6</f>
        <v/>
      </c>
      <c r="Z43" s="97">
        <f>Z46+Z45*Z6</f>
        <v/>
      </c>
      <c r="AA43" s="97">
        <f>AA46+AA45*AA6</f>
        <v/>
      </c>
      <c r="AB43" s="97">
        <f>AB46+AB45*AB6</f>
        <v/>
      </c>
      <c r="AC43" s="97">
        <f>AC46+AC45*AC6</f>
        <v/>
      </c>
      <c r="AD43" s="97">
        <f>AD46+AD45*AD6</f>
        <v/>
      </c>
      <c r="AE43" s="97">
        <f>AE46+AE45*AE6</f>
        <v/>
      </c>
      <c r="AF43" s="97">
        <f>AF46+AF45*AF6</f>
        <v/>
      </c>
      <c r="AG43" s="97">
        <f>AG46+AG45*AG6</f>
        <v/>
      </c>
      <c r="AH43" s="97">
        <f>AH46+AH45*AH6</f>
        <v/>
      </c>
      <c r="AI43" s="97">
        <f>AI46+AI45*AI6</f>
        <v/>
      </c>
      <c r="AJ43" s="97">
        <f>AJ46+AJ45*AJ6</f>
        <v/>
      </c>
    </row>
    <row r="44" ht="15" customHeight="1" s="83">
      <c r="A44" s="111" t="inlineStr">
        <is>
          <t xml:space="preserve">   Operating liabilities ($)</t>
        </is>
      </c>
      <c r="B44" s="112" t="n"/>
      <c r="C44" s="116">
        <f>IF(C45="","",C45*C6)</f>
        <v/>
      </c>
      <c r="D44" s="116">
        <f>IF(D45="","",D45*D6)</f>
        <v/>
      </c>
      <c r="E44" s="116">
        <f>IF(E45="","",E45*E6)</f>
        <v/>
      </c>
      <c r="F44" s="116">
        <f>IF(F45="","",F45*F6)</f>
        <v/>
      </c>
      <c r="G44" s="116">
        <f>IF(G45="","",G45*G6)</f>
        <v/>
      </c>
      <c r="H44" s="116">
        <f>IF(H45="","",H45*H6)</f>
        <v/>
      </c>
      <c r="I44" s="116">
        <f>IF(I45="","",I45*I6)</f>
        <v/>
      </c>
      <c r="J44" s="116">
        <f>IF(J45="","",J45*J6)</f>
        <v/>
      </c>
      <c r="K44" s="116">
        <f>IF(K45="","",K45*K6)</f>
        <v/>
      </c>
      <c r="L44" s="116">
        <f>IF(L45="","",L45*L6)</f>
        <v/>
      </c>
      <c r="M44" s="116">
        <f>IF(M45="","",M45*M6)</f>
        <v/>
      </c>
      <c r="N44" s="116">
        <f>IF(N45="","",N45*N6)</f>
        <v/>
      </c>
      <c r="O44" s="116">
        <f>IF(O45="","",O45*O6)</f>
        <v/>
      </c>
      <c r="P44" s="116">
        <f>IF(P45="","",P45*P6)</f>
        <v/>
      </c>
      <c r="Q44" s="116">
        <f>IF(Q45="","",Q45*Q6)</f>
        <v/>
      </c>
      <c r="R44" s="116">
        <f>IF(R45="","",R45*R6)</f>
        <v/>
      </c>
      <c r="S44" s="116">
        <f>IF(S45="","",S45*S6)</f>
        <v/>
      </c>
      <c r="T44" s="116">
        <f>IF(T45="","",T45*T6)</f>
        <v/>
      </c>
      <c r="U44" s="116">
        <f>IF(U45="","",U45*U6)</f>
        <v/>
      </c>
      <c r="V44" s="116">
        <f>IF(V45="","",V45*V6)</f>
        <v/>
      </c>
      <c r="W44" s="116">
        <f>IF(W45="","",W45*W6)</f>
        <v/>
      </c>
      <c r="X44" s="116">
        <f>IF(X45="","",X45*X6)</f>
        <v/>
      </c>
      <c r="Y44" s="116">
        <f>IF(Y45="","",Y45*Y6)</f>
        <v/>
      </c>
      <c r="Z44" s="116">
        <f>IF(Z45="","",Z45*Z6)</f>
        <v/>
      </c>
      <c r="AA44" s="116">
        <f>IF(AA45="","",AA45*AA6)</f>
        <v/>
      </c>
      <c r="AB44" s="116">
        <f>IF(AB45="","",AB45*AB6)</f>
        <v/>
      </c>
      <c r="AC44" s="116">
        <f>IF(AC45="","",AC45*AC6)</f>
        <v/>
      </c>
      <c r="AD44" s="116">
        <f>IF(AD45="","",AD45*AD6)</f>
        <v/>
      </c>
      <c r="AE44" s="116">
        <f>IF(AE45="","",AE45*AE6)</f>
        <v/>
      </c>
      <c r="AF44" s="116">
        <f>IF(AF45="","",AF45*AF6)</f>
        <v/>
      </c>
      <c r="AG44" s="116">
        <f>IF(AG45="","",AG45*AG6)</f>
        <v/>
      </c>
      <c r="AH44" s="116">
        <f>IF(AH45="","",AH45*AH6)</f>
        <v/>
      </c>
      <c r="AI44" s="116">
        <f>IF(AI45="","",AI45*AI6)</f>
        <v/>
      </c>
      <c r="AJ44" s="116">
        <f>IF(AJ45="","",AJ45*AJ6)</f>
        <v/>
      </c>
    </row>
    <row r="45" ht="15" customHeight="1" s="83">
      <c r="A45" s="94" t="inlineStr">
        <is>
          <t xml:space="preserve">   Operating liabilities (% of revenue)</t>
        </is>
      </c>
      <c r="B45" s="82" t="n"/>
      <c r="C45" s="124" t="n">
        <v>0.1</v>
      </c>
      <c r="D45" s="124" t="n">
        <v>0.1</v>
      </c>
      <c r="E45" s="124" t="n">
        <v>0.1</v>
      </c>
      <c r="F45" s="124" t="n">
        <v>0.1</v>
      </c>
      <c r="G45" s="125">
        <f>F45</f>
        <v/>
      </c>
      <c r="H45" s="125">
        <f>G45</f>
        <v/>
      </c>
      <c r="I45" s="125">
        <f>H45</f>
        <v/>
      </c>
      <c r="J45" s="125">
        <f>I45</f>
        <v/>
      </c>
      <c r="K45" s="125">
        <f>J45</f>
        <v/>
      </c>
      <c r="L45" s="125">
        <f>K45</f>
        <v/>
      </c>
      <c r="M45" s="125">
        <f>L45</f>
        <v/>
      </c>
      <c r="N45" s="125">
        <f>M45</f>
        <v/>
      </c>
      <c r="O45" s="125">
        <f>N45</f>
        <v/>
      </c>
      <c r="P45" s="125">
        <f>O45</f>
        <v/>
      </c>
      <c r="Q45" s="125">
        <f>P45</f>
        <v/>
      </c>
      <c r="R45" s="125">
        <f>Q45</f>
        <v/>
      </c>
      <c r="S45" s="125">
        <f>R45</f>
        <v/>
      </c>
      <c r="T45" s="125">
        <f>S45</f>
        <v/>
      </c>
      <c r="U45" s="125">
        <f>T45</f>
        <v/>
      </c>
      <c r="V45" s="125">
        <f>U45</f>
        <v/>
      </c>
      <c r="W45" s="125">
        <f>V45</f>
        <v/>
      </c>
      <c r="X45" s="125">
        <f>W45</f>
        <v/>
      </c>
      <c r="Y45" s="125">
        <f>X45</f>
        <v/>
      </c>
      <c r="Z45" s="125">
        <f>Y45</f>
        <v/>
      </c>
      <c r="AA45" s="125">
        <f>Z45</f>
        <v/>
      </c>
      <c r="AB45" s="125">
        <f>AA45</f>
        <v/>
      </c>
      <c r="AC45" s="125">
        <f>AB45</f>
        <v/>
      </c>
      <c r="AD45" s="125">
        <f>AC45</f>
        <v/>
      </c>
      <c r="AE45" s="125">
        <f>AD45</f>
        <v/>
      </c>
      <c r="AF45" s="125">
        <f>AE45</f>
        <v/>
      </c>
      <c r="AG45" s="125">
        <f>AF45</f>
        <v/>
      </c>
      <c r="AH45" s="125">
        <f>AG45</f>
        <v/>
      </c>
      <c r="AI45" s="125">
        <f>AH45</f>
        <v/>
      </c>
      <c r="AJ45" s="125">
        <f>AI45</f>
        <v/>
      </c>
    </row>
    <row r="46" ht="15" customHeight="1" s="83">
      <c r="A46" s="94" t="inlineStr">
        <is>
          <t>Net operating assets (NOA)  — operating investment</t>
        </is>
      </c>
      <c r="C46" s="95">
        <f>_Actuals!C40</f>
        <v/>
      </c>
      <c r="D46" s="95">
        <f>_Actuals!D40</f>
        <v/>
      </c>
      <c r="E46" s="95">
        <f>_Actuals!E40</f>
        <v/>
      </c>
      <c r="F46" s="95">
        <f>_Actuals!F40</f>
        <v/>
      </c>
      <c r="G46" s="96">
        <f>IF($C$2="Enterprise",F46*(1+G50),G48+G47)</f>
        <v/>
      </c>
      <c r="H46" s="97">
        <f>IF($C$2="Enterprise",G46*(1+H50),H48+H47)</f>
        <v/>
      </c>
      <c r="I46" s="97">
        <f>IF($C$2="Enterprise",H46*(1+I50),I48+I47)</f>
        <v/>
      </c>
      <c r="J46" s="97">
        <f>IF($C$2="Enterprise",I46*(1+J50),J48+J47)</f>
        <v/>
      </c>
      <c r="K46" s="97">
        <f>IF($C$2="Enterprise",J46*(1+K50),K48+K47)</f>
        <v/>
      </c>
      <c r="L46" s="97">
        <f>IF($C$2="Enterprise",K46*(1+L50),L48+L47)</f>
        <v/>
      </c>
      <c r="M46" s="97">
        <f>IF($C$2="Enterprise",L46*(1+M50),M48+M47)</f>
        <v/>
      </c>
      <c r="N46" s="97">
        <f>IF($C$2="Enterprise",M46*(1+N50),N48+N47)</f>
        <v/>
      </c>
      <c r="O46" s="97">
        <f>IF($C$2="Enterprise",N46*(1+O50),O48+O47)</f>
        <v/>
      </c>
      <c r="P46" s="97">
        <f>IF($C$2="Enterprise",O46*(1+P50),P48+P47)</f>
        <v/>
      </c>
      <c r="Q46" s="97">
        <f>IF($C$2="Enterprise",P46*(1+Q50),Q48+Q47)</f>
        <v/>
      </c>
      <c r="R46" s="97">
        <f>IF($C$2="Enterprise",Q46*(1+R50),R48+R47)</f>
        <v/>
      </c>
      <c r="S46" s="97">
        <f>IF($C$2="Enterprise",R46*(1+S50),S48+S47)</f>
        <v/>
      </c>
      <c r="T46" s="97">
        <f>IF($C$2="Enterprise",S46*(1+T50),T48+T47)</f>
        <v/>
      </c>
      <c r="U46" s="97">
        <f>IF($C$2="Enterprise",T46*(1+U50),U48+U47)</f>
        <v/>
      </c>
      <c r="V46" s="97">
        <f>IF($C$2="Enterprise",U46*(1+V50),V48+V47)</f>
        <v/>
      </c>
      <c r="W46" s="97">
        <f>IF($C$2="Enterprise",V46*(1+W50),W48+W47)</f>
        <v/>
      </c>
      <c r="X46" s="97">
        <f>IF($C$2="Enterprise",W46*(1+X50),X48+X47)</f>
        <v/>
      </c>
      <c r="Y46" s="97">
        <f>IF($C$2="Enterprise",X46*(1+Y50),Y48+Y47)</f>
        <v/>
      </c>
      <c r="Z46" s="97">
        <f>IF($C$2="Enterprise",Y46*(1+Z50),Z48+Z47)</f>
        <v/>
      </c>
      <c r="AA46" s="97">
        <f>IF($C$2="Enterprise",Z46*(1+AA50),AA48+AA47)</f>
        <v/>
      </c>
      <c r="AB46" s="97">
        <f>IF($C$2="Enterprise",AA46*(1+AB50),AB48+AB47)</f>
        <v/>
      </c>
      <c r="AC46" s="97">
        <f>IF($C$2="Enterprise",AB46*(1+AC50),AC48+AC47)</f>
        <v/>
      </c>
      <c r="AD46" s="97">
        <f>IF($C$2="Enterprise",AC46*(1+AD50),AD48+AD47)</f>
        <v/>
      </c>
      <c r="AE46" s="97">
        <f>IF($C$2="Enterprise",AD46*(1+AE50),AE48+AE47)</f>
        <v/>
      </c>
      <c r="AF46" s="97">
        <f>IF($C$2="Enterprise",AE46*(1+AF50),AF48+AF47)</f>
        <v/>
      </c>
      <c r="AG46" s="97">
        <f>IF($C$2="Enterprise",AF46*(1+AG50),AG48+AG47)</f>
        <v/>
      </c>
      <c r="AH46" s="97">
        <f>IF($C$2="Enterprise",AG46*(1+AH50),AH48+AH47)</f>
        <v/>
      </c>
      <c r="AI46" s="97">
        <f>IF($C$2="Enterprise",AH46*(1+AI50),AI48+AI47)</f>
        <v/>
      </c>
      <c r="AJ46" s="97">
        <f>IF($C$2="Enterprise",AI46*(1+AJ50),AJ48+AJ47)</f>
        <v/>
      </c>
    </row>
    <row r="47" ht="15" customHeight="1" s="83">
      <c r="A47" s="94" t="inlineStr">
        <is>
          <t xml:space="preserve">   Financed by:  Net financial obligations (NFO)</t>
        </is>
      </c>
      <c r="C47" s="95">
        <f>_Actuals!C41</f>
        <v/>
      </c>
      <c r="D47" s="95">
        <f>_Actuals!D41</f>
        <v/>
      </c>
      <c r="E47" s="95">
        <f>_Actuals!E41</f>
        <v/>
      </c>
      <c r="F47" s="95">
        <f>_Actuals!F41</f>
        <v/>
      </c>
      <c r="G47" s="96">
        <f>IF($C$2="Enterprise",IF($C$3="Target FLEV",G46*$E$3/(1+$E$3),F47+$E$3*(G46-F46)),$E$3*G48)</f>
        <v/>
      </c>
      <c r="H47" s="97">
        <f>IF($C$2="Enterprise",IF($C$3="Target FLEV",H46*$E$3/(1+$E$3),G47+$E$3*(H46-G46)),$E$3*H48)</f>
        <v/>
      </c>
      <c r="I47" s="97">
        <f>IF($C$2="Enterprise",IF($C$3="Target FLEV",I46*$E$3/(1+$E$3),H47+$E$3*(I46-H46)),$E$3*I48)</f>
        <v/>
      </c>
      <c r="J47" s="97">
        <f>IF($C$2="Enterprise",IF($C$3="Target FLEV",J46*$E$3/(1+$E$3),I47+$E$3*(J46-I46)),$E$3*J48)</f>
        <v/>
      </c>
      <c r="K47" s="97">
        <f>IF($C$2="Enterprise",IF($C$3="Target FLEV",K46*$E$3/(1+$E$3),J47+$E$3*(K46-J46)),$E$3*K48)</f>
        <v/>
      </c>
      <c r="L47" s="97">
        <f>IF($C$2="Enterprise",IF($C$3="Target FLEV",L46*$E$3/(1+$E$3),K47+$E$3*(L46-K46)),$E$3*L48)</f>
        <v/>
      </c>
      <c r="M47" s="97">
        <f>IF($C$2="Enterprise",IF($C$3="Target FLEV",M46*$E$3/(1+$E$3),L47+$E$3*(M46-L46)),$E$3*M48)</f>
        <v/>
      </c>
      <c r="N47" s="97">
        <f>IF($C$2="Enterprise",IF($C$3="Target FLEV",N46*$E$3/(1+$E$3),M47+$E$3*(N46-M46)),$E$3*N48)</f>
        <v/>
      </c>
      <c r="O47" s="97">
        <f>IF($C$2="Enterprise",IF($C$3="Target FLEV",O46*$E$3/(1+$E$3),N47+$E$3*(O46-N46)),$E$3*O48)</f>
        <v/>
      </c>
      <c r="P47" s="97">
        <f>IF($C$2="Enterprise",IF($C$3="Target FLEV",P46*$E$3/(1+$E$3),O47+$E$3*(P46-O46)),$E$3*P48)</f>
        <v/>
      </c>
      <c r="Q47" s="97">
        <f>IF($C$2="Enterprise",IF($C$3="Target FLEV",Q46*$E$3/(1+$E$3),P47+$E$3*(Q46-P46)),$E$3*Q48)</f>
        <v/>
      </c>
      <c r="R47" s="97">
        <f>IF($C$2="Enterprise",IF($C$3="Target FLEV",R46*$E$3/(1+$E$3),Q47+$E$3*(R46-Q46)),$E$3*R48)</f>
        <v/>
      </c>
      <c r="S47" s="97">
        <f>IF($C$2="Enterprise",IF($C$3="Target FLEV",S46*$E$3/(1+$E$3),R47+$E$3*(S46-R46)),$E$3*S48)</f>
        <v/>
      </c>
      <c r="T47" s="97">
        <f>IF($C$2="Enterprise",IF($C$3="Target FLEV",T46*$E$3/(1+$E$3),S47+$E$3*(T46-S46)),$E$3*T48)</f>
        <v/>
      </c>
      <c r="U47" s="97">
        <f>IF($C$2="Enterprise",IF($C$3="Target FLEV",U46*$E$3/(1+$E$3),T47+$E$3*(U46-T46)),$E$3*U48)</f>
        <v/>
      </c>
      <c r="V47" s="97">
        <f>IF($C$2="Enterprise",IF($C$3="Target FLEV",V46*$E$3/(1+$E$3),U47+$E$3*(V46-U46)),$E$3*V48)</f>
        <v/>
      </c>
      <c r="W47" s="97">
        <f>IF($C$2="Enterprise",IF($C$3="Target FLEV",W46*$E$3/(1+$E$3),V47+$E$3*(W46-V46)),$E$3*W48)</f>
        <v/>
      </c>
      <c r="X47" s="97">
        <f>IF($C$2="Enterprise",IF($C$3="Target FLEV",X46*$E$3/(1+$E$3),W47+$E$3*(X46-W46)),$E$3*X48)</f>
        <v/>
      </c>
      <c r="Y47" s="97">
        <f>IF($C$2="Enterprise",IF($C$3="Target FLEV",Y46*$E$3/(1+$E$3),X47+$E$3*(Y46-X46)),$E$3*Y48)</f>
        <v/>
      </c>
      <c r="Z47" s="97">
        <f>IF($C$2="Enterprise",IF($C$3="Target FLEV",Z46*$E$3/(1+$E$3),Y47+$E$3*(Z46-Y46)),$E$3*Z48)</f>
        <v/>
      </c>
      <c r="AA47" s="97">
        <f>IF($C$2="Enterprise",IF($C$3="Target FLEV",AA46*$E$3/(1+$E$3),Z47+$E$3*(AA46-Z46)),$E$3*AA48)</f>
        <v/>
      </c>
      <c r="AB47" s="97">
        <f>IF($C$2="Enterprise",IF($C$3="Target FLEV",AB46*$E$3/(1+$E$3),AA47+$E$3*(AB46-AA46)),$E$3*AB48)</f>
        <v/>
      </c>
      <c r="AC47" s="97">
        <f>IF($C$2="Enterprise",IF($C$3="Target FLEV",AC46*$E$3/(1+$E$3),AB47+$E$3*(AC46-AB46)),$E$3*AC48)</f>
        <v/>
      </c>
      <c r="AD47" s="97">
        <f>IF($C$2="Enterprise",IF($C$3="Target FLEV",AD46*$E$3/(1+$E$3),AC47+$E$3*(AD46-AC46)),$E$3*AD48)</f>
        <v/>
      </c>
      <c r="AE47" s="97">
        <f>IF($C$2="Enterprise",IF($C$3="Target FLEV",AE46*$E$3/(1+$E$3),AD47+$E$3*(AE46-AD46)),$E$3*AE48)</f>
        <v/>
      </c>
      <c r="AF47" s="97">
        <f>IF($C$2="Enterprise",IF($C$3="Target FLEV",AF46*$E$3/(1+$E$3),AE47+$E$3*(AF46-AE46)),$E$3*AF48)</f>
        <v/>
      </c>
      <c r="AG47" s="97">
        <f>IF($C$2="Enterprise",IF($C$3="Target FLEV",AG46*$E$3/(1+$E$3),AF47+$E$3*(AG46-AF46)),$E$3*AG48)</f>
        <v/>
      </c>
      <c r="AH47" s="97">
        <f>IF($C$2="Enterprise",IF($C$3="Target FLEV",AH46*$E$3/(1+$E$3),AG47+$E$3*(AH46-AG46)),$E$3*AH48)</f>
        <v/>
      </c>
      <c r="AI47" s="97">
        <f>IF($C$2="Enterprise",IF($C$3="Target FLEV",AI46*$E$3/(1+$E$3),AH47+$E$3*(AI46-AH46)),$E$3*AI48)</f>
        <v/>
      </c>
      <c r="AJ47" s="97">
        <f>IF($C$2="Enterprise",IF($C$3="Target FLEV",AJ46*$E$3/(1+$E$3),AI47+$E$3*(AJ46-AI46)),$E$3*AJ48)</f>
        <v/>
      </c>
    </row>
    <row r="48" ht="15" customHeight="1" s="83">
      <c r="A48" s="94" t="inlineStr">
        <is>
          <t xml:space="preserve">   Financed by:  Common equity (CSE = NOA − NFO)</t>
        </is>
      </c>
      <c r="C48" s="95">
        <f>_Actuals!C42</f>
        <v/>
      </c>
      <c r="D48" s="95">
        <f>_Actuals!D42</f>
        <v/>
      </c>
      <c r="E48" s="95">
        <f>_Actuals!E42</f>
        <v/>
      </c>
      <c r="F48" s="95">
        <f>_Actuals!F42</f>
        <v/>
      </c>
      <c r="G48" s="96">
        <f>IF($C$2="Enterprise",G46-G47,F48+G21-G28*G23)</f>
        <v/>
      </c>
      <c r="H48" s="97">
        <f>IF($C$2="Enterprise",H46-H47,G48+H21-H28*H23)</f>
        <v/>
      </c>
      <c r="I48" s="97">
        <f>IF($C$2="Enterprise",I46-I47,H48+I21-I28*I23)</f>
        <v/>
      </c>
      <c r="J48" s="97">
        <f>IF($C$2="Enterprise",J46-J47,I48+J21-J28*J23)</f>
        <v/>
      </c>
      <c r="K48" s="97">
        <f>IF($C$2="Enterprise",K46-K47,J48+K21-K28*K23)</f>
        <v/>
      </c>
      <c r="L48" s="97">
        <f>IF($C$2="Enterprise",L46-L47,K48+L21-L28*L23)</f>
        <v/>
      </c>
      <c r="M48" s="97">
        <f>IF($C$2="Enterprise",M46-M47,L48+M21-M28*M23)</f>
        <v/>
      </c>
      <c r="N48" s="97">
        <f>IF($C$2="Enterprise",N46-N47,M48+N21-N28*N23)</f>
        <v/>
      </c>
      <c r="O48" s="97">
        <f>IF($C$2="Enterprise",O46-O47,N48+O21-O28*O23)</f>
        <v/>
      </c>
      <c r="P48" s="97">
        <f>IF($C$2="Enterprise",P46-P47,O48+P21-P28*P23)</f>
        <v/>
      </c>
      <c r="Q48" s="97">
        <f>IF($C$2="Enterprise",Q46-Q47,P48+Q21-Q28*Q23)</f>
        <v/>
      </c>
      <c r="R48" s="97">
        <f>IF($C$2="Enterprise",R46-R47,Q48+R21-R28*R23)</f>
        <v/>
      </c>
      <c r="S48" s="97">
        <f>IF($C$2="Enterprise",S46-S47,R48+S21-S28*S23)</f>
        <v/>
      </c>
      <c r="T48" s="97">
        <f>IF($C$2="Enterprise",T46-T47,S48+T21-T28*T23)</f>
        <v/>
      </c>
      <c r="U48" s="97">
        <f>IF($C$2="Enterprise",U46-U47,T48+U21-U28*U23)</f>
        <v/>
      </c>
      <c r="V48" s="97">
        <f>IF($C$2="Enterprise",V46-V47,U48+V21-V28*V23)</f>
        <v/>
      </c>
      <c r="W48" s="97">
        <f>IF($C$2="Enterprise",W46-W47,V48+W21-W28*W23)</f>
        <v/>
      </c>
      <c r="X48" s="97">
        <f>IF($C$2="Enterprise",X46-X47,W48+X21-X28*X23)</f>
        <v/>
      </c>
      <c r="Y48" s="97">
        <f>IF($C$2="Enterprise",Y46-Y47,X48+Y21-Y28*Y23)</f>
        <v/>
      </c>
      <c r="Z48" s="97">
        <f>IF($C$2="Enterprise",Z46-Z47,Y48+Z21-Z28*Z23)</f>
        <v/>
      </c>
      <c r="AA48" s="97">
        <f>IF($C$2="Enterprise",AA46-AA47,Z48+AA21-AA28*AA23)</f>
        <v/>
      </c>
      <c r="AB48" s="97">
        <f>IF($C$2="Enterprise",AB46-AB47,AA48+AB21-AB28*AB23)</f>
        <v/>
      </c>
      <c r="AC48" s="97">
        <f>IF($C$2="Enterprise",AC46-AC47,AB48+AC21-AC28*AC23)</f>
        <v/>
      </c>
      <c r="AD48" s="97">
        <f>IF($C$2="Enterprise",AD46-AD47,AC48+AD21-AD28*AD23)</f>
        <v/>
      </c>
      <c r="AE48" s="97">
        <f>IF($C$2="Enterprise",AE46-AE47,AD48+AE21-AE28*AE23)</f>
        <v/>
      </c>
      <c r="AF48" s="97">
        <f>IF($C$2="Enterprise",AF46-AF47,AE48+AF21-AF28*AF23)</f>
        <v/>
      </c>
      <c r="AG48" s="97">
        <f>IF($C$2="Enterprise",AG46-AG47,AF48+AG21-AG28*AG23)</f>
        <v/>
      </c>
      <c r="AH48" s="97">
        <f>IF($C$2="Enterprise",AH46-AH47,AG48+AH21-AH28*AH23)</f>
        <v/>
      </c>
      <c r="AI48" s="97">
        <f>IF($C$2="Enterprise",AI46-AI47,AH48+AI21-AI28*AI23)</f>
        <v/>
      </c>
      <c r="AJ48" s="97">
        <f>IF($C$2="Enterprise",AJ46-AJ47,AI48+AJ21-AJ28*AJ23)</f>
        <v/>
      </c>
    </row>
    <row r="49" ht="15" customHeight="1" s="83">
      <c r="A49" s="94" t="inlineStr">
        <is>
          <t xml:space="preserve">   Net PP&amp;E  (within NOA)</t>
        </is>
      </c>
      <c r="C49" s="95">
        <f>_Actuals!C43</f>
        <v/>
      </c>
      <c r="D49" s="95">
        <f>_Actuals!D43</f>
        <v/>
      </c>
      <c r="E49" s="95">
        <f>_Actuals!E43</f>
        <v/>
      </c>
      <c r="F49" s="95">
        <f>_Actuals!F43</f>
        <v/>
      </c>
      <c r="G49" s="96">
        <f>F49+G35-G13</f>
        <v/>
      </c>
      <c r="H49" s="97">
        <f>G49+H35-H13</f>
        <v/>
      </c>
      <c r="I49" s="97">
        <f>H49+I35-I13</f>
        <v/>
      </c>
      <c r="J49" s="97">
        <f>I49+J35-J13</f>
        <v/>
      </c>
      <c r="K49" s="97">
        <f>J49+K35-K13</f>
        <v/>
      </c>
      <c r="L49" s="97">
        <f>K49+L35-L13</f>
        <v/>
      </c>
      <c r="M49" s="97">
        <f>L49+M35-M13</f>
        <v/>
      </c>
      <c r="N49" s="97">
        <f>M49+N35-N13</f>
        <v/>
      </c>
      <c r="O49" s="97">
        <f>N49+O35-O13</f>
        <v/>
      </c>
      <c r="P49" s="97">
        <f>O49+P35-P13</f>
        <v/>
      </c>
      <c r="Q49" s="97">
        <f>P49+Q35-Q13</f>
        <v/>
      </c>
      <c r="R49" s="97">
        <f>Q49+R35-R13</f>
        <v/>
      </c>
      <c r="S49" s="97">
        <f>R49+S35-S13</f>
        <v/>
      </c>
      <c r="T49" s="97">
        <f>S49+T35-T13</f>
        <v/>
      </c>
      <c r="U49" s="97">
        <f>T49+U35-U13</f>
        <v/>
      </c>
      <c r="V49" s="97">
        <f>U49+V35-V13</f>
        <v/>
      </c>
      <c r="W49" s="97">
        <f>V49+W35-W13</f>
        <v/>
      </c>
      <c r="X49" s="97">
        <f>W49+X35-X13</f>
        <v/>
      </c>
      <c r="Y49" s="97">
        <f>X49+Y35-Y13</f>
        <v/>
      </c>
      <c r="Z49" s="97">
        <f>Y49+Z35-Z13</f>
        <v/>
      </c>
      <c r="AA49" s="97">
        <f>Z49+AA35-AA13</f>
        <v/>
      </c>
      <c r="AB49" s="97">
        <f>AA49+AB35-AB13</f>
        <v/>
      </c>
      <c r="AC49" s="97">
        <f>AB49+AC35-AC13</f>
        <v/>
      </c>
      <c r="AD49" s="97">
        <f>AC49+AD35-AD13</f>
        <v/>
      </c>
      <c r="AE49" s="97">
        <f>AD49+AE35-AE13</f>
        <v/>
      </c>
      <c r="AF49" s="97">
        <f>AE49+AF35-AF13</f>
        <v/>
      </c>
      <c r="AG49" s="97">
        <f>AF49+AG35-AG13</f>
        <v/>
      </c>
      <c r="AH49" s="97">
        <f>AG49+AH35-AH13</f>
        <v/>
      </c>
      <c r="AI49" s="97">
        <f>AH49+AI35-AI13</f>
        <v/>
      </c>
      <c r="AJ49" s="97">
        <f>AI49+AJ35-AJ13</f>
        <v/>
      </c>
    </row>
    <row r="50" ht="15" customHeight="1" s="83">
      <c r="A50" s="98" t="inlineStr">
        <is>
          <t xml:space="preserve">   NOA growth (real)</t>
        </is>
      </c>
      <c r="B50" s="82" t="n"/>
      <c r="C50" s="124" t="n"/>
      <c r="D50" s="124">
        <f>IF(C46=0,"",D46/C46-1)</f>
        <v/>
      </c>
      <c r="E50" s="124">
        <f>IF(D46=0,"",E46/D46-1)</f>
        <v/>
      </c>
      <c r="F50" s="124">
        <f>IF(E46=0,"",F46/E46-1)</f>
        <v/>
      </c>
      <c r="G50" s="101" t="n"/>
      <c r="H50" s="101">
        <f>G50</f>
        <v/>
      </c>
      <c r="I50" s="101">
        <f>H50</f>
        <v/>
      </c>
      <c r="J50" s="101">
        <f>I50</f>
        <v/>
      </c>
      <c r="K50" s="101">
        <f>J50</f>
        <v/>
      </c>
      <c r="L50" s="101">
        <f>K50</f>
        <v/>
      </c>
      <c r="M50" s="101">
        <f>L50</f>
        <v/>
      </c>
      <c r="N50" s="101">
        <f>M50</f>
        <v/>
      </c>
      <c r="O50" s="101">
        <f>N50</f>
        <v/>
      </c>
      <c r="P50" s="101">
        <f>O50</f>
        <v/>
      </c>
      <c r="Q50" s="101">
        <f>P50</f>
        <v/>
      </c>
      <c r="R50" s="101">
        <f>Q50</f>
        <v/>
      </c>
      <c r="S50" s="101">
        <f>R50</f>
        <v/>
      </c>
      <c r="T50" s="101">
        <f>S50</f>
        <v/>
      </c>
      <c r="U50" s="101">
        <f>T50</f>
        <v/>
      </c>
      <c r="V50" s="101">
        <f>U50</f>
        <v/>
      </c>
      <c r="W50" s="101">
        <f>V50</f>
        <v/>
      </c>
      <c r="X50" s="101">
        <f>W50</f>
        <v/>
      </c>
      <c r="Y50" s="101">
        <f>X50</f>
        <v/>
      </c>
      <c r="Z50" s="101">
        <f>Y50</f>
        <v/>
      </c>
      <c r="AA50" s="101">
        <f>Z50</f>
        <v/>
      </c>
      <c r="AB50" s="101">
        <f>AA50</f>
        <v/>
      </c>
      <c r="AC50" s="101">
        <f>AB50</f>
        <v/>
      </c>
      <c r="AD50" s="101">
        <f>AC50</f>
        <v/>
      </c>
      <c r="AE50" s="101">
        <f>AD50</f>
        <v/>
      </c>
      <c r="AF50" s="101">
        <f>AE50</f>
        <v/>
      </c>
      <c r="AG50" s="101">
        <f>AF50</f>
        <v/>
      </c>
      <c r="AH50" s="101">
        <f>AG50</f>
        <v/>
      </c>
      <c r="AI50" s="101">
        <f>AH50</f>
        <v/>
      </c>
      <c r="AJ50" s="101">
        <f>AI50</f>
        <v/>
      </c>
    </row>
    <row r="51" ht="15" customHeight="1" s="83">
      <c r="A51" s="92" t="inlineStr">
        <is>
          <t xml:space="preserve">   Financing policy — Target FLEV (held constant)</t>
        </is>
      </c>
      <c r="B51" s="82" t="n"/>
      <c r="C51" s="126" t="n"/>
      <c r="D51" s="126" t="n"/>
      <c r="E51" s="126" t="n"/>
      <c r="F51" s="126" t="n"/>
      <c r="G51" s="127">
        <f>IF($C$2="Enterprise",IF($C$3="Funding policy", F58/(1+F58), F58),$E$3)</f>
        <v/>
      </c>
      <c r="H51" s="127">
        <f>IF($C$2="Enterprise",G51,$E$3)</f>
        <v/>
      </c>
      <c r="I51" s="127">
        <f>IF($C$2="Enterprise",H51,$E$3)</f>
        <v/>
      </c>
      <c r="J51" s="127">
        <f>IF($C$2="Enterprise",I51,$E$3)</f>
        <v/>
      </c>
      <c r="K51" s="127">
        <f>IF($C$2="Enterprise",J51,$E$3)</f>
        <v/>
      </c>
      <c r="L51" s="127">
        <f>IF($C$2="Enterprise",K51,$E$3)</f>
        <v/>
      </c>
      <c r="M51" s="127">
        <f>IF($C$2="Enterprise",L51,$E$3)</f>
        <v/>
      </c>
      <c r="N51" s="127">
        <f>IF($C$2="Enterprise",M51,$E$3)</f>
        <v/>
      </c>
      <c r="O51" s="127">
        <f>IF($C$2="Enterprise",N51,$E$3)</f>
        <v/>
      </c>
      <c r="P51" s="127">
        <f>IF($C$2="Enterprise",O51,$E$3)</f>
        <v/>
      </c>
      <c r="Q51" s="127">
        <f>IF($C$2="Enterprise",P51,$E$3)</f>
        <v/>
      </c>
      <c r="R51" s="127">
        <f>IF($C$2="Enterprise",Q51,$E$3)</f>
        <v/>
      </c>
      <c r="S51" s="127">
        <f>IF($C$2="Enterprise",R51,$E$3)</f>
        <v/>
      </c>
      <c r="T51" s="127">
        <f>IF($C$2="Enterprise",S51,$E$3)</f>
        <v/>
      </c>
      <c r="U51" s="127">
        <f>IF($C$2="Enterprise",T51,$E$3)</f>
        <v/>
      </c>
      <c r="V51" s="127">
        <f>IF($C$2="Enterprise",U51,$E$3)</f>
        <v/>
      </c>
      <c r="W51" s="127">
        <f>IF($C$2="Enterprise",V51,$E$3)</f>
        <v/>
      </c>
      <c r="X51" s="127">
        <f>IF($C$2="Enterprise",W51,$E$3)</f>
        <v/>
      </c>
      <c r="Y51" s="127">
        <f>IF($C$2="Enterprise",X51,$E$3)</f>
        <v/>
      </c>
      <c r="Z51" s="127">
        <f>IF($C$2="Enterprise",Y51,$E$3)</f>
        <v/>
      </c>
      <c r="AA51" s="127">
        <f>IF($C$2="Enterprise",Z51,$E$3)</f>
        <v/>
      </c>
      <c r="AB51" s="127">
        <f>IF($C$2="Enterprise",AA51,$E$3)</f>
        <v/>
      </c>
      <c r="AC51" s="127">
        <f>IF($C$2="Enterprise",AB51,$E$3)</f>
        <v/>
      </c>
      <c r="AD51" s="127">
        <f>IF($C$2="Enterprise",AC51,$E$3)</f>
        <v/>
      </c>
      <c r="AE51" s="127">
        <f>IF($C$2="Enterprise",AD51,$E$3)</f>
        <v/>
      </c>
      <c r="AF51" s="127">
        <f>IF($C$2="Enterprise",AE51,$E$3)</f>
        <v/>
      </c>
      <c r="AG51" s="127">
        <f>IF($C$2="Enterprise",AF51,$E$3)</f>
        <v/>
      </c>
      <c r="AH51" s="127">
        <f>IF($C$2="Enterprise",AG51,$E$3)</f>
        <v/>
      </c>
      <c r="AI51" s="127">
        <f>IF($C$2="Enterprise",AH51,$E$3)</f>
        <v/>
      </c>
      <c r="AJ51" s="127">
        <f>IF($C$2="Enterprise",AI51,$E$3)</f>
        <v/>
      </c>
    </row>
    <row r="52" ht="15" customHeight="1" s="83">
      <c r="A52" s="128" t="inlineStr">
        <is>
          <t xml:space="preserve">  DuPont Decomposition &amp; Other Checks</t>
        </is>
      </c>
      <c r="G52" s="129" t="n"/>
    </row>
    <row r="53" ht="15" customHeight="1" s="83">
      <c r="A53" s="94" t="inlineStr">
        <is>
          <t>Operating profit margin (OI / revenue)</t>
        </is>
      </c>
      <c r="B53" s="82" t="n"/>
      <c r="C53" s="130">
        <f>IF(C6=0,"",C18/C6)</f>
        <v/>
      </c>
      <c r="D53" s="130">
        <f>IF(D6=0,"",D18/D6)</f>
        <v/>
      </c>
      <c r="E53" s="130">
        <f>IF(E6=0,"",E18/E6)</f>
        <v/>
      </c>
      <c r="F53" s="130">
        <f>IF(F6=0,"",F18/F6)</f>
        <v/>
      </c>
      <c r="G53" s="131">
        <f>IF(G6=0,"",G18/G6)</f>
        <v/>
      </c>
      <c r="H53" s="131">
        <f>IF(H6=0,"",H18/H6)</f>
        <v/>
      </c>
      <c r="I53" s="131">
        <f>IF(I6=0,"",I18/I6)</f>
        <v/>
      </c>
      <c r="J53" s="131">
        <f>IF(J6=0,"",J18/J6)</f>
        <v/>
      </c>
      <c r="K53" s="131">
        <f>IF(K6=0,"",K18/K6)</f>
        <v/>
      </c>
      <c r="L53" s="131">
        <f>IF(L6=0,"",L18/L6)</f>
        <v/>
      </c>
      <c r="M53" s="131">
        <f>IF(M6=0,"",M18/M6)</f>
        <v/>
      </c>
      <c r="N53" s="131">
        <f>IF(N6=0,"",N18/N6)</f>
        <v/>
      </c>
      <c r="O53" s="131">
        <f>IF(O6=0,"",O18/O6)</f>
        <v/>
      </c>
      <c r="P53" s="131">
        <f>IF(P6=0,"",P18/P6)</f>
        <v/>
      </c>
      <c r="Q53" s="131">
        <f>IF(Q6=0,"",Q18/Q6)</f>
        <v/>
      </c>
      <c r="R53" s="131">
        <f>IF(R6=0,"",R18/R6)</f>
        <v/>
      </c>
      <c r="S53" s="131">
        <f>IF(S6=0,"",S18/S6)</f>
        <v/>
      </c>
      <c r="T53" s="131">
        <f>IF(T6=0,"",T18/T6)</f>
        <v/>
      </c>
      <c r="U53" s="131">
        <f>IF(U6=0,"",U18/U6)</f>
        <v/>
      </c>
      <c r="V53" s="131">
        <f>IF(V6=0,"",V18/V6)</f>
        <v/>
      </c>
      <c r="W53" s="131">
        <f>IF(W6=0,"",W18/W6)</f>
        <v/>
      </c>
      <c r="X53" s="131">
        <f>IF(X6=0,"",X18/X6)</f>
        <v/>
      </c>
      <c r="Y53" s="131">
        <f>IF(Y6=0,"",Y18/Y6)</f>
        <v/>
      </c>
      <c r="Z53" s="131">
        <f>IF(Z6=0,"",Z18/Z6)</f>
        <v/>
      </c>
      <c r="AA53" s="131">
        <f>IF(AA6=0,"",AA18/AA6)</f>
        <v/>
      </c>
      <c r="AB53" s="131">
        <f>IF(AB6=0,"",AB18/AB6)</f>
        <v/>
      </c>
      <c r="AC53" s="131">
        <f>IF(AC6=0,"",AC18/AC6)</f>
        <v/>
      </c>
      <c r="AD53" s="131">
        <f>IF(AD6=0,"",AD18/AD6)</f>
        <v/>
      </c>
      <c r="AE53" s="131">
        <f>IF(AE6=0,"",AE18/AE6)</f>
        <v/>
      </c>
      <c r="AF53" s="131">
        <f>IF(AF6=0,"",AF18/AF6)</f>
        <v/>
      </c>
      <c r="AG53" s="131">
        <f>IF(AG6=0,"",AG18/AG6)</f>
        <v/>
      </c>
      <c r="AH53" s="131">
        <f>IF(AH6=0,"",AH18/AH6)</f>
        <v/>
      </c>
      <c r="AI53" s="131">
        <f>IF(AI6=0,"",AI18/AI6)</f>
        <v/>
      </c>
      <c r="AJ53" s="131">
        <f>IF(AJ6=0,"",AJ18/AJ6)</f>
        <v/>
      </c>
    </row>
    <row r="54" ht="15" customHeight="1" s="83">
      <c r="A54" s="94" t="inlineStr">
        <is>
          <t>Net profit margin (NI / revenue)</t>
        </is>
      </c>
      <c r="B54" s="82" t="n"/>
      <c r="C54" s="130">
        <f>IF(C6=0,"",C21/C6)</f>
        <v/>
      </c>
      <c r="D54" s="130">
        <f>IF(D6=0,"",D21/D6)</f>
        <v/>
      </c>
      <c r="E54" s="130">
        <f>IF(E6=0,"",E21/E6)</f>
        <v/>
      </c>
      <c r="F54" s="130">
        <f>IF(F6=0,"",F21/F6)</f>
        <v/>
      </c>
      <c r="G54" s="131">
        <f>IF(G6=0,"",G21/G6)</f>
        <v/>
      </c>
      <c r="H54" s="131">
        <f>IF(H6=0,"",H21/H6)</f>
        <v/>
      </c>
      <c r="I54" s="131">
        <f>IF(I6=0,"",I21/I6)</f>
        <v/>
      </c>
      <c r="J54" s="131">
        <f>IF(J6=0,"",J21/J6)</f>
        <v/>
      </c>
      <c r="K54" s="131">
        <f>IF(K6=0,"",K21/K6)</f>
        <v/>
      </c>
      <c r="L54" s="131">
        <f>IF(L6=0,"",L21/L6)</f>
        <v/>
      </c>
      <c r="M54" s="131">
        <f>IF(M6=0,"",M21/M6)</f>
        <v/>
      </c>
      <c r="N54" s="131">
        <f>IF(N6=0,"",N21/N6)</f>
        <v/>
      </c>
      <c r="O54" s="131">
        <f>IF(O6=0,"",O21/O6)</f>
        <v/>
      </c>
      <c r="P54" s="131">
        <f>IF(P6=0,"",P21/P6)</f>
        <v/>
      </c>
      <c r="Q54" s="131">
        <f>IF(Q6=0,"",Q21/Q6)</f>
        <v/>
      </c>
      <c r="R54" s="131">
        <f>IF(R6=0,"",R21/R6)</f>
        <v/>
      </c>
      <c r="S54" s="131">
        <f>IF(S6=0,"",S21/S6)</f>
        <v/>
      </c>
      <c r="T54" s="131">
        <f>IF(T6=0,"",T21/T6)</f>
        <v/>
      </c>
      <c r="U54" s="131">
        <f>IF(U6=0,"",U21/U6)</f>
        <v/>
      </c>
      <c r="V54" s="131">
        <f>IF(V6=0,"",V21/V6)</f>
        <v/>
      </c>
      <c r="W54" s="131">
        <f>IF(W6=0,"",W21/W6)</f>
        <v/>
      </c>
      <c r="X54" s="131">
        <f>IF(X6=0,"",X21/X6)</f>
        <v/>
      </c>
      <c r="Y54" s="131">
        <f>IF(Y6=0,"",Y21/Y6)</f>
        <v/>
      </c>
      <c r="Z54" s="131">
        <f>IF(Z6=0,"",Z21/Z6)</f>
        <v/>
      </c>
      <c r="AA54" s="131">
        <f>IF(AA6=0,"",AA21/AA6)</f>
        <v/>
      </c>
      <c r="AB54" s="131">
        <f>IF(AB6=0,"",AB21/AB6)</f>
        <v/>
      </c>
      <c r="AC54" s="131">
        <f>IF(AC6=0,"",AC21/AC6)</f>
        <v/>
      </c>
      <c r="AD54" s="131">
        <f>IF(AD6=0,"",AD21/AD6)</f>
        <v/>
      </c>
      <c r="AE54" s="131">
        <f>IF(AE6=0,"",AE21/AE6)</f>
        <v/>
      </c>
      <c r="AF54" s="131">
        <f>IF(AF6=0,"",AF21/AF6)</f>
        <v/>
      </c>
      <c r="AG54" s="131">
        <f>IF(AG6=0,"",AG21/AG6)</f>
        <v/>
      </c>
      <c r="AH54" s="131">
        <f>IF(AH6=0,"",AH21/AH6)</f>
        <v/>
      </c>
      <c r="AI54" s="131">
        <f>IF(AI6=0,"",AI21/AI6)</f>
        <v/>
      </c>
      <c r="AJ54" s="131">
        <f>IF(AJ6=0,"",AJ21/AJ6)</f>
        <v/>
      </c>
    </row>
    <row r="55" ht="15" customHeight="1" s="83">
      <c r="A55" s="94" t="inlineStr">
        <is>
          <t>Asset turnover (revenue / prior NOA)</t>
        </is>
      </c>
      <c r="B55" s="82" t="n"/>
      <c r="C55" s="132">
        <f>IF(B46=0,"",C6/B46)</f>
        <v/>
      </c>
      <c r="D55" s="132">
        <f>IF(C46=0,"",D6/C46)</f>
        <v/>
      </c>
      <c r="E55" s="132">
        <f>IF(D46=0,"",E6/D46)</f>
        <v/>
      </c>
      <c r="F55" s="132">
        <f>IF(E46=0,"",F6/E46)</f>
        <v/>
      </c>
      <c r="G55" s="133">
        <f>IF(F46=0,"",G6/F46)</f>
        <v/>
      </c>
      <c r="H55" s="133">
        <f>IF(G46=0,"",H6/G46)</f>
        <v/>
      </c>
      <c r="I55" s="133">
        <f>IF(H46=0,"",I6/H46)</f>
        <v/>
      </c>
      <c r="J55" s="133">
        <f>IF(I46=0,"",J6/I46)</f>
        <v/>
      </c>
      <c r="K55" s="133">
        <f>IF(J46=0,"",K6/J46)</f>
        <v/>
      </c>
      <c r="L55" s="133">
        <f>IF(K46=0,"",L6/K46)</f>
        <v/>
      </c>
      <c r="M55" s="133">
        <f>IF(L46=0,"",M6/L46)</f>
        <v/>
      </c>
      <c r="N55" s="133">
        <f>IF(M46=0,"",N6/M46)</f>
        <v/>
      </c>
      <c r="O55" s="133">
        <f>IF(N46=0,"",O6/N46)</f>
        <v/>
      </c>
      <c r="P55" s="133">
        <f>IF(O46=0,"",P6/O46)</f>
        <v/>
      </c>
      <c r="Q55" s="133">
        <f>IF(P46=0,"",Q6/P46)</f>
        <v/>
      </c>
      <c r="R55" s="133">
        <f>IF(Q46=0,"",R6/Q46)</f>
        <v/>
      </c>
      <c r="S55" s="133">
        <f>IF(R46=0,"",S6/R46)</f>
        <v/>
      </c>
      <c r="T55" s="133">
        <f>IF(S46=0,"",T6/S46)</f>
        <v/>
      </c>
      <c r="U55" s="133">
        <f>IF(T46=0,"",U6/T46)</f>
        <v/>
      </c>
      <c r="V55" s="133">
        <f>IF(U46=0,"",V6/U46)</f>
        <v/>
      </c>
      <c r="W55" s="133">
        <f>IF(V46=0,"",W6/V46)</f>
        <v/>
      </c>
      <c r="X55" s="133">
        <f>IF(W46=0,"",X6/W46)</f>
        <v/>
      </c>
      <c r="Y55" s="133">
        <f>IF(X46=0,"",Y6/X46)</f>
        <v/>
      </c>
      <c r="Z55" s="133">
        <f>IF(Y46=0,"",Z6/Y46)</f>
        <v/>
      </c>
      <c r="AA55" s="133">
        <f>IF(Z46=0,"",AA6/Z46)</f>
        <v/>
      </c>
      <c r="AB55" s="133">
        <f>IF(AA46=0,"",AB6/AA46)</f>
        <v/>
      </c>
      <c r="AC55" s="133">
        <f>IF(AB46=0,"",AC6/AB46)</f>
        <v/>
      </c>
      <c r="AD55" s="133">
        <f>IF(AC46=0,"",AD6/AC46)</f>
        <v/>
      </c>
      <c r="AE55" s="133">
        <f>IF(AD46=0,"",AE6/AD46)</f>
        <v/>
      </c>
      <c r="AF55" s="133">
        <f>IF(AE46=0,"",AF6/AE46)</f>
        <v/>
      </c>
      <c r="AG55" s="133">
        <f>IF(AF46=0,"",AG6/AF46)</f>
        <v/>
      </c>
      <c r="AH55" s="133">
        <f>IF(AG46=0,"",AH6/AG46)</f>
        <v/>
      </c>
      <c r="AI55" s="133">
        <f>IF(AH46=0,"",AI6/AH46)</f>
        <v/>
      </c>
      <c r="AJ55" s="133">
        <f>IF(AI46=0,"",AJ6/AI46)</f>
        <v/>
      </c>
    </row>
    <row r="56" ht="15" customHeight="1" s="83">
      <c r="A56" s="94" t="inlineStr">
        <is>
          <t>Return on assets (NI / prior NOA)</t>
        </is>
      </c>
      <c r="B56" s="82" t="n"/>
      <c r="C56" s="130">
        <f>IF(B46=0,"",C21/B46)</f>
        <v/>
      </c>
      <c r="D56" s="130">
        <f>IF(C46=0,"",D21/C46)</f>
        <v/>
      </c>
      <c r="E56" s="130">
        <f>IF(D46=0,"",E21/D46)</f>
        <v/>
      </c>
      <c r="F56" s="130">
        <f>IF(E46=0,"",F21/E46)</f>
        <v/>
      </c>
      <c r="G56" s="131">
        <f>IF(F46=0,"",G21/F46)</f>
        <v/>
      </c>
      <c r="H56" s="131">
        <f>IF(G46=0,"",H21/G46)</f>
        <v/>
      </c>
      <c r="I56" s="131">
        <f>IF(H46=0,"",I21/H46)</f>
        <v/>
      </c>
      <c r="J56" s="131">
        <f>IF(I46=0,"",J21/I46)</f>
        <v/>
      </c>
      <c r="K56" s="131">
        <f>IF(J46=0,"",K21/J46)</f>
        <v/>
      </c>
      <c r="L56" s="131">
        <f>IF(K46=0,"",L21/K46)</f>
        <v/>
      </c>
      <c r="M56" s="131">
        <f>IF(L46=0,"",M21/L46)</f>
        <v/>
      </c>
      <c r="N56" s="131">
        <f>IF(M46=0,"",N21/M46)</f>
        <v/>
      </c>
      <c r="O56" s="131">
        <f>IF(N46=0,"",O21/N46)</f>
        <v/>
      </c>
      <c r="P56" s="131">
        <f>IF(O46=0,"",P21/O46)</f>
        <v/>
      </c>
      <c r="Q56" s="131">
        <f>IF(P46=0,"",Q21/P46)</f>
        <v/>
      </c>
      <c r="R56" s="131">
        <f>IF(Q46=0,"",R21/Q46)</f>
        <v/>
      </c>
      <c r="S56" s="131">
        <f>IF(R46=0,"",S21/R46)</f>
        <v/>
      </c>
      <c r="T56" s="131">
        <f>IF(S46=0,"",T21/S46)</f>
        <v/>
      </c>
      <c r="U56" s="131">
        <f>IF(T46=0,"",U21/T46)</f>
        <v/>
      </c>
      <c r="V56" s="131">
        <f>IF(U46=0,"",V21/U46)</f>
        <v/>
      </c>
      <c r="W56" s="131">
        <f>IF(V46=0,"",W21/V46)</f>
        <v/>
      </c>
      <c r="X56" s="131">
        <f>IF(W46=0,"",X21/W46)</f>
        <v/>
      </c>
      <c r="Y56" s="131">
        <f>IF(X46=0,"",Y21/X46)</f>
        <v/>
      </c>
      <c r="Z56" s="131">
        <f>IF(Y46=0,"",Z21/Y46)</f>
        <v/>
      </c>
      <c r="AA56" s="131">
        <f>IF(Z46=0,"",AA21/Z46)</f>
        <v/>
      </c>
      <c r="AB56" s="131">
        <f>IF(AA46=0,"",AB21/AA46)</f>
        <v/>
      </c>
      <c r="AC56" s="131">
        <f>IF(AB46=0,"",AC21/AB46)</f>
        <v/>
      </c>
      <c r="AD56" s="131">
        <f>IF(AC46=0,"",AD21/AC46)</f>
        <v/>
      </c>
      <c r="AE56" s="131">
        <f>IF(AD46=0,"",AE21/AD46)</f>
        <v/>
      </c>
      <c r="AF56" s="131">
        <f>IF(AE46=0,"",AF21/AE46)</f>
        <v/>
      </c>
      <c r="AG56" s="131">
        <f>IF(AF46=0,"",AG21/AF46)</f>
        <v/>
      </c>
      <c r="AH56" s="131">
        <f>IF(AG46=0,"",AH21/AG46)</f>
        <v/>
      </c>
      <c r="AI56" s="131">
        <f>IF(AH46=0,"",AI21/AH46)</f>
        <v/>
      </c>
      <c r="AJ56" s="131">
        <f>IF(AI46=0,"",AJ21/AI46)</f>
        <v/>
      </c>
    </row>
    <row r="57" ht="15" customHeight="1" s="83">
      <c r="A57" s="94" t="inlineStr">
        <is>
          <t>Return on NOA  (RNOA = margin × turnover)</t>
        </is>
      </c>
      <c r="B57" s="82" t="n"/>
      <c r="C57" s="130">
        <f>IF(B46=0,"",C18/B46)</f>
        <v/>
      </c>
      <c r="D57" s="130">
        <f>IF(C46=0,"",D18/C46)</f>
        <v/>
      </c>
      <c r="E57" s="130">
        <f>IF(D46=0,"",E18/D46)</f>
        <v/>
      </c>
      <c r="F57" s="130">
        <f>IF(E46=0,"",F18/E46)</f>
        <v/>
      </c>
      <c r="G57" s="131">
        <f>IF(F46=0,"",G18/F46)</f>
        <v/>
      </c>
      <c r="H57" s="131">
        <f>IF(G46=0,"",H18/G46)</f>
        <v/>
      </c>
      <c r="I57" s="131">
        <f>IF(H46=0,"",I18/H46)</f>
        <v/>
      </c>
      <c r="J57" s="131">
        <f>IF(I46=0,"",J18/I46)</f>
        <v/>
      </c>
      <c r="K57" s="131">
        <f>IF(J46=0,"",K18/J46)</f>
        <v/>
      </c>
      <c r="L57" s="131">
        <f>IF(K46=0,"",L18/K46)</f>
        <v/>
      </c>
      <c r="M57" s="131">
        <f>IF(L46=0,"",M18/L46)</f>
        <v/>
      </c>
      <c r="N57" s="131">
        <f>IF(M46=0,"",N18/M46)</f>
        <v/>
      </c>
      <c r="O57" s="131">
        <f>IF(N46=0,"",O18/N46)</f>
        <v/>
      </c>
      <c r="P57" s="131">
        <f>IF(O46=0,"",P18/O46)</f>
        <v/>
      </c>
      <c r="Q57" s="131">
        <f>IF(P46=0,"",Q18/P46)</f>
        <v/>
      </c>
      <c r="R57" s="131">
        <f>IF(Q46=0,"",R18/Q46)</f>
        <v/>
      </c>
      <c r="S57" s="131">
        <f>IF(R46=0,"",S18/R46)</f>
        <v/>
      </c>
      <c r="T57" s="131">
        <f>IF(S46=0,"",T18/S46)</f>
        <v/>
      </c>
      <c r="U57" s="131">
        <f>IF(T46=0,"",U18/T46)</f>
        <v/>
      </c>
      <c r="V57" s="131">
        <f>IF(U46=0,"",V18/U46)</f>
        <v/>
      </c>
      <c r="W57" s="131">
        <f>IF(V46=0,"",W18/V46)</f>
        <v/>
      </c>
      <c r="X57" s="131">
        <f>IF(W46=0,"",X18/W46)</f>
        <v/>
      </c>
      <c r="Y57" s="131">
        <f>IF(X46=0,"",Y18/X46)</f>
        <v/>
      </c>
      <c r="Z57" s="131">
        <f>IF(Y46=0,"",Z18/Y46)</f>
        <v/>
      </c>
      <c r="AA57" s="131">
        <f>IF(Z46=0,"",AA18/Z46)</f>
        <v/>
      </c>
      <c r="AB57" s="131">
        <f>IF(AA46=0,"",AB18/AA46)</f>
        <v/>
      </c>
      <c r="AC57" s="131">
        <f>IF(AB46=0,"",AC18/AB46)</f>
        <v/>
      </c>
      <c r="AD57" s="131">
        <f>IF(AC46=0,"",AD18/AC46)</f>
        <v/>
      </c>
      <c r="AE57" s="131">
        <f>IF(AD46=0,"",AE18/AD46)</f>
        <v/>
      </c>
      <c r="AF57" s="131">
        <f>IF(AE46=0,"",AF18/AE46)</f>
        <v/>
      </c>
      <c r="AG57" s="131">
        <f>IF(AF46=0,"",AG18/AF46)</f>
        <v/>
      </c>
      <c r="AH57" s="131">
        <f>IF(AG46=0,"",AH18/AG46)</f>
        <v/>
      </c>
      <c r="AI57" s="131">
        <f>IF(AH46=0,"",AI18/AH46)</f>
        <v/>
      </c>
      <c r="AJ57" s="131">
        <f>IF(AI46=0,"",AJ18/AI46)</f>
        <v/>
      </c>
    </row>
    <row r="58" ht="15" customHeight="1" s="83">
      <c r="A58" s="94" t="inlineStr">
        <is>
          <t>Financial leverage (FLEV = NFO / CSE)</t>
        </is>
      </c>
      <c r="B58" s="82" t="n"/>
      <c r="C58" s="134">
        <f>C47/C48</f>
        <v/>
      </c>
      <c r="D58" s="134">
        <f>D47/D48</f>
        <v/>
      </c>
      <c r="E58" s="134">
        <f>E47/E48</f>
        <v/>
      </c>
      <c r="F58" s="134">
        <f>F47/F48</f>
        <v/>
      </c>
      <c r="G58" s="135">
        <f>G47/G48</f>
        <v/>
      </c>
      <c r="H58" s="135">
        <f>H47/H48</f>
        <v/>
      </c>
      <c r="I58" s="135">
        <f>I47/I48</f>
        <v/>
      </c>
      <c r="J58" s="135">
        <f>J47/J48</f>
        <v/>
      </c>
      <c r="K58" s="135">
        <f>K47/K48</f>
        <v/>
      </c>
      <c r="L58" s="135">
        <f>L47/L48</f>
        <v/>
      </c>
      <c r="M58" s="135">
        <f>M47/M48</f>
        <v/>
      </c>
      <c r="N58" s="135">
        <f>N47/N48</f>
        <v/>
      </c>
      <c r="O58" s="135">
        <f>O47/O48</f>
        <v/>
      </c>
      <c r="P58" s="135">
        <f>P47/P48</f>
        <v/>
      </c>
      <c r="Q58" s="135">
        <f>Q47/Q48</f>
        <v/>
      </c>
      <c r="R58" s="135">
        <f>R47/R48</f>
        <v/>
      </c>
      <c r="S58" s="135">
        <f>S47/S48</f>
        <v/>
      </c>
      <c r="T58" s="135">
        <f>T47/T48</f>
        <v/>
      </c>
      <c r="U58" s="135">
        <f>U47/U48</f>
        <v/>
      </c>
      <c r="V58" s="135">
        <f>V47/V48</f>
        <v/>
      </c>
      <c r="W58" s="135">
        <f>W47/W48</f>
        <v/>
      </c>
      <c r="X58" s="135">
        <f>X47/X48</f>
        <v/>
      </c>
      <c r="Y58" s="135">
        <f>Y47/Y48</f>
        <v/>
      </c>
      <c r="Z58" s="135">
        <f>Z47/Z48</f>
        <v/>
      </c>
      <c r="AA58" s="135">
        <f>AA47/AA48</f>
        <v/>
      </c>
      <c r="AB58" s="135">
        <f>AB47/AB48</f>
        <v/>
      </c>
      <c r="AC58" s="135">
        <f>AC47/AC48</f>
        <v/>
      </c>
      <c r="AD58" s="135">
        <f>AD47/AD48</f>
        <v/>
      </c>
      <c r="AE58" s="135">
        <f>AE47/AE48</f>
        <v/>
      </c>
      <c r="AF58" s="135">
        <f>AF47/AF48</f>
        <v/>
      </c>
      <c r="AG58" s="135">
        <f>AG47/AG48</f>
        <v/>
      </c>
      <c r="AH58" s="135">
        <f>AH47/AH48</f>
        <v/>
      </c>
      <c r="AI58" s="135">
        <f>AI47/AI48</f>
        <v/>
      </c>
      <c r="AJ58" s="135">
        <f>AJ47/AJ48</f>
        <v/>
      </c>
    </row>
    <row r="59" ht="15" customHeight="1" s="83">
      <c r="A59" s="94" t="inlineStr">
        <is>
          <t>Net borrowing cost (NBC)</t>
        </is>
      </c>
      <c r="B59" s="82" t="n"/>
      <c r="C59" s="130">
        <f>IF(B47=0,"",C20/B47)</f>
        <v/>
      </c>
      <c r="D59" s="130">
        <f>IF(C47=0,"",D20/C47)</f>
        <v/>
      </c>
      <c r="E59" s="130">
        <f>IF(D47=0,"",E20/D47)</f>
        <v/>
      </c>
      <c r="F59" s="130">
        <f>IF(E47=0,"",F20/E47)</f>
        <v/>
      </c>
      <c r="G59" s="131">
        <f>IF(F47=0,"",G20/F47)</f>
        <v/>
      </c>
      <c r="H59" s="131">
        <f>IF(G47=0,"",H20/G47)</f>
        <v/>
      </c>
      <c r="I59" s="131">
        <f>IF(H47=0,"",I20/H47)</f>
        <v/>
      </c>
      <c r="J59" s="131">
        <f>IF(I47=0,"",J20/I47)</f>
        <v/>
      </c>
      <c r="K59" s="131">
        <f>IF(J47=0,"",K20/J47)</f>
        <v/>
      </c>
      <c r="L59" s="131">
        <f>IF(K47=0,"",L20/K47)</f>
        <v/>
      </c>
      <c r="M59" s="131">
        <f>IF(L47=0,"",M20/L47)</f>
        <v/>
      </c>
      <c r="N59" s="131">
        <f>IF(M47=0,"",N20/M47)</f>
        <v/>
      </c>
      <c r="O59" s="131">
        <f>IF(N47=0,"",O20/N47)</f>
        <v/>
      </c>
      <c r="P59" s="131">
        <f>IF(O47=0,"",P20/O47)</f>
        <v/>
      </c>
      <c r="Q59" s="131">
        <f>IF(P47=0,"",Q20/P47)</f>
        <v/>
      </c>
      <c r="R59" s="131">
        <f>IF(Q47=0,"",R20/Q47)</f>
        <v/>
      </c>
      <c r="S59" s="131">
        <f>IF(R47=0,"",S20/R47)</f>
        <v/>
      </c>
      <c r="T59" s="131">
        <f>IF(S47=0,"",T20/S47)</f>
        <v/>
      </c>
      <c r="U59" s="131">
        <f>IF(T47=0,"",U20/T47)</f>
        <v/>
      </c>
      <c r="V59" s="131">
        <f>IF(U47=0,"",V20/U47)</f>
        <v/>
      </c>
      <c r="W59" s="131">
        <f>IF(V47=0,"",W20/V47)</f>
        <v/>
      </c>
      <c r="X59" s="131">
        <f>IF(W47=0,"",X20/W47)</f>
        <v/>
      </c>
      <c r="Y59" s="131">
        <f>IF(X47=0,"",Y20/X47)</f>
        <v/>
      </c>
      <c r="Z59" s="131">
        <f>IF(Y47=0,"",Z20/Y47)</f>
        <v/>
      </c>
      <c r="AA59" s="131">
        <f>IF(Z47=0,"",AA20/Z47)</f>
        <v/>
      </c>
      <c r="AB59" s="131">
        <f>IF(AA47=0,"",AB20/AA47)</f>
        <v/>
      </c>
      <c r="AC59" s="131">
        <f>IF(AB47=0,"",AC20/AB47)</f>
        <v/>
      </c>
      <c r="AD59" s="131">
        <f>IF(AC47=0,"",AD20/AC47)</f>
        <v/>
      </c>
      <c r="AE59" s="131">
        <f>IF(AD47=0,"",AE20/AD47)</f>
        <v/>
      </c>
      <c r="AF59" s="131">
        <f>IF(AE47=0,"",AF20/AE47)</f>
        <v/>
      </c>
      <c r="AG59" s="131">
        <f>IF(AF47=0,"",AG20/AF47)</f>
        <v/>
      </c>
      <c r="AH59" s="131">
        <f>IF(AG47=0,"",AH20/AG47)</f>
        <v/>
      </c>
      <c r="AI59" s="131">
        <f>IF(AH47=0,"",AI20/AH47)</f>
        <v/>
      </c>
      <c r="AJ59" s="131">
        <f>IF(AI47=0,"",AJ20/AI47)</f>
        <v/>
      </c>
    </row>
    <row r="60" ht="15" customHeight="1" s="83">
      <c r="A60" s="136" t="inlineStr">
        <is>
          <t>Spread (RNOA − NBC)</t>
        </is>
      </c>
      <c r="B60" s="82" t="n"/>
      <c r="C60" s="130">
        <f>IF(OR(C57="",C59=""),"",C57-C59)</f>
        <v/>
      </c>
      <c r="D60" s="130">
        <f>IF(OR(D57="",D59=""),"",D57-D59)</f>
        <v/>
      </c>
      <c r="E60" s="130">
        <f>IF(OR(E57="",E59=""),"",E57-E59)</f>
        <v/>
      </c>
      <c r="F60" s="130">
        <f>IF(OR(F57="",F59=""),"",F57-F59)</f>
        <v/>
      </c>
      <c r="G60" s="131">
        <f>IF(OR(G57="",G59=""),"",G57-G59)</f>
        <v/>
      </c>
      <c r="H60" s="131">
        <f>IF(OR(H57="",H59=""),"",H57-H59)</f>
        <v/>
      </c>
      <c r="I60" s="131">
        <f>IF(OR(I57="",I59=""),"",I57-I59)</f>
        <v/>
      </c>
      <c r="J60" s="131">
        <f>IF(OR(J57="",J59=""),"",J57-J59)</f>
        <v/>
      </c>
      <c r="K60" s="131">
        <f>IF(OR(K57="",K59=""),"",K57-K59)</f>
        <v/>
      </c>
      <c r="L60" s="131">
        <f>IF(OR(L57="",L59=""),"",L57-L59)</f>
        <v/>
      </c>
      <c r="M60" s="131">
        <f>IF(OR(M57="",M59=""),"",M57-M59)</f>
        <v/>
      </c>
      <c r="N60" s="131">
        <f>IF(OR(N57="",N59=""),"",N57-N59)</f>
        <v/>
      </c>
      <c r="O60" s="131">
        <f>IF(OR(O57="",O59=""),"",O57-O59)</f>
        <v/>
      </c>
      <c r="P60" s="131">
        <f>IF(OR(P57="",P59=""),"",P57-P59)</f>
        <v/>
      </c>
      <c r="Q60" s="131">
        <f>IF(OR(Q57="",Q59=""),"",Q57-Q59)</f>
        <v/>
      </c>
      <c r="R60" s="131">
        <f>IF(OR(R57="",R59=""),"",R57-R59)</f>
        <v/>
      </c>
      <c r="S60" s="131">
        <f>IF(OR(S57="",S59=""),"",S57-S59)</f>
        <v/>
      </c>
      <c r="T60" s="131">
        <f>IF(OR(T57="",T59=""),"",T57-T59)</f>
        <v/>
      </c>
      <c r="U60" s="131">
        <f>IF(OR(U57="",U59=""),"",U57-U59)</f>
        <v/>
      </c>
      <c r="V60" s="131">
        <f>IF(OR(V57="",V59=""),"",V57-V59)</f>
        <v/>
      </c>
      <c r="W60" s="131">
        <f>IF(OR(W57="",W59=""),"",W57-W59)</f>
        <v/>
      </c>
      <c r="X60" s="131">
        <f>IF(OR(X57="",X59=""),"",X57-X59)</f>
        <v/>
      </c>
      <c r="Y60" s="131">
        <f>IF(OR(Y57="",Y59=""),"",Y57-Y59)</f>
        <v/>
      </c>
      <c r="Z60" s="131">
        <f>IF(OR(Z57="",Z59=""),"",Z57-Z59)</f>
        <v/>
      </c>
      <c r="AA60" s="131">
        <f>IF(OR(AA57="",AA59=""),"",AA57-AA59)</f>
        <v/>
      </c>
      <c r="AB60" s="131">
        <f>IF(OR(AB57="",AB59=""),"",AB57-AB59)</f>
        <v/>
      </c>
      <c r="AC60" s="131">
        <f>IF(OR(AC57="",AC59=""),"",AC57-AC59)</f>
        <v/>
      </c>
      <c r="AD60" s="131">
        <f>IF(OR(AD57="",AD59=""),"",AD57-AD59)</f>
        <v/>
      </c>
      <c r="AE60" s="131">
        <f>IF(OR(AE57="",AE59=""),"",AE57-AE59)</f>
        <v/>
      </c>
      <c r="AF60" s="131">
        <f>IF(OR(AF57="",AF59=""),"",AF57-AF59)</f>
        <v/>
      </c>
      <c r="AG60" s="131">
        <f>IF(OR(AG57="",AG59=""),"",AG57-AG59)</f>
        <v/>
      </c>
      <c r="AH60" s="131">
        <f>IF(OR(AH57="",AH59=""),"",AH57-AH59)</f>
        <v/>
      </c>
      <c r="AI60" s="131">
        <f>IF(OR(AI57="",AI59=""),"",AI57-AI59)</f>
        <v/>
      </c>
      <c r="AJ60" s="131">
        <f>IF(OR(AJ57="",AJ59=""),"",AJ57-AJ59)</f>
        <v/>
      </c>
    </row>
    <row r="61" ht="15" customHeight="1" s="83">
      <c r="A61" s="136" t="inlineStr">
        <is>
          <t>Return on equity  (ROCE = RNOA + FLEV × spread)</t>
        </is>
      </c>
      <c r="B61" s="82" t="n"/>
      <c r="C61" s="137">
        <f>IF(B48=0,"",C21/B48)</f>
        <v/>
      </c>
      <c r="D61" s="137">
        <f>IF(C48=0,"",D21/C48)</f>
        <v/>
      </c>
      <c r="E61" s="137">
        <f>IF(D48=0,"",E21/D48)</f>
        <v/>
      </c>
      <c r="F61" s="137">
        <f>IF(E48=0,"",F21/E48)</f>
        <v/>
      </c>
      <c r="G61" s="138">
        <f>IF(F48=0,"",G21/F48)</f>
        <v/>
      </c>
      <c r="H61" s="138">
        <f>IF(G48=0,"",H21/G48)</f>
        <v/>
      </c>
      <c r="I61" s="138">
        <f>IF(H48=0,"",I21/H48)</f>
        <v/>
      </c>
      <c r="J61" s="138">
        <f>IF(I48=0,"",J21/I48)</f>
        <v/>
      </c>
      <c r="K61" s="138">
        <f>IF(J48=0,"",K21/J48)</f>
        <v/>
      </c>
      <c r="L61" s="138">
        <f>IF(K48=0,"",L21/K48)</f>
        <v/>
      </c>
      <c r="M61" s="138">
        <f>IF(L48=0,"",M21/L48)</f>
        <v/>
      </c>
      <c r="N61" s="138">
        <f>IF(M48=0,"",N21/M48)</f>
        <v/>
      </c>
      <c r="O61" s="138">
        <f>IF(N48=0,"",O21/N48)</f>
        <v/>
      </c>
      <c r="P61" s="138">
        <f>IF(O48=0,"",P21/O48)</f>
        <v/>
      </c>
      <c r="Q61" s="138">
        <f>IF(P48=0,"",Q21/P48)</f>
        <v/>
      </c>
      <c r="R61" s="138">
        <f>IF(Q48=0,"",R21/Q48)</f>
        <v/>
      </c>
      <c r="S61" s="138">
        <f>IF(R48=0,"",S21/R48)</f>
        <v/>
      </c>
      <c r="T61" s="138">
        <f>IF(S48=0,"",T21/S48)</f>
        <v/>
      </c>
      <c r="U61" s="138">
        <f>IF(T48=0,"",U21/T48)</f>
        <v/>
      </c>
      <c r="V61" s="138">
        <f>IF(U48=0,"",V21/U48)</f>
        <v/>
      </c>
      <c r="W61" s="138">
        <f>IF(V48=0,"",W21/V48)</f>
        <v/>
      </c>
      <c r="X61" s="138">
        <f>IF(W48=0,"",X21/W48)</f>
        <v/>
      </c>
      <c r="Y61" s="138">
        <f>IF(X48=0,"",Y21/X48)</f>
        <v/>
      </c>
      <c r="Z61" s="138">
        <f>IF(Y48=0,"",Z21/Y48)</f>
        <v/>
      </c>
      <c r="AA61" s="138">
        <f>IF(Z48=0,"",AA21/Z48)</f>
        <v/>
      </c>
      <c r="AB61" s="138">
        <f>IF(AA48=0,"",AB21/AA48)</f>
        <v/>
      </c>
      <c r="AC61" s="138">
        <f>IF(AB48=0,"",AC21/AB48)</f>
        <v/>
      </c>
      <c r="AD61" s="138">
        <f>IF(AC48=0,"",AD21/AC48)</f>
        <v/>
      </c>
      <c r="AE61" s="138">
        <f>IF(AD48=0,"",AE21/AD48)</f>
        <v/>
      </c>
      <c r="AF61" s="138">
        <f>IF(AE48=0,"",AF21/AE48)</f>
        <v/>
      </c>
      <c r="AG61" s="138">
        <f>IF(AF48=0,"",AG21/AF48)</f>
        <v/>
      </c>
      <c r="AH61" s="138">
        <f>IF(AG48=0,"",AH21/AG48)</f>
        <v/>
      </c>
      <c r="AI61" s="138">
        <f>IF(AH48=0,"",AI21/AH48)</f>
        <v/>
      </c>
      <c r="AJ61" s="138">
        <f>IF(AI48=0,"",AJ21/AI48)</f>
        <v/>
      </c>
    </row>
    <row r="62" ht="15" customHeight="1" s="83">
      <c r="A62" s="139" t="inlineStr">
        <is>
          <t xml:space="preserve">   cost of debt ρD (real) — flows in from _Rates</t>
        </is>
      </c>
      <c r="B62" s="82" t="n"/>
      <c r="C62" s="140">
        <f>_Rates!C56</f>
        <v/>
      </c>
      <c r="D62" s="140">
        <f>_Rates!D56</f>
        <v/>
      </c>
      <c r="E62" s="140">
        <f>_Rates!E56</f>
        <v/>
      </c>
      <c r="F62" s="140">
        <f>_Rates!F56</f>
        <v/>
      </c>
      <c r="G62" s="141">
        <f>_Rates!G56</f>
        <v/>
      </c>
      <c r="H62" s="141">
        <f>_Rates!H56</f>
        <v/>
      </c>
      <c r="I62" s="141">
        <f>_Rates!I56</f>
        <v/>
      </c>
      <c r="J62" s="141">
        <f>_Rates!J56</f>
        <v/>
      </c>
      <c r="K62" s="141">
        <f>_Rates!K56</f>
        <v/>
      </c>
      <c r="L62" s="141">
        <f>_Rates!L56</f>
        <v/>
      </c>
      <c r="M62" s="141">
        <f>_Rates!M56</f>
        <v/>
      </c>
      <c r="N62" s="141">
        <f>_Rates!N56</f>
        <v/>
      </c>
      <c r="O62" s="141">
        <f>_Rates!O56</f>
        <v/>
      </c>
      <c r="P62" s="141">
        <f>_Rates!P56</f>
        <v/>
      </c>
      <c r="Q62" s="141">
        <f>_Rates!Q56</f>
        <v/>
      </c>
      <c r="R62" s="141">
        <f>_Rates!R56</f>
        <v/>
      </c>
      <c r="S62" s="141">
        <f>_Rates!S56</f>
        <v/>
      </c>
      <c r="T62" s="141">
        <f>_Rates!T56</f>
        <v/>
      </c>
      <c r="U62" s="141">
        <f>_Rates!U56</f>
        <v/>
      </c>
      <c r="V62" s="141">
        <f>_Rates!V56</f>
        <v/>
      </c>
      <c r="W62" s="141">
        <f>_Rates!W56</f>
        <v/>
      </c>
      <c r="X62" s="141">
        <f>_Rates!X56</f>
        <v/>
      </c>
      <c r="Y62" s="141">
        <f>_Rates!Y56</f>
        <v/>
      </c>
      <c r="Z62" s="141">
        <f>_Rates!Z56</f>
        <v/>
      </c>
      <c r="AA62" s="141">
        <f>_Rates!AA56</f>
        <v/>
      </c>
      <c r="AB62" s="141">
        <f>_Rates!AB56</f>
        <v/>
      </c>
      <c r="AC62" s="141">
        <f>_Rates!AC56</f>
        <v/>
      </c>
      <c r="AD62" s="141">
        <f>_Rates!AD56</f>
        <v/>
      </c>
      <c r="AE62" s="141">
        <f>_Rates!AE56</f>
        <v/>
      </c>
      <c r="AF62" s="141">
        <f>_Rates!AF56</f>
        <v/>
      </c>
      <c r="AG62" s="141">
        <f>_Rates!AG56</f>
        <v/>
      </c>
      <c r="AH62" s="141">
        <f>_Rates!AH56</f>
        <v/>
      </c>
      <c r="AI62" s="141">
        <f>_Rates!AI56</f>
        <v/>
      </c>
      <c r="AJ62" s="141">
        <f>_Rates!AJ56</f>
        <v/>
      </c>
    </row>
    <row r="63" ht="15" customHeight="1" s="83">
      <c r="A63" s="142" t="inlineStr">
        <is>
          <t xml:space="preserve">   Funding policy (implied) = ΔNFO ÷ ΔNOA</t>
        </is>
      </c>
      <c r="B63" s="82" t="n"/>
      <c r="C63" s="143">
        <f>IF(B46="","",IF((C46-B46)=0,"",(C47-B47)/(C46-B46)))</f>
        <v/>
      </c>
      <c r="D63" s="144">
        <f>IF(C46="","",IF((D46-C46)=0,"",(D47-C47)/(D46-C46)))</f>
        <v/>
      </c>
      <c r="E63" s="144">
        <f>IF(D46="","",IF((E46-D46)=0,"",(E47-D47)/(E46-D46)))</f>
        <v/>
      </c>
      <c r="F63" s="144">
        <f>IF(E46="","",IF((F46-E46)=0,"",(F47-E47)/(F46-E46)))</f>
        <v/>
      </c>
      <c r="G63" s="144">
        <f>IF(F46="","",IF((G46-F46)=0,"",(G47-F47)/(G46-F46)))</f>
        <v/>
      </c>
      <c r="H63" s="144">
        <f>IF(G46="","",IF((H46-G46)=0,"",(H47-G47)/(H46-G46)))</f>
        <v/>
      </c>
      <c r="I63" s="144">
        <f>IF(H46="","",IF((I46-H46)=0,"",(I47-H47)/(I46-H46)))</f>
        <v/>
      </c>
      <c r="J63" s="144">
        <f>IF(I46="","",IF((J46-I46)=0,"",(J47-I47)/(J46-I46)))</f>
        <v/>
      </c>
      <c r="K63" s="144">
        <f>IF(J46="","",IF((K46-J46)=0,"",(K47-J47)/(K46-J46)))</f>
        <v/>
      </c>
      <c r="L63" s="144">
        <f>IF(K46="","",IF((L46-K46)=0,"",(L47-K47)/(L46-K46)))</f>
        <v/>
      </c>
      <c r="M63" s="144">
        <f>IF(L46="","",IF((M46-L46)=0,"",(M47-L47)/(M46-L46)))</f>
        <v/>
      </c>
      <c r="N63" s="144">
        <f>IF(M46="","",IF((N46-M46)=0,"",(N47-M47)/(N46-M46)))</f>
        <v/>
      </c>
      <c r="O63" s="144">
        <f>IF(N46="","",IF((O46-N46)=0,"",(O47-N47)/(O46-N46)))</f>
        <v/>
      </c>
      <c r="P63" s="144">
        <f>IF(O46="","",IF((P46-O46)=0,"",(P47-O47)/(P46-O46)))</f>
        <v/>
      </c>
      <c r="Q63" s="144">
        <f>IF(P46="","",IF((Q46-P46)=0,"",(Q47-P47)/(Q46-P46)))</f>
        <v/>
      </c>
      <c r="R63" s="144">
        <f>IF(Q46="","",IF((R46-Q46)=0,"",(R47-Q47)/(R46-Q46)))</f>
        <v/>
      </c>
      <c r="S63" s="144">
        <f>IF(R46="","",IF((S46-R46)=0,"",(S47-R47)/(S46-R46)))</f>
        <v/>
      </c>
      <c r="T63" s="144">
        <f>IF(S46="","",IF((T46-S46)=0,"",(T47-S47)/(T46-S46)))</f>
        <v/>
      </c>
      <c r="U63" s="144">
        <f>IF(T46="","",IF((U46-T46)=0,"",(U47-T47)/(U46-T46)))</f>
        <v/>
      </c>
      <c r="V63" s="144">
        <f>IF(U46="","",IF((V46-U46)=0,"",(V47-U47)/(V46-U46)))</f>
        <v/>
      </c>
      <c r="W63" s="144">
        <f>IF(V46="","",IF((W46-V46)=0,"",(W47-V47)/(W46-V46)))</f>
        <v/>
      </c>
      <c r="X63" s="144">
        <f>IF(W46="","",IF((X46-W46)=0,"",(X47-W47)/(X46-W46)))</f>
        <v/>
      </c>
      <c r="Y63" s="144">
        <f>IF(X46="","",IF((Y46-X46)=0,"",(Y47-X47)/(Y46-X46)))</f>
        <v/>
      </c>
      <c r="Z63" s="144">
        <f>IF(Y46="","",IF((Z46-Y46)=0,"",(Z47-Y47)/(Z46-Y46)))</f>
        <v/>
      </c>
      <c r="AA63" s="144">
        <f>IF(Z46="","",IF((AA46-Z46)=0,"",(AA47-Z47)/(AA46-Z46)))</f>
        <v/>
      </c>
      <c r="AB63" s="144">
        <f>IF(AA46="","",IF((AB46-AA46)=0,"",(AB47-AA47)/(AB46-AA46)))</f>
        <v/>
      </c>
      <c r="AC63" s="144">
        <f>IF(AB46="","",IF((AC46-AB46)=0,"",(AC47-AB47)/(AC46-AB46)))</f>
        <v/>
      </c>
      <c r="AD63" s="144">
        <f>IF(AC46="","",IF((AD46-AC46)=0,"",(AD47-AC47)/(AD46-AC46)))</f>
        <v/>
      </c>
      <c r="AE63" s="144">
        <f>IF(AD46="","",IF((AE46-AD46)=0,"",(AE47-AD47)/(AE46-AD46)))</f>
        <v/>
      </c>
      <c r="AF63" s="144">
        <f>IF(AE46="","",IF((AF46-AE46)=0,"",(AF47-AE47)/(AF46-AE46)))</f>
        <v/>
      </c>
      <c r="AG63" s="144">
        <f>IF(AF46="","",IF((AG46-AF46)=0,"",(AG47-AF47)/(AG46-AF46)))</f>
        <v/>
      </c>
      <c r="AH63" s="144">
        <f>IF(AG46="","",IF((AH46-AG46)=0,"",(AH47-AG47)/(AH46-AG46)))</f>
        <v/>
      </c>
      <c r="AI63" s="144">
        <f>IF(AH46="","",IF((AI46-AH46)=0,"",(AI47-AH47)/(AI46-AH46)))</f>
        <v/>
      </c>
      <c r="AJ63" s="144">
        <f>IF(AI46="","",IF((AJ46-AI46)=0,"",(AJ47-AI47)/(AJ46-AI46)))</f>
        <v/>
      </c>
    </row>
    <row r="64" ht="15" customHeight="1" s="83">
      <c r="A64" s="112" t="inlineStr">
        <is>
          <t xml:space="preserve">   Retained earnings ÷ investment (ΔNOA)</t>
        </is>
      </c>
      <c r="B64" s="112" t="n"/>
      <c r="C64" s="112" t="n"/>
      <c r="D64" s="112" t="n"/>
      <c r="E64" s="112" t="n"/>
      <c r="F64" s="112" t="n"/>
      <c r="G64" s="145">
        <f>IF((G46-F46)=0,"",(G21-G28*G23)/(G46-F46))</f>
        <v/>
      </c>
      <c r="H64" s="145">
        <f>IF((H46-G46)=0,"",(H21-H28*H23)/(H46-G46))</f>
        <v/>
      </c>
      <c r="I64" s="145">
        <f>IF((I46-H46)=0,"",(I21-I28*I23)/(I46-H46))</f>
        <v/>
      </c>
      <c r="J64" s="145">
        <f>IF((J46-I46)=0,"",(J21-J28*J23)/(J46-I46))</f>
        <v/>
      </c>
      <c r="K64" s="145">
        <f>IF((K46-J46)=0,"",(K21-K28*K23)/(K46-J46))</f>
        <v/>
      </c>
      <c r="L64" s="145">
        <f>IF((L46-K46)=0,"",(L21-L28*L23)/(L46-K46))</f>
        <v/>
      </c>
      <c r="M64" s="145">
        <f>IF((M46-L46)=0,"",(M21-M28*M23)/(M46-L46))</f>
        <v/>
      </c>
      <c r="N64" s="145">
        <f>IF((N46-M46)=0,"",(N21-N28*N23)/(N46-M46))</f>
        <v/>
      </c>
      <c r="O64" s="145">
        <f>IF((O46-N46)=0,"",(O21-O28*O23)/(O46-N46))</f>
        <v/>
      </c>
      <c r="P64" s="145">
        <f>IF((P46-O46)=0,"",(P21-P28*P23)/(P46-O46))</f>
        <v/>
      </c>
      <c r="Q64" s="145">
        <f>IF((Q46-P46)=0,"",(Q21-Q28*Q23)/(Q46-P46))</f>
        <v/>
      </c>
      <c r="R64" s="145">
        <f>IF((R46-Q46)=0,"",(R21-R28*R23)/(R46-Q46))</f>
        <v/>
      </c>
      <c r="S64" s="145">
        <f>IF((S46-R46)=0,"",(S21-S28*S23)/(S46-R46))</f>
        <v/>
      </c>
      <c r="T64" s="145">
        <f>IF((T46-S46)=0,"",(T21-T28*T23)/(T46-S46))</f>
        <v/>
      </c>
      <c r="U64" s="145">
        <f>IF((U46-T46)=0,"",(U21-U28*U23)/(U46-T46))</f>
        <v/>
      </c>
      <c r="V64" s="145">
        <f>IF((V46-U46)=0,"",(V21-V28*V23)/(V46-U46))</f>
        <v/>
      </c>
      <c r="W64" s="145">
        <f>IF((W46-V46)=0,"",(W21-W28*W23)/(W46-V46))</f>
        <v/>
      </c>
      <c r="X64" s="145">
        <f>IF((X46-W46)=0,"",(X21-X28*X23)/(X46-W46))</f>
        <v/>
      </c>
      <c r="Y64" s="145">
        <f>IF((Y46-X46)=0,"",(Y21-Y28*Y23)/(Y46-X46))</f>
        <v/>
      </c>
      <c r="Z64" s="145">
        <f>IF((Z46-Y46)=0,"",(Z21-Z28*Z23)/(Z46-Y46))</f>
        <v/>
      </c>
      <c r="AA64" s="145">
        <f>IF((AA46-Z46)=0,"",(AA21-AA28*AA23)/(AA46-Z46))</f>
        <v/>
      </c>
      <c r="AB64" s="145">
        <f>IF((AB46-AA46)=0,"",(AB21-AB28*AB23)/(AB46-AA46))</f>
        <v/>
      </c>
      <c r="AC64" s="145">
        <f>IF((AC46-AB46)=0,"",(AC21-AC28*AC23)/(AC46-AB46))</f>
        <v/>
      </c>
      <c r="AD64" s="145">
        <f>IF((AD46-AC46)=0,"",(AD21-AD28*AD23)/(AD46-AC46))</f>
        <v/>
      </c>
      <c r="AE64" s="145">
        <f>IF((AE46-AD46)=0,"",(AE21-AE28*AE23)/(AE46-AD46))</f>
        <v/>
      </c>
      <c r="AF64" s="145">
        <f>IF((AF46-AE46)=0,"",(AF21-AF28*AF23)/(AF46-AE46))</f>
        <v/>
      </c>
      <c r="AG64" s="145">
        <f>IF((AG46-AF46)=0,"",(AG21-AG28*AG23)/(AG46-AF46))</f>
        <v/>
      </c>
      <c r="AH64" s="145">
        <f>IF((AH46-AG46)=0,"",(AH21-AH28*AH23)/(AH46-AG46))</f>
        <v/>
      </c>
      <c r="AI64" s="145">
        <f>IF((AI46-AH46)=0,"",(AI21-AI28*AI23)/(AI46-AH46))</f>
        <v/>
      </c>
      <c r="AJ64" s="145">
        <f>IF((AJ46-AI46)=0,"",(AJ21-AJ28*AJ23)/(AJ46-AI46))</f>
        <v/>
      </c>
    </row>
    <row r="65" ht="15" customHeight="1" s="83">
      <c r="A65" s="112" t="inlineStr">
        <is>
          <t xml:space="preserve">   Retained earnings ÷ repurchases</t>
        </is>
      </c>
      <c r="B65" s="112" t="n"/>
      <c r="C65" s="112" t="n"/>
      <c r="D65" s="112" t="n"/>
      <c r="E65" s="112" t="n"/>
      <c r="F65" s="112" t="n"/>
      <c r="G65" s="145">
        <f>IF(G31=0,"",(G21-G28*G23)/G31)</f>
        <v/>
      </c>
      <c r="H65" s="145">
        <f>IF(H31=0,"",(H21-H28*H23)/H31)</f>
        <v/>
      </c>
      <c r="I65" s="145">
        <f>IF(I31=0,"",(I21-I28*I23)/I31)</f>
        <v/>
      </c>
      <c r="J65" s="145">
        <f>IF(J31=0,"",(J21-J28*J23)/J31)</f>
        <v/>
      </c>
      <c r="K65" s="145">
        <f>IF(K31=0,"",(K21-K28*K23)/K31)</f>
        <v/>
      </c>
      <c r="L65" s="145">
        <f>IF(L31=0,"",(L21-L28*L23)/L31)</f>
        <v/>
      </c>
      <c r="M65" s="145">
        <f>IF(M31=0,"",(M21-M28*M23)/M31)</f>
        <v/>
      </c>
      <c r="N65" s="145">
        <f>IF(N31=0,"",(N21-N28*N23)/N31)</f>
        <v/>
      </c>
      <c r="O65" s="145">
        <f>IF(O31=0,"",(O21-O28*O23)/O31)</f>
        <v/>
      </c>
      <c r="P65" s="145">
        <f>IF(P31=0,"",(P21-P28*P23)/P31)</f>
        <v/>
      </c>
      <c r="Q65" s="145">
        <f>IF(Q31=0,"",(Q21-Q28*Q23)/Q31)</f>
        <v/>
      </c>
      <c r="R65" s="145">
        <f>IF(R31=0,"",(R21-R28*R23)/R31)</f>
        <v/>
      </c>
      <c r="S65" s="145">
        <f>IF(S31=0,"",(S21-S28*S23)/S31)</f>
        <v/>
      </c>
      <c r="T65" s="145">
        <f>IF(T31=0,"",(T21-T28*T23)/T31)</f>
        <v/>
      </c>
      <c r="U65" s="145">
        <f>IF(U31=0,"",(U21-U28*U23)/U31)</f>
        <v/>
      </c>
      <c r="V65" s="145">
        <f>IF(V31=0,"",(V21-V28*V23)/V31)</f>
        <v/>
      </c>
      <c r="W65" s="145">
        <f>IF(W31=0,"",(W21-W28*W23)/W31)</f>
        <v/>
      </c>
      <c r="X65" s="145">
        <f>IF(X31=0,"",(X21-X28*X23)/X31)</f>
        <v/>
      </c>
      <c r="Y65" s="145">
        <f>IF(Y31=0,"",(Y21-Y28*Y23)/Y31)</f>
        <v/>
      </c>
      <c r="Z65" s="145">
        <f>IF(Z31=0,"",(Z21-Z28*Z23)/Z31)</f>
        <v/>
      </c>
      <c r="AA65" s="145">
        <f>IF(AA31=0,"",(AA21-AA28*AA23)/AA31)</f>
        <v/>
      </c>
      <c r="AB65" s="145">
        <f>IF(AB31=0,"",(AB21-AB28*AB23)/AB31)</f>
        <v/>
      </c>
      <c r="AC65" s="145">
        <f>IF(AC31=0,"",(AC21-AC28*AC23)/AC31)</f>
        <v/>
      </c>
      <c r="AD65" s="145">
        <f>IF(AD31=0,"",(AD21-AD28*AD23)/AD31)</f>
        <v/>
      </c>
      <c r="AE65" s="145">
        <f>IF(AE31=0,"",(AE21-AE28*AE23)/AE31)</f>
        <v/>
      </c>
      <c r="AF65" s="145">
        <f>IF(AF31=0,"",(AF21-AF28*AF23)/AF31)</f>
        <v/>
      </c>
      <c r="AG65" s="145">
        <f>IF(AG31=0,"",(AG21-AG28*AG23)/AG31)</f>
        <v/>
      </c>
      <c r="AH65" s="145">
        <f>IF(AH31=0,"",(AH21-AH28*AH23)/AH31)</f>
        <v/>
      </c>
      <c r="AI65" s="145">
        <f>IF(AI31=0,"",(AI21-AI28*AI23)/AI31)</f>
        <v/>
      </c>
      <c r="AJ65" s="145">
        <f>IF(AJ31=0,"",(AJ21-AJ28*AJ23)/AJ31)</f>
        <v/>
      </c>
    </row>
    <row r="66" ht="15" customHeight="1" s="83">
      <c r="A66" s="112" t="inlineStr">
        <is>
          <t xml:space="preserve">   Retained earnings ÷ (investment + repurchases)</t>
        </is>
      </c>
      <c r="B66" s="112" t="n"/>
      <c r="C66" s="112" t="n"/>
      <c r="D66" s="112" t="n"/>
      <c r="E66" s="112" t="n"/>
      <c r="F66" s="112" t="n"/>
      <c r="G66" s="145">
        <f>IF(((G46-F46)+G31)=0,"",(G21-G28*G23)/((G46-F46)+G31))</f>
        <v/>
      </c>
      <c r="H66" s="145">
        <f>IF(((H46-G46)+H31)=0,"",(H21-H28*H23)/((H46-G46)+H31))</f>
        <v/>
      </c>
      <c r="I66" s="145">
        <f>IF(((I46-H46)+I31)=0,"",(I21-I28*I23)/((I46-H46)+I31))</f>
        <v/>
      </c>
      <c r="J66" s="145">
        <f>IF(((J46-I46)+J31)=0,"",(J21-J28*J23)/((J46-I46)+J31))</f>
        <v/>
      </c>
      <c r="K66" s="145">
        <f>IF(((K46-J46)+K31)=0,"",(K21-K28*K23)/((K46-J46)+K31))</f>
        <v/>
      </c>
      <c r="L66" s="145">
        <f>IF(((L46-K46)+L31)=0,"",(L21-L28*L23)/((L46-K46)+L31))</f>
        <v/>
      </c>
      <c r="M66" s="145">
        <f>IF(((M46-L46)+M31)=0,"",(M21-M28*M23)/((M46-L46)+M31))</f>
        <v/>
      </c>
      <c r="N66" s="145">
        <f>IF(((N46-M46)+N31)=0,"",(N21-N28*N23)/((N46-M46)+N31))</f>
        <v/>
      </c>
      <c r="O66" s="145">
        <f>IF(((O46-N46)+O31)=0,"",(O21-O28*O23)/((O46-N46)+O31))</f>
        <v/>
      </c>
      <c r="P66" s="145">
        <f>IF(((P46-O46)+P31)=0,"",(P21-P28*P23)/((P46-O46)+P31))</f>
        <v/>
      </c>
      <c r="Q66" s="145">
        <f>IF(((Q46-P46)+Q31)=0,"",(Q21-Q28*Q23)/((Q46-P46)+Q31))</f>
        <v/>
      </c>
      <c r="R66" s="145">
        <f>IF(((R46-Q46)+R31)=0,"",(R21-R28*R23)/((R46-Q46)+R31))</f>
        <v/>
      </c>
      <c r="S66" s="145">
        <f>IF(((S46-R46)+S31)=0,"",(S21-S28*S23)/((S46-R46)+S31))</f>
        <v/>
      </c>
      <c r="T66" s="145">
        <f>IF(((T46-S46)+T31)=0,"",(T21-T28*T23)/((T46-S46)+T31))</f>
        <v/>
      </c>
      <c r="U66" s="145">
        <f>IF(((U46-T46)+U31)=0,"",(U21-U28*U23)/((U46-T46)+U31))</f>
        <v/>
      </c>
      <c r="V66" s="145">
        <f>IF(((V46-U46)+V31)=0,"",(V21-V28*V23)/((V46-U46)+V31))</f>
        <v/>
      </c>
      <c r="W66" s="145">
        <f>IF(((W46-V46)+W31)=0,"",(W21-W28*W23)/((W46-V46)+W31))</f>
        <v/>
      </c>
      <c r="X66" s="145">
        <f>IF(((X46-W46)+X31)=0,"",(X21-X28*X23)/((X46-W46)+X31))</f>
        <v/>
      </c>
      <c r="Y66" s="145">
        <f>IF(((Y46-X46)+Y31)=0,"",(Y21-Y28*Y23)/((Y46-X46)+Y31))</f>
        <v/>
      </c>
      <c r="Z66" s="145">
        <f>IF(((Z46-Y46)+Z31)=0,"",(Z21-Z28*Z23)/((Z46-Y46)+Z31))</f>
        <v/>
      </c>
      <c r="AA66" s="145">
        <f>IF(((AA46-Z46)+AA31)=0,"",(AA21-AA28*AA23)/((AA46-Z46)+AA31))</f>
        <v/>
      </c>
      <c r="AB66" s="145">
        <f>IF(((AB46-AA46)+AB31)=0,"",(AB21-AB28*AB23)/((AB46-AA46)+AB31))</f>
        <v/>
      </c>
      <c r="AC66" s="145">
        <f>IF(((AC46-AB46)+AC31)=0,"",(AC21-AC28*AC23)/((AC46-AB46)+AC31))</f>
        <v/>
      </c>
      <c r="AD66" s="145">
        <f>IF(((AD46-AC46)+AD31)=0,"",(AD21-AD28*AD23)/((AD46-AC46)+AD31))</f>
        <v/>
      </c>
      <c r="AE66" s="145">
        <f>IF(((AE46-AD46)+AE31)=0,"",(AE21-AE28*AE23)/((AE46-AD46)+AE31))</f>
        <v/>
      </c>
      <c r="AF66" s="145">
        <f>IF(((AF46-AE46)+AF31)=0,"",(AF21-AF28*AF23)/((AF46-AE46)+AF31))</f>
        <v/>
      </c>
      <c r="AG66" s="145">
        <f>IF(((AG46-AF46)+AG31)=0,"",(AG21-AG28*AG23)/((AG46-AF46)+AG31))</f>
        <v/>
      </c>
      <c r="AH66" s="145">
        <f>IF(((AH46-AG46)+AH31)=0,"",(AH21-AH28*AH23)/((AH46-AG46)+AH31))</f>
        <v/>
      </c>
      <c r="AI66" s="145">
        <f>IF(((AI46-AH46)+AI31)=0,"",(AI21-AI28*AI23)/((AI46-AH46)+AI31))</f>
        <v/>
      </c>
      <c r="AJ66" s="145">
        <f>IF(((AJ46-AI46)+AJ31)=0,"",(AJ21-AJ28*AJ23)/((AJ46-AI46)+AJ31))</f>
        <v/>
      </c>
    </row>
    <row r="67" ht="15" customHeight="1" s="83">
      <c r="A67" s="146" t="inlineStr">
        <is>
          <t>FORMULA-INTEGRITY AUDIT  (flags cells hard-coded where a formula belongs)</t>
        </is>
      </c>
      <c r="G67" s="93" t="n"/>
    </row>
    <row r="68" ht="15" customHeight="1" s="83">
      <c r="A68" s="147" t="inlineStr">
        <is>
          <t xml:space="preserve">   hard-codes in historical (must pull / compute)</t>
        </is>
      </c>
      <c r="B68" s="82" t="n"/>
      <c r="C68" s="148">
        <f>SUMPRODUCT(--NOT(_xlfn.ISFORMULA(C6:F6)),--(C6:F6&lt;&gt;""))+SUMPRODUCT(--NOT(_xlfn.ISFORMULA(C8:F8)),--(C8:F8&lt;&gt;""))+SUMPRODUCT(--NOT(_xlfn.ISFORMULA(C9:F9)),--(C9:F9&lt;&gt;""))+SUMPRODUCT(--NOT(_xlfn.ISFORMULA(C11:F11)),--(C11:F11&lt;&gt;""))+SUMPRODUCT(--NOT(_xlfn.ISFORMULA(C13:F13)),--(C13:F13&lt;&gt;""))+SUMPRODUCT(--NOT(_xlfn.ISFORMULA(C15:F15)),--(C15:F15&lt;&gt;""))+SUMPRODUCT(--NOT(_xlfn.ISFORMULA(C16:F16)),--(C16:F16&lt;&gt;""))+SUMPRODUCT(--NOT(_xlfn.ISFORMULA(C18:F18)),--(C18:F18&lt;&gt;""))+SUMPRODUCT(--NOT(_xlfn.ISFORMULA(C19:F19)),--(C19:F19&lt;&gt;""))+SUMPRODUCT(--NOT(_xlfn.ISFORMULA(C20:F20)),--(C20:F20&lt;&gt;""))+SUMPRODUCT(--NOT(_xlfn.ISFORMULA(C21:F21)),--(C21:F21&lt;&gt;""))+SUMPRODUCT(--NOT(_xlfn.ISFORMULA(C22:F22)),--(C22:F22&lt;&gt;""))+SUMPRODUCT(--NOT(_xlfn.ISFORMULA(C23:F23)),--(C23:F23&lt;&gt;""))+SUMPRODUCT(--NOT(_xlfn.ISFORMULA(C24:F24)),--(C24:F24&lt;&gt;""))+SUMPRODUCT(--NOT(_xlfn.ISFORMULA(C25:F25)),--(C25:F25&lt;&gt;""))+SUMPRODUCT(--NOT(_xlfn.ISFORMULA(C26:F26)),--(C26:F26&lt;&gt;""))+SUMPRODUCT(--NOT(_xlfn.ISFORMULA(C29:F29)),--(C29:F29&lt;&gt;""))+SUMPRODUCT(--NOT(_xlfn.ISFORMULA(C33:F33)),--(C33:F33&lt;&gt;""))+SUMPRODUCT(--NOT(_xlfn.ISFORMULA(C34:F34)),--(C34:F34&lt;&gt;""))+SUMPRODUCT(--NOT(_xlfn.ISFORMULA(C35:F35)),--(C35:F35&lt;&gt;""))+SUMPRODUCT(--NOT(_xlfn.ISFORMULA(C38:F38)),--(C38:F38&lt;&gt;""))+SUMPRODUCT(--NOT(_xlfn.ISFORMULA(C39:F39)),--(C39:F39&lt;&gt;""))+SUMPRODUCT(--NOT(_xlfn.ISFORMULA(C41:F41)),--(C41:F41&lt;&gt;""))+SUMPRODUCT(--NOT(_xlfn.ISFORMULA(C43:F43)),--(C43:F43&lt;&gt;""))+SUMPRODUCT(--NOT(_xlfn.ISFORMULA(C44:F44)),--(C44:F44&lt;&gt;""))+SUMPRODUCT(--NOT(_xlfn.ISFORMULA(C46:F46)),--(C46:F46&lt;&gt;""))+SUMPRODUCT(--NOT(_xlfn.ISFORMULA(C47:F47)),--(C47:F47&lt;&gt;""))+SUMPRODUCT(--NOT(_xlfn.ISFORMULA(C48:F48)),--(C48:F48&lt;&gt;""))+SUMPRODUCT(--NOT(_xlfn.ISFORMULA(C49:F49)),--(C49:F49&lt;&gt;""))+SUMPRODUCT(--NOT(_xlfn.ISFORMULA(C50:F50)),--(C50:F50&lt;&gt;""))+SUMPRODUCT(--NOT(_xlfn.ISFORMULA(C53:F53)),--(C53:F53&lt;&gt;""))+SUMPRODUCT(--NOT(_xlfn.ISFORMULA(C54:F54)),--(C54:F54&lt;&gt;""))+SUMPRODUCT(--NOT(_xlfn.ISFORMULA(C55:F55)),--(C55:F55&lt;&gt;""))+SUMPRODUCT(--NOT(_xlfn.ISFORMULA(C56:F56)),--(C56:F56&lt;&gt;""))+SUMPRODUCT(--NOT(_xlfn.ISFORMULA(C57:F57)),--(C57:F57&lt;&gt;""))+SUMPRODUCT(--NOT(_xlfn.ISFORMULA(C58:F58)),--(C58:F58&lt;&gt;""))+SUMPRODUCT(--NOT(_xlfn.ISFORMULA(C59:F59)),--(C59:F59&lt;&gt;""))+SUMPRODUCT(--NOT(_xlfn.ISFORMULA(C60:F60)),--(C60:F60&lt;&gt;""))+SUMPRODUCT(--NOT(_xlfn.ISFORMULA(C61:F61)),--(C61:F61&lt;&gt;""))+SUMPRODUCT(--NOT(_xlfn.ISFORMULA(C62:F62)),--(C62:F62&lt;&gt;""))+SUMPRODUCT(--NOT(_xlfn.ISFORMULA(C63:F63)),--(C63:F63&lt;&gt;""))</f>
        <v/>
      </c>
      <c r="D68" s="82" t="n"/>
      <c r="E68" s="149" t="n"/>
      <c r="F68" s="82" t="n"/>
      <c r="G68" s="82" t="n"/>
      <c r="H68" s="82" t="n"/>
      <c r="I68" s="82" t="n"/>
      <c r="J68" s="82" t="n"/>
      <c r="K68" s="82" t="n"/>
      <c r="L68" s="82" t="n"/>
      <c r="M68" s="82" t="n"/>
      <c r="N68" s="82" t="n"/>
      <c r="O68" s="82" t="n"/>
      <c r="P68" s="82" t="n"/>
      <c r="Q68" s="82" t="n"/>
      <c r="R68" s="82" t="n"/>
      <c r="S68" s="82" t="n"/>
      <c r="T68" s="82" t="n"/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82" t="n"/>
      <c r="AJ68" s="82" t="n"/>
    </row>
    <row r="69" ht="15" customHeight="1" s="83">
      <c r="A69" s="82" t="inlineStr">
        <is>
          <t xml:space="preserve">   hard-codes in forecast formulas (blue inputs excluded)</t>
        </is>
      </c>
      <c r="B69" s="82" t="n"/>
      <c r="C69" s="82">
        <f>SUMPRODUCT(--NOT(_xlfn.ISFORMULA(G6:AJ6)),--(G6:AJ6&lt;&gt;""))+SUMPRODUCT(--NOT(_xlfn.ISFORMULA(G8:AJ8)),--(G8:AJ8&lt;&gt;""))+SUMPRODUCT(--NOT(_xlfn.ISFORMULA(G9:AJ9)),--(G9:AJ9&lt;&gt;""))+SUMPRODUCT(--NOT(_xlfn.ISFORMULA(G11:AJ11)),--(G11:AJ11&lt;&gt;""))+SUMPRODUCT(--NOT(_xlfn.ISFORMULA(G13:AJ13)),--(G13:AJ13&lt;&gt;""))+SUMPRODUCT(--NOT(_xlfn.ISFORMULA(G15:AJ15)),--(G15:AJ15&lt;&gt;""))+SUMPRODUCT(--NOT(_xlfn.ISFORMULA(G16:AJ16)),--(G16:AJ16&lt;&gt;""))+SUMPRODUCT(--NOT(_xlfn.ISFORMULA(G18:AJ18)),--(G18:AJ18&lt;&gt;""))+SUMPRODUCT(--NOT(_xlfn.ISFORMULA(G19:AJ19)),--(G19:AJ19&lt;&gt;""))+SUMPRODUCT(--NOT(_xlfn.ISFORMULA(G20:AJ20)),--(G20:AJ20&lt;&gt;""))+SUMPRODUCT(--NOT(_xlfn.ISFORMULA(G21:AJ21)),--(G21:AJ21&lt;&gt;""))+SUMPRODUCT(--NOT(_xlfn.ISFORMULA(G22:AJ22)),--(G22:AJ22&lt;&gt;""))+SUMPRODUCT(--NOT(_xlfn.ISFORMULA(G23:AJ23)),--(G23:AJ23&lt;&gt;""))+SUMPRODUCT(--NOT(_xlfn.ISFORMULA(G24:AJ24)),--(G24:AJ24&lt;&gt;""))+SUMPRODUCT(--NOT(_xlfn.ISFORMULA(G25:AJ25)),--(G25:AJ25&lt;&gt;""))+SUMPRODUCT(--NOT(_xlfn.ISFORMULA(G26:AJ26)),--(G26:AJ26&lt;&gt;""))+SUMPRODUCT(--NOT(_xlfn.ISFORMULA(G29:AJ29)),--(G29:AJ29&lt;&gt;""))+SUMPRODUCT(--NOT(_xlfn.ISFORMULA(G30:AJ30)),--(G30:AJ30&lt;&gt;""))+SUMPRODUCT(--NOT(_xlfn.ISFORMULA(G31:AJ31)),--(G31:AJ31&lt;&gt;""))+SUMPRODUCT(--NOT(_xlfn.ISFORMULA(G33:AJ33)),--(G33:AJ33&lt;&gt;""))+SUMPRODUCT(--NOT(_xlfn.ISFORMULA(G34:AJ34)),--(G34:AJ34&lt;&gt;""))+SUMPRODUCT(--NOT(_xlfn.ISFORMULA(G35:AJ35)),--(G35:AJ35&lt;&gt;""))+SUMPRODUCT(--NOT(_xlfn.ISFORMULA(G38:AJ38)),--(G38:AJ38&lt;&gt;""))+SUMPRODUCT(--NOT(_xlfn.ISFORMULA(G39:AJ39)),--(G39:AJ39&lt;&gt;""))+SUMPRODUCT(--NOT(_xlfn.ISFORMULA(G41:AJ41)),--(G41:AJ41&lt;&gt;""))+SUMPRODUCT(--NOT(_xlfn.ISFORMULA(G43:AJ43)),--(G43:AJ43&lt;&gt;""))+SUMPRODUCT(--NOT(_xlfn.ISFORMULA(G44:AJ44)),--(G44:AJ44&lt;&gt;""))+SUMPRODUCT(--NOT(_xlfn.ISFORMULA(G46:AJ46)),--(G46:AJ46&lt;&gt;""))+SUMPRODUCT(--NOT(_xlfn.ISFORMULA(G47:AJ47)),--(G47:AJ47&lt;&gt;""))+SUMPRODUCT(--NOT(_xlfn.ISFORMULA(G48:AJ48)),--(G48:AJ48&lt;&gt;""))+SUMPRODUCT(--NOT(_xlfn.ISFORMULA(G49:AJ49)),--(G49:AJ49&lt;&gt;""))+SUMPRODUCT(--NOT(_xlfn.ISFORMULA(G50:AJ50)),--(G50:AJ50&lt;&gt;""))+SUMPRODUCT(--NOT(_xlfn.ISFORMULA(G51:AJ51)),--(G51:AJ51&lt;&gt;""))+SUMPRODUCT(--NOT(_xlfn.ISFORMULA(G53:AJ53)),--(G53:AJ53&lt;&gt;""))+SUMPRODUCT(--NOT(_xlfn.ISFORMULA(G54:AJ54)),--(G54:AJ54&lt;&gt;""))+SUMPRODUCT(--NOT(_xlfn.ISFORMULA(G55:AJ55)),--(G55:AJ55&lt;&gt;""))+SUMPRODUCT(--NOT(_xlfn.ISFORMULA(G56:AJ56)),--(G56:AJ56&lt;&gt;""))+SUMPRODUCT(--NOT(_xlfn.ISFORMULA(G57:AJ57)),--(G57:AJ57&lt;&gt;""))+SUMPRODUCT(--NOT(_xlfn.ISFORMULA(G58:AJ58)),--(G58:AJ58&lt;&gt;""))+SUMPRODUCT(--NOT(_xlfn.ISFORMULA(G59:AJ59)),--(G59:AJ59&lt;&gt;""))+SUMPRODUCT(--NOT(_xlfn.ISFORMULA(G60:AJ60)),--(G60:AJ60&lt;&gt;""))+SUMPRODUCT(--NOT(_xlfn.ISFORMULA(G61:AJ61)),--(G61:AJ61&lt;&gt;""))+SUMPRODUCT(--NOT(_xlfn.ISFORMULA(G62:AJ62)),--(G62:AJ62&lt;&gt;""))+SUMPRODUCT(--NOT(_xlfn.ISFORMULA(G63:AJ63)),--(G63:AJ63&lt;&gt;""))+SUMPRODUCT(--NOT(_xlfn.ISFORMULA(G64:AJ64)),--(G64:AJ64&lt;&gt;""))+SUMPRODUCT(--NOT(_xlfn.ISFORMULA(G65:AJ65)),--(G65:AJ65&lt;&gt;""))+SUMPRODUCT(--NOT(_xlfn.ISFORMULA(G66:AJ66)),--(G66:AJ66&lt;&gt;""))</f>
        <v/>
      </c>
      <c r="D69" s="82" t="n"/>
      <c r="E69" s="82" t="n"/>
      <c r="F69" s="82" t="n"/>
      <c r="G69" s="82" t="n"/>
      <c r="H69" s="82" t="n"/>
      <c r="I69" s="82" t="n"/>
      <c r="J69" s="82" t="n"/>
      <c r="K69" s="82" t="n"/>
      <c r="L69" s="82" t="n"/>
      <c r="M69" s="82" t="n"/>
      <c r="N69" s="82" t="n"/>
      <c r="O69" s="82" t="n"/>
      <c r="P69" s="82" t="n"/>
      <c r="Q69" s="82" t="n"/>
      <c r="R69" s="82" t="n"/>
      <c r="S69" s="82" t="n"/>
      <c r="T69" s="82" t="n"/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82" t="n"/>
      <c r="AJ69" s="82" t="n"/>
    </row>
    <row r="70" ht="15" customHeight="1" s="83">
      <c r="A70" s="82" t="inlineStr">
        <is>
          <t xml:space="preserve">   TOTAL violations</t>
        </is>
      </c>
      <c r="B70" s="82" t="n"/>
      <c r="C70" s="82">
        <f>C68+C69</f>
        <v/>
      </c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82" t="n"/>
      <c r="AJ70" s="82" t="n"/>
    </row>
  </sheetData>
  <mergeCells count="12">
    <mergeCell ref="A52:F52"/>
    <mergeCell ref="A42:F42"/>
    <mergeCell ref="A5:F5"/>
    <mergeCell ref="G32:AJ32"/>
    <mergeCell ref="A32:F32"/>
    <mergeCell ref="A27:F27"/>
    <mergeCell ref="G52:AJ52"/>
    <mergeCell ref="A67:F67"/>
    <mergeCell ref="G27:AJ27"/>
    <mergeCell ref="G5:AJ5"/>
    <mergeCell ref="G67:AJ67"/>
    <mergeCell ref="G42:AJ42"/>
  </mergeCells>
  <conditionalFormatting sqref="C24:AJ24">
    <cfRule type="expression" priority="1" dxfId="0">
      <formula>$C$2="Equity"</formula>
    </cfRule>
  </conditionalFormatting>
  <conditionalFormatting sqref="C50:AJ50">
    <cfRule type="expression" priority="2" dxfId="0">
      <formula>$C$2="Equity"</formula>
    </cfRule>
  </conditionalFormatting>
  <conditionalFormatting sqref="C51:AJ51">
    <cfRule type="expression" priority="3" dxfId="0">
      <formula>$C$2="Equity"</formula>
    </cfRule>
  </conditionalFormatting>
  <dataValidations count="2">
    <dataValidation sqref="C2" showDropDown="0" showInputMessage="0" showErrorMessage="0" allowBlank="0" type="list">
      <formula1>"Equity,Enterprise"</formula1>
    </dataValidation>
    <dataValidation sqref="C3" showDropDown="0" showInputMessage="0" showErrorMessage="0" allowBlank="0" type="list">
      <formula1>"Target FLEV,Funding policy"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83">
      <c r="A1" s="82" t="inlineStr">
        <is>
          <t>PREPARED FINANCIALS (reformulated actuals) — source for the historical columns</t>
        </is>
      </c>
    </row>
    <row r="6" ht="15" customHeight="1" s="83">
      <c r="C6" s="150" t="n">
        <v>120741</v>
      </c>
      <c r="D6" s="150" t="n">
        <v>122428</v>
      </c>
      <c r="E6" s="150" t="n">
        <v>122336</v>
      </c>
      <c r="F6" s="150" t="n">
        <v>125648</v>
      </c>
    </row>
    <row r="8" ht="15" customHeight="1" s="83">
      <c r="C8" s="150" t="n">
        <v>50848</v>
      </c>
      <c r="D8" s="150" t="n">
        <v>50123</v>
      </c>
      <c r="E8" s="150" t="n">
        <v>49221</v>
      </c>
      <c r="F8" s="150" t="n">
        <v>50820</v>
      </c>
    </row>
    <row r="9" ht="15" customHeight="1" s="83">
      <c r="C9" s="150" t="n">
        <v>69893</v>
      </c>
      <c r="D9" s="150" t="n">
        <v>72305</v>
      </c>
      <c r="E9" s="150" t="n">
        <v>73115</v>
      </c>
      <c r="F9" s="150" t="n">
        <v>74828</v>
      </c>
    </row>
    <row r="11" ht="15" customHeight="1" s="83">
      <c r="C11" s="150" t="n">
        <v>28961</v>
      </c>
      <c r="D11" s="150" t="n">
        <v>28874</v>
      </c>
      <c r="E11" s="150" t="n">
        <v>28411</v>
      </c>
      <c r="F11" s="150" t="n">
        <v>28942</v>
      </c>
    </row>
    <row r="13" ht="15" customHeight="1" s="83">
      <c r="C13" s="150" t="n">
        <v>18021</v>
      </c>
      <c r="D13" s="150" t="n">
        <v>18777</v>
      </c>
      <c r="E13" s="150" t="n">
        <v>20580</v>
      </c>
      <c r="F13" s="150" t="n">
        <v>20886</v>
      </c>
    </row>
    <row r="15" ht="15" customHeight="1" s="83">
      <c r="C15" s="150" t="n">
        <v>22911</v>
      </c>
      <c r="D15" s="150" t="n">
        <v>24654</v>
      </c>
      <c r="E15" s="150" t="n">
        <v>24124</v>
      </c>
      <c r="F15" s="150" t="n">
        <v>25000</v>
      </c>
    </row>
    <row r="16" ht="15" customHeight="1" s="83">
      <c r="C16" s="150" t="n">
        <v>4811.31</v>
      </c>
      <c r="D16" s="150" t="n">
        <v>5251.302</v>
      </c>
      <c r="E16" s="150" t="n">
        <v>6416.984</v>
      </c>
      <c r="F16" s="150" t="n">
        <v>3350</v>
      </c>
    </row>
    <row r="18" ht="15" customHeight="1" s="83">
      <c r="C18" s="150" t="n">
        <v>18099.69</v>
      </c>
      <c r="D18" s="150" t="n">
        <v>19402.698</v>
      </c>
      <c r="E18" s="150" t="n">
        <v>17707.016</v>
      </c>
      <c r="F18" s="150" t="n">
        <v>21650</v>
      </c>
    </row>
    <row r="20" ht="15" customHeight="1" s="83">
      <c r="C20" s="150" t="n">
        <v>4825.32</v>
      </c>
      <c r="D20" s="150" t="n">
        <v>5276.048</v>
      </c>
      <c r="E20" s="150" t="n">
        <v>4961.106</v>
      </c>
      <c r="F20" s="150" t="n">
        <v>5892.264</v>
      </c>
    </row>
    <row r="21" ht="15" customHeight="1" s="83">
      <c r="C21" s="150" t="n">
        <v>13274.37</v>
      </c>
      <c r="D21" s="150" t="n">
        <v>14126.65</v>
      </c>
      <c r="E21" s="150" t="n">
        <v>12745.91</v>
      </c>
      <c r="F21" s="150" t="n">
        <v>15757.736</v>
      </c>
    </row>
    <row r="23" ht="15" customHeight="1" s="83">
      <c r="C23" s="150" t="n">
        <v>7128</v>
      </c>
      <c r="D23" s="150" t="n">
        <v>7150.0634</v>
      </c>
      <c r="E23" s="150" t="n">
        <v>7175.8954</v>
      </c>
      <c r="F23" s="150" t="n">
        <v>7037.5024</v>
      </c>
    </row>
    <row r="25" ht="15" customHeight="1" s="83">
      <c r="C25" s="150" t="n">
        <v>1.8623</v>
      </c>
      <c r="D25" s="150" t="n">
        <v>1.9757</v>
      </c>
      <c r="E25" s="150" t="n">
        <v>1.7762</v>
      </c>
      <c r="F25" s="150" t="n">
        <v>2.2391</v>
      </c>
    </row>
    <row r="28" ht="15" customHeight="1" s="83">
      <c r="C28" s="150" t="n">
        <v>1.3831</v>
      </c>
      <c r="D28" s="150" t="n">
        <v>1.1379</v>
      </c>
      <c r="E28" s="150" t="n">
        <v>1.1438</v>
      </c>
      <c r="F28" s="150" t="n">
        <v>1.1623</v>
      </c>
    </row>
    <row r="40" ht="15" customHeight="1" s="83">
      <c r="C40" s="150" t="n">
        <v>248478</v>
      </c>
      <c r="D40" s="150" t="n">
        <v>251474</v>
      </c>
      <c r="E40" s="150" t="n">
        <v>241997</v>
      </c>
      <c r="F40" s="150" t="n">
        <v>247342</v>
      </c>
    </row>
    <row r="41" ht="15" customHeight="1" s="83">
      <c r="C41" s="150" t="n">
        <v>150978</v>
      </c>
      <c r="D41" s="150" t="n">
        <v>148177</v>
      </c>
      <c r="E41" s="150" t="n">
        <v>137625</v>
      </c>
      <c r="F41" s="150" t="n">
        <v>136809</v>
      </c>
    </row>
    <row r="42" ht="15" customHeight="1" s="83">
      <c r="C42" s="150" t="n">
        <v>97500</v>
      </c>
      <c r="D42" s="150" t="n">
        <v>103297</v>
      </c>
      <c r="E42" s="150" t="n">
        <v>104372</v>
      </c>
      <c r="F42" s="150" t="n">
        <v>110533</v>
      </c>
    </row>
    <row r="43" ht="15" customHeight="1" s="83">
      <c r="C43" s="150" t="n">
        <v>149259</v>
      </c>
      <c r="D43" s="150" t="n">
        <v>149394</v>
      </c>
      <c r="E43" s="150" t="n">
        <v>149780</v>
      </c>
      <c r="F43" s="150" t="n">
        <v>154201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J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83">
      <c r="A1" s="82" t="inlineStr">
        <is>
          <t>RATES — source (real cost of debt ρD)</t>
        </is>
      </c>
    </row>
    <row r="56" ht="15" customHeight="1" s="83">
      <c r="C56" s="82" t="n">
        <v>0.02</v>
      </c>
      <c r="D56" s="82" t="n">
        <v>0.02</v>
      </c>
      <c r="E56" s="82" t="n">
        <v>0.02</v>
      </c>
      <c r="F56" s="82" t="n">
        <v>0.02</v>
      </c>
      <c r="G56" s="82" t="n">
        <v>0.016532</v>
      </c>
      <c r="H56" s="82" t="n">
        <v>0.025599</v>
      </c>
      <c r="I56" s="82" t="n">
        <v>0.031015</v>
      </c>
      <c r="J56" s="82" t="n">
        <v>0.034515</v>
      </c>
      <c r="K56" s="82" t="n">
        <v>0.036779</v>
      </c>
      <c r="L56" s="82" t="n">
        <v>0.038368</v>
      </c>
      <c r="M56" s="82" t="n">
        <v>0.039361</v>
      </c>
      <c r="N56" s="82" t="n">
        <v>0.040062</v>
      </c>
      <c r="O56" s="82" t="n">
        <v>0.040467</v>
      </c>
      <c r="P56" s="82" t="n">
        <v>0.040652</v>
      </c>
      <c r="Q56" s="82" t="n">
        <v>0.040925</v>
      </c>
      <c r="R56" s="82" t="n">
        <v>0.04107</v>
      </c>
      <c r="S56" s="82" t="n">
        <v>0.041109</v>
      </c>
      <c r="T56" s="82" t="n">
        <v>0.041215</v>
      </c>
      <c r="U56" s="82" t="n">
        <v>0.041248</v>
      </c>
      <c r="V56" s="82" t="n">
        <v>0.041389</v>
      </c>
      <c r="W56" s="82" t="n">
        <v>0.041501</v>
      </c>
      <c r="X56" s="82" t="n">
        <v>0.041636</v>
      </c>
      <c r="Y56" s="82" t="n">
        <v>0.041723</v>
      </c>
      <c r="Z56" s="82" t="n">
        <v>0.042002</v>
      </c>
      <c r="AA56" s="82" t="n">
        <v>0.04207</v>
      </c>
      <c r="AB56" s="82" t="n">
        <v>0.042369</v>
      </c>
      <c r="AC56" s="82" t="n">
        <v>0.042654</v>
      </c>
      <c r="AD56" s="82" t="n">
        <v>0.042949</v>
      </c>
      <c r="AE56" s="82" t="n">
        <v>0.043258</v>
      </c>
      <c r="AF56" s="82" t="n">
        <v>0.043815</v>
      </c>
      <c r="AG56" s="82" t="n">
        <v>0.04389</v>
      </c>
      <c r="AH56" s="82" t="n">
        <v>0.044206</v>
      </c>
      <c r="AI56" s="82" t="n">
        <v>0.044802</v>
      </c>
      <c r="AJ56" s="82" t="n">
        <v>0.045454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2026-07-09T21:35:52Z</dcterms:created>
  <dcterms:modified xmlns:dcterms="http://purl.org/dc/terms/" xmlns:xsi="http://www.w3.org/2001/XMLSchema-instance" xsi:type="dcterms:W3CDTF">2026-07-12T08:07:42Z</dcterms:modified>
  <cp:revision>0</cp:revision>
</cp:coreProperties>
</file>
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  <definedName name="fc_dep">Forecast!$G$39:$AJ$39</definedName>
    <definedName name="fc_oiat">Forecast!$G$40:$AJ$40</definedName>
    <definedName name="fc_ni">Forecast!$G$41:$AJ$41</definedName>
    <definedName name="fc_capex">Forecast!$G$42:$AJ$42</definedName>
    <definedName name="fc_noa">Forecast!$G$43:$AJ$43</definedName>
    <definedName name="fc_nfo">Forecast!$G$44:$AJ$44</definedName>
    <definedName name="fc_cse">Forecast!$G$45:$AJ$45</definedName>
    <definedName name="fc_dps">Forecast!$G$46:$AJ$46</definedName>
    <definedName name="fc_eps">Forecast!$G$47:$AJ$47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 — tautological terms excluded, see rows 27/28</t>
        </is>
      </c>
      <c r="B5" s="81">
        <f>B31+B44+B50+B58+B29+B63+B72+B77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(decorative) Equity↔Enterprise tie — identically 0; NOT summed into B5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(decorative) Value-additivity V(OI)=V(EPS)+V(NFE) — identically 0 by definition; NOT summed into B5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  <row r="66">
      <c r="A66" s="61" t="inlineStr">
        <is>
          <t>CHECK 6 — cross-tab: Valuation AEG form vs DCF Reconciliation RI form (=0)</t>
        </is>
      </c>
    </row>
    <row r="67">
      <c r="A67" s="61" t="inlineStr">
        <is>
          <t xml:space="preserve">  Valuation V(EPS) $/sh  [HEADLINE, AEG form]</t>
        </is>
      </c>
      <c r="B67" s="61">
        <f>Valuation!B52</f>
        <v/>
      </c>
    </row>
    <row r="68">
      <c r="A68" s="61" t="inlineStr">
        <is>
          <t xml:space="preserve">  DCF Rec V(RI) $/sh     [residual-income form, four-method tied]</t>
        </is>
      </c>
      <c r="B68" s="61">
        <f>'DCF Reconciliation'!B45</f>
        <v/>
      </c>
    </row>
    <row r="69">
      <c r="A69" s="61" t="inlineStr">
        <is>
          <t xml:space="preserve">  gap $/sh  (AEG - RI)</t>
        </is>
      </c>
      <c r="B69" s="61">
        <f>B67-B68</f>
        <v/>
      </c>
    </row>
    <row r="70">
      <c r="A70" s="61" t="inlineStr">
        <is>
          <t xml:space="preserve">  gap as % of RI form</t>
        </is>
      </c>
      <c r="B70" s="61">
        <f>IF(B68=0,"",B69/B68)</f>
        <v/>
      </c>
    </row>
    <row r="71">
      <c r="A71" s="61" t="inlineStr">
        <is>
          <t xml:space="preserve">  NOTE: identical only when the AEG terms are capitalised with the annuity factor implied by the ACTUAL cost-of-equity curve.</t>
        </is>
      </c>
    </row>
    <row r="72">
      <c r="A72" s="61" t="inlineStr">
        <is>
          <t>Sigma |cross-tab tie|   [GATE: summed into B5]</t>
        </is>
      </c>
      <c r="B72" s="61">
        <f>ABS(B69)</f>
        <v/>
      </c>
    </row>
    <row r="74">
      <c r="A74" s="61" t="inlineStr">
        <is>
          <t>CHECK 7 — operations: value-weighted direct vs additive, and flow additivity  [both LIVE, both summed into B5]</t>
        </is>
      </c>
    </row>
    <row r="75">
      <c r="A75" s="61" t="inlineStr">
        <is>
          <t xml:space="preserve">  V(ops)@rho_F* − V(ops) additive</t>
        </is>
      </c>
      <c r="B75" s="61">
        <f>ABS('DCF Reconciliation'!B56)</f>
        <v/>
      </c>
    </row>
    <row r="76">
      <c r="A76" s="61" t="inlineStr">
        <is>
          <t xml:space="preserve">  Σ|FCFF − (FCFE + FCFD)|</t>
        </is>
      </c>
      <c r="B76" s="61">
        <f>ABS('DCF Reconciliation'!B57)</f>
        <v/>
      </c>
    </row>
    <row r="77">
      <c r="A77" s="61" t="inlineStr">
        <is>
          <t>Σ |CHECK 7|   [GATE: summed into B5]</t>
        </is>
      </c>
      <c r="B77" s="61">
        <f>B75+B76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  [historical restatement stays REAL 2026$ — presentation basis]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3"/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  [MULTIPLIER: nominal x this = base-year 2026$. Do NOT divide.]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  [MULTIPLIER: nominal x this = base-year 2026$. Do NOT divide.]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8"/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(B51*(1-B24)-B24*B50*(1-SUMPRODUCT('Cap Engine'!$B$7:$B$43,'Cap Engine'!$F$7:$F$43)/'Cap Engine'!$B$46))</f>
        <v/>
      </c>
      <c r="C52" s="101">
        <f>(C51*(1-C24)-C24*C50*(1-SUMPRODUCT('Cap Engine'!$B$7:$B$43,'Cap Engine'!$F$7:$F$43)/'Cap Engine'!$B$46))</f>
        <v/>
      </c>
      <c r="D52" s="101">
        <f>(D51*(1-D24)-D24*D50*(1-SUMPRODUCT('Cap Engine'!$B$7:$B$43,'Cap Engine'!$F$7:$F$43)/'Cap Engine'!$B$46))</f>
        <v/>
      </c>
      <c r="E52" s="101">
        <f>(E51*(1-E24)-E24*E50*(1-SUMPRODUCT('Cap Engine'!$B$7:$B$43,'Cap Engine'!$F$7:$F$43)/'Cap Engine'!$B$46))</f>
        <v/>
      </c>
      <c r="F52" s="101">
        <f>(F51*(1-F24)-F24*F50*(1-SUMPRODUCT('Cap Engine'!$B$7:$B$43,'Cap Engine'!$F$7:$F$43)/'Cap Engine'!$B$46))</f>
        <v/>
      </c>
      <c r="G52" s="101">
        <f>(G51*(1-G24)-G24*G50*(1-SUMPRODUCT('Cap Engine'!$B$7:$B$43,'Cap Engine'!$F$7:$F$43)/'Cap Engine'!$B$46))</f>
        <v/>
      </c>
      <c r="H52" s="101">
        <f>(H51*(1-H24)-H24*H50*(1-SUMPRODUCT('Cap Engine'!$B$7:$B$43,'Cap Engine'!$F$7:$F$43)/'Cap Engine'!$B$46))</f>
        <v/>
      </c>
      <c r="I52" s="101">
        <f>(I51*(1-I24)-I24*I50*(1-SUMPRODUCT('Cap Engine'!$B$7:$B$43,'Cap Engine'!$F$7:$F$43)/'Cap Engine'!$B$46))</f>
        <v/>
      </c>
      <c r="J52" s="101">
        <f>(J51*(1-J24)-J24*J50*(1-SUMPRODUCT('Cap Engine'!$B$7:$B$43,'Cap Engine'!$F$7:$F$43)/'Cap Engine'!$B$46))</f>
        <v/>
      </c>
      <c r="K52" s="101">
        <f>(K51*(1-K24)-K24*K50*(1-SUMPRODUCT('Cap Engine'!$B$7:$B$43,'Cap Engine'!$F$7:$F$43)/'Cap Engine'!$B$46))</f>
        <v/>
      </c>
      <c r="L52" s="101">
        <f>(L51*(1-L24)-L24*L50*(1-SUMPRODUCT('Cap Engine'!$B$7:$B$43,'Cap Engine'!$F$7:$F$43)/'Cap Engine'!$B$46))</f>
        <v/>
      </c>
      <c r="M52" s="101">
        <f>(M51*(1-M24)-M24*M50*(1-SUMPRODUCT('Cap Engine'!$B$7:$B$43,'Cap Engine'!$F$7:$F$43)/'Cap Engine'!$B$46))</f>
        <v/>
      </c>
      <c r="N52" s="101">
        <f>(N51*(1-N24)-N24*N50*(1-SUMPRODUCT('Cap Engine'!$B$7:$B$43,'Cap Engine'!$F$7:$F$43)/'Cap Engine'!$B$46))</f>
        <v/>
      </c>
      <c r="O52" s="101">
        <f>(O51*(1-O24)-O24*O50*(1-SUMPRODUCT('Cap Engine'!$B$7:$B$43,'Cap Engine'!$F$7:$F$43)/'Cap Engine'!$B$46))</f>
        <v/>
      </c>
      <c r="P52" s="101">
        <f>(P51*(1-P24)-P24*P50*(1-SUMPRODUCT('Cap Engine'!$B$7:$B$43,'Cap Engine'!$F$7:$F$43)/'Cap Engine'!$B$46))</f>
        <v/>
      </c>
      <c r="Q52" s="101">
        <f>(Q51*(1-Q24)-Q24*Q50*(1-SUMPRODUCT('Cap Engine'!$B$7:$B$43,'Cap Engine'!$F$7:$F$43)/'Cap Engine'!$B$46))</f>
        <v/>
      </c>
      <c r="R52" s="101">
        <f>(R51*(1-R24)-R24*R50*(1-SUMPRODUCT('Cap Engine'!$B$7:$B$43,'Cap Engine'!$F$7:$F$43)/'Cap Engine'!$B$46))</f>
        <v/>
      </c>
      <c r="S52" s="101">
        <f>(S51*(1-S24)-S24*S50*(1-SUMPRODUCT('Cap Engine'!$B$7:$B$43,'Cap Engine'!$F$7:$F$43)/'Cap Engine'!$B$46))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spine 2026$; NOMINAL published series rows 39-47; cash tax on historical-cost depreciation)</t>
        </is>
      </c>
    </row>
    <row r="2" ht="15" customHeight="1" s="62">
      <c r="A2" s="64" t="inlineStr">
        <is>
          <t>One dual-mode tab. REAL spine (rows 5-36) drives the build; rows 37-38 carry pi_t and the cumulative index; rows 39-47 publish the NOMINAL series consumed by Valuation and DCF Reconciliation. Rows 48-52/34-35 compute cash tax on historical-cost depreciation.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'Econ Statements'!$S$51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IF(G4&lt;=cfg_N,(G15*(1-G17))-G35,G60*F24)</f>
        <v/>
      </c>
      <c r="H16" s="101">
        <f>IF(H4&lt;=cfg_N,(H15*(1-H17))-H35,H60*G24)</f>
        <v/>
      </c>
      <c r="I16" s="101">
        <f>IF(I4&lt;=cfg_N,(I15*(1-I17))-I35,I60*H24)</f>
        <v/>
      </c>
      <c r="J16" s="101">
        <f>IF(J4&lt;=cfg_N,(J15*(1-J17))-J35,J60*I24)</f>
        <v/>
      </c>
      <c r="K16" s="101">
        <f>IF(K4&lt;=cfg_N,(K15*(1-K17))-K35,K60*J24)</f>
        <v/>
      </c>
      <c r="L16" s="101">
        <f>IF(L4&lt;=cfg_N,(L15*(1-L17))-L35,L60*K24)</f>
        <v/>
      </c>
      <c r="M16" s="101">
        <f>IF(M4&lt;=cfg_N,(M15*(1-M17))-M35,M60*L24)</f>
        <v/>
      </c>
      <c r="N16" s="101">
        <f>IF(N4&lt;=cfg_N,(N15*(1-N17))-N35,N60*M24)</f>
        <v/>
      </c>
      <c r="O16" s="101">
        <f>IF(O4&lt;=cfg_N,(O15*(1-O17))-O35,O60*N24)</f>
        <v/>
      </c>
      <c r="P16" s="101">
        <f>IF(P4&lt;=cfg_N,(P15*(1-P17))-P35,P60*O24)</f>
        <v/>
      </c>
      <c r="Q16" s="101">
        <f>IF(Q4&lt;=cfg_N,(Q15*(1-Q17))-Q35,Q60*P24)</f>
        <v/>
      </c>
      <c r="R16" s="101">
        <f>IF(R4&lt;=cfg_N,(R15*(1-R17))-R35,R60*Q24)</f>
        <v/>
      </c>
      <c r="S16" s="101">
        <f>IF(S4&lt;=cfg_N,(S15*(1-S17))-S35,S60*R24)</f>
        <v/>
      </c>
      <c r="T16" s="86">
        <f>IF(T4&lt;=cfg_N,(T15*(1-T17))-T35,T60*S24)</f>
        <v/>
      </c>
      <c r="U16" s="86">
        <f>IF(U4&lt;=cfg_N,(U15*(1-U17))-U35,U60*T24)</f>
        <v/>
      </c>
      <c r="V16" s="86">
        <f>IF(V4&lt;=cfg_N,(V15*(1-V17))-V35,V60*U24)</f>
        <v/>
      </c>
      <c r="W16" s="86">
        <f>IF(W4&lt;=cfg_N,(W15*(1-W17))-W35,W60*V24)</f>
        <v/>
      </c>
      <c r="X16" s="86">
        <f>IF(X4&lt;=cfg_N,(X15*(1-X17))-X35,X60*W24)</f>
        <v/>
      </c>
      <c r="Y16" s="86">
        <f>IF(Y4&lt;=cfg_N,(Y15*(1-Y17))-Y35,Y60*X24)</f>
        <v/>
      </c>
      <c r="Z16" s="86">
        <f>IF(Z4&lt;=cfg_N,(Z15*(1-Z17))-Z35,Z60*Y24)</f>
        <v/>
      </c>
      <c r="AA16" s="86">
        <f>IF(AA4&lt;=cfg_N,(AA15*(1-AA17))-AA35,AA60*Z24)</f>
        <v/>
      </c>
      <c r="AB16" s="86">
        <f>IF(AB4&lt;=cfg_N,(AB15*(1-AB17))-AB35,AB60*AA24)</f>
        <v/>
      </c>
      <c r="AC16" s="86">
        <f>IF(AC4&lt;=cfg_N,(AC15*(1-AC17))-AC35,AC60*AB24)</f>
        <v/>
      </c>
      <c r="AD16" s="86">
        <f>IF(AD4&lt;=cfg_N,(AD15*(1-AD17))-AD35,AD60*AC24)</f>
        <v/>
      </c>
      <c r="AE16" s="86">
        <f>IF(AE4&lt;=cfg_N,(AE15*(1-AE17))-AE35,AE60*AD24)</f>
        <v/>
      </c>
      <c r="AF16" s="86">
        <f>IF(AF4&lt;=cfg_N,(AF15*(1-AF17))-AF35,AF60*AE24)</f>
        <v/>
      </c>
      <c r="AG16" s="86">
        <f>IF(AG4&lt;=cfg_N,(AG15*(1-AG17))-AG35,AG60*AF24)</f>
        <v/>
      </c>
      <c r="AH16" s="86">
        <f>IF(AH4&lt;=cfg_N,(AH15*(1-AH17))-AH35,AH60*AG24)</f>
        <v/>
      </c>
      <c r="AI16" s="86">
        <f>IF(AI4&lt;=cfg_N,(AI15*(1-AI17))-AI35,AI60*AH24)</f>
        <v/>
      </c>
      <c r="AJ16" s="86">
        <f>IF(AJ4&lt;=cfg_N,(AJ15*(1-AJ17))-AJ35,AJ60*AI24)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4">
      <c r="A34" s="61" t="inlineStr">
        <is>
          <t xml:space="preserve">  depreciation tax penalty (nominal) = t x (econ - tax) dep   &lt;STAGE B1&gt;</t>
        </is>
      </c>
      <c r="G34" s="61">
        <f>MAX(0,in_tax0*(G52-G49))</f>
        <v/>
      </c>
      <c r="H34" s="61">
        <f>MAX(0,in_tax0*(H52-H49))</f>
        <v/>
      </c>
      <c r="I34" s="61">
        <f>MAX(0,in_tax0*(I52-I49))</f>
        <v/>
      </c>
      <c r="J34" s="61">
        <f>MAX(0,in_tax0*(J52-J49))</f>
        <v/>
      </c>
      <c r="K34" s="61">
        <f>MAX(0,in_tax0*(K52-K49))</f>
        <v/>
      </c>
      <c r="L34" s="61">
        <f>MAX(0,in_tax0*(L52-L49))</f>
        <v/>
      </c>
      <c r="M34" s="61">
        <f>MAX(0,in_tax0*(M52-M49))</f>
        <v/>
      </c>
      <c r="N34" s="61">
        <f>MAX(0,in_tax0*(N52-N49))</f>
        <v/>
      </c>
      <c r="O34" s="61">
        <f>MAX(0,in_tax0*(O52-O49))</f>
        <v/>
      </c>
      <c r="P34" s="61">
        <f>MAX(0,in_tax0*(P52-P49))</f>
        <v/>
      </c>
      <c r="Q34" s="61">
        <f>MAX(0,in_tax0*(Q52-Q49))</f>
        <v/>
      </c>
      <c r="R34" s="61">
        <f>MAX(0,in_tax0*(R52-R49))</f>
        <v/>
      </c>
      <c r="S34" s="61">
        <f>MAX(0,in_tax0*(S52-S49))</f>
        <v/>
      </c>
      <c r="T34" s="61">
        <f>MAX(0,in_tax0*(T52-T49))</f>
        <v/>
      </c>
      <c r="U34" s="61">
        <f>MAX(0,in_tax0*(U52-U49))</f>
        <v/>
      </c>
      <c r="V34" s="61">
        <f>MAX(0,in_tax0*(V52-V49))</f>
        <v/>
      </c>
      <c r="W34" s="61">
        <f>MAX(0,in_tax0*(W52-W49))</f>
        <v/>
      </c>
      <c r="X34" s="61">
        <f>MAX(0,in_tax0*(X52-X49))</f>
        <v/>
      </c>
      <c r="Y34" s="61">
        <f>MAX(0,in_tax0*(Y52-Y49))</f>
        <v/>
      </c>
      <c r="Z34" s="61">
        <f>MAX(0,in_tax0*(Z52-Z49))</f>
        <v/>
      </c>
      <c r="AA34" s="61">
        <f>MAX(0,in_tax0*(AA52-AA49))</f>
        <v/>
      </c>
      <c r="AB34" s="61">
        <f>MAX(0,in_tax0*(AB52-AB49))</f>
        <v/>
      </c>
      <c r="AC34" s="61">
        <f>MAX(0,in_tax0*(AC52-AC49))</f>
        <v/>
      </c>
      <c r="AD34" s="61">
        <f>MAX(0,in_tax0*(AD52-AD49))</f>
        <v/>
      </c>
      <c r="AE34" s="61">
        <f>MAX(0,in_tax0*(AE52-AE49))</f>
        <v/>
      </c>
      <c r="AF34" s="61">
        <f>MAX(0,in_tax0*(AF52-AF49))</f>
        <v/>
      </c>
      <c r="AG34" s="61">
        <f>MAX(0,in_tax0*(AG52-AG49))</f>
        <v/>
      </c>
      <c r="AH34" s="61">
        <f>MAX(0,in_tax0*(AH52-AH49))</f>
        <v/>
      </c>
      <c r="AI34" s="61">
        <f>MAX(0,in_tax0*(AI52-AI49))</f>
        <v/>
      </c>
      <c r="AJ34" s="61">
        <f>MAX(0,in_tax0*(AJ52-AJ49))</f>
        <v/>
      </c>
    </row>
    <row r="35">
      <c r="A35" s="61" t="inlineStr">
        <is>
          <t xml:space="preserve">  depreciation tax penalty (real 2026$)  -&gt; charged to OI after tax   &lt;STAGE B1&gt;</t>
        </is>
      </c>
      <c r="G35" s="61">
        <f>G34/G38</f>
        <v/>
      </c>
      <c r="H35" s="61">
        <f>H34/H38</f>
        <v/>
      </c>
      <c r="I35" s="61">
        <f>I34/I38</f>
        <v/>
      </c>
      <c r="J35" s="61">
        <f>J34/J38</f>
        <v/>
      </c>
      <c r="K35" s="61">
        <f>K34/K38</f>
        <v/>
      </c>
      <c r="L35" s="61">
        <f>L34/L38</f>
        <v/>
      </c>
      <c r="M35" s="61">
        <f>M34/M38</f>
        <v/>
      </c>
      <c r="N35" s="61">
        <f>N34/N38</f>
        <v/>
      </c>
      <c r="O35" s="61">
        <f>O34/O38</f>
        <v/>
      </c>
      <c r="P35" s="61">
        <f>P34/P38</f>
        <v/>
      </c>
      <c r="Q35" s="61">
        <f>Q34/Q38</f>
        <v/>
      </c>
      <c r="R35" s="61">
        <f>R34/R38</f>
        <v/>
      </c>
      <c r="S35" s="61">
        <f>S34/S38</f>
        <v/>
      </c>
      <c r="T35" s="61">
        <f>T34/T38</f>
        <v/>
      </c>
      <c r="U35" s="61">
        <f>U34/U38</f>
        <v/>
      </c>
      <c r="V35" s="61">
        <f>V34/V38</f>
        <v/>
      </c>
      <c r="W35" s="61">
        <f>W34/W38</f>
        <v/>
      </c>
      <c r="X35" s="61">
        <f>X34/X38</f>
        <v/>
      </c>
      <c r="Y35" s="61">
        <f>Y34/Y38</f>
        <v/>
      </c>
      <c r="Z35" s="61">
        <f>Z34/Z38</f>
        <v/>
      </c>
      <c r="AA35" s="61">
        <f>AA34/AA38</f>
        <v/>
      </c>
      <c r="AB35" s="61">
        <f>AB34/AB38</f>
        <v/>
      </c>
      <c r="AC35" s="61">
        <f>AC34/AC38</f>
        <v/>
      </c>
      <c r="AD35" s="61">
        <f>AD34/AD38</f>
        <v/>
      </c>
      <c r="AE35" s="61">
        <f>AE34/AE38</f>
        <v/>
      </c>
      <c r="AF35" s="61">
        <f>AF34/AF38</f>
        <v/>
      </c>
      <c r="AG35" s="61">
        <f>AG34/AG38</f>
        <v/>
      </c>
      <c r="AH35" s="61">
        <f>AH34/AH38</f>
        <v/>
      </c>
      <c r="AI35" s="61">
        <f>AI34/AI38</f>
        <v/>
      </c>
      <c r="AJ35" s="61">
        <f>AJ34/AJ38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37">
      <c r="A37" s="61" t="inlineStr">
        <is>
          <t xml:space="preserve">  pi_t  expected inflation fwd [finrate_infl]   &lt;STAGE A&gt;</t>
        </is>
      </c>
      <c r="G37" s="61">
        <f>INDEX(finrate_infl,G4)</f>
        <v/>
      </c>
      <c r="H37" s="61">
        <f>INDEX(finrate_infl,H4)</f>
        <v/>
      </c>
      <c r="I37" s="61">
        <f>INDEX(finrate_infl,I4)</f>
        <v/>
      </c>
      <c r="J37" s="61">
        <f>INDEX(finrate_infl,J4)</f>
        <v/>
      </c>
      <c r="K37" s="61">
        <f>INDEX(finrate_infl,K4)</f>
        <v/>
      </c>
      <c r="L37" s="61">
        <f>INDEX(finrate_infl,L4)</f>
        <v/>
      </c>
      <c r="M37" s="61">
        <f>INDEX(finrate_infl,M4)</f>
        <v/>
      </c>
      <c r="N37" s="61">
        <f>INDEX(finrate_infl,N4)</f>
        <v/>
      </c>
      <c r="O37" s="61">
        <f>INDEX(finrate_infl,O4)</f>
        <v/>
      </c>
      <c r="P37" s="61">
        <f>INDEX(finrate_infl,P4)</f>
        <v/>
      </c>
      <c r="Q37" s="61">
        <f>INDEX(finrate_infl,Q4)</f>
        <v/>
      </c>
      <c r="R37" s="61">
        <f>INDEX(finrate_infl,R4)</f>
        <v/>
      </c>
      <c r="S37" s="61">
        <f>INDEX(finrate_infl,S4)</f>
        <v/>
      </c>
      <c r="T37" s="61">
        <f>INDEX(finrate_infl,T4)</f>
        <v/>
      </c>
      <c r="U37" s="61">
        <f>INDEX(finrate_infl,U4)</f>
        <v/>
      </c>
      <c r="V37" s="61">
        <f>INDEX(finrate_infl,V4)</f>
        <v/>
      </c>
      <c r="W37" s="61">
        <f>INDEX(finrate_infl,W4)</f>
        <v/>
      </c>
      <c r="X37" s="61">
        <f>INDEX(finrate_infl,X4)</f>
        <v/>
      </c>
      <c r="Y37" s="61">
        <f>INDEX(finrate_infl,Y4)</f>
        <v/>
      </c>
      <c r="Z37" s="61">
        <f>INDEX(finrate_infl,Z4)</f>
        <v/>
      </c>
      <c r="AA37" s="61">
        <f>INDEX(finrate_infl,AA4)</f>
        <v/>
      </c>
      <c r="AB37" s="61">
        <f>INDEX(finrate_infl,AB4)</f>
        <v/>
      </c>
      <c r="AC37" s="61">
        <f>INDEX(finrate_infl,AC4)</f>
        <v/>
      </c>
      <c r="AD37" s="61">
        <f>INDEX(finrate_infl,AD4)</f>
        <v/>
      </c>
      <c r="AE37" s="61">
        <f>INDEX(finrate_infl,AE4)</f>
        <v/>
      </c>
      <c r="AF37" s="61">
        <f>INDEX(finrate_infl,AF4)</f>
        <v/>
      </c>
      <c r="AG37" s="61">
        <f>INDEX(finrate_infl,AG4)</f>
        <v/>
      </c>
      <c r="AH37" s="61">
        <f>INDEX(finrate_infl,AH4)</f>
        <v/>
      </c>
      <c r="AI37" s="61">
        <f>INDEX(finrate_infl,AI4)</f>
        <v/>
      </c>
      <c r="AJ37" s="61">
        <f>INDEX(finrate_infl,AJ4)</f>
        <v/>
      </c>
    </row>
    <row r="38">
      <c r="A38" s="61" t="inlineStr">
        <is>
          <t xml:space="preserve">  I_t  cumulative inflation index (I_0=1)       &lt;STAGE A&gt;</t>
        </is>
      </c>
      <c r="F38" s="61" t="n">
        <v>1</v>
      </c>
      <c r="G38" s="61">
        <f>F38*(1+G37)</f>
        <v/>
      </c>
      <c r="H38" s="61">
        <f>G38*(1+H37)</f>
        <v/>
      </c>
      <c r="I38" s="61">
        <f>H38*(1+I37)</f>
        <v/>
      </c>
      <c r="J38" s="61">
        <f>I38*(1+J37)</f>
        <v/>
      </c>
      <c r="K38" s="61">
        <f>J38*(1+K37)</f>
        <v/>
      </c>
      <c r="L38" s="61">
        <f>K38*(1+L37)</f>
        <v/>
      </c>
      <c r="M38" s="61">
        <f>L38*(1+M37)</f>
        <v/>
      </c>
      <c r="N38" s="61">
        <f>M38*(1+N37)</f>
        <v/>
      </c>
      <c r="O38" s="61">
        <f>N38*(1+O37)</f>
        <v/>
      </c>
      <c r="P38" s="61">
        <f>O38*(1+P37)</f>
        <v/>
      </c>
      <c r="Q38" s="61">
        <f>P38*(1+Q37)</f>
        <v/>
      </c>
      <c r="R38" s="61">
        <f>Q38*(1+R37)</f>
        <v/>
      </c>
      <c r="S38" s="61">
        <f>R38*(1+S37)</f>
        <v/>
      </c>
      <c r="T38" s="61">
        <f>S38*(1+T37)</f>
        <v/>
      </c>
      <c r="U38" s="61">
        <f>T38*(1+U37)</f>
        <v/>
      </c>
      <c r="V38" s="61">
        <f>U38*(1+V37)</f>
        <v/>
      </c>
      <c r="W38" s="61">
        <f>V38*(1+W37)</f>
        <v/>
      </c>
      <c r="X38" s="61">
        <f>W38*(1+X37)</f>
        <v/>
      </c>
      <c r="Y38" s="61">
        <f>X38*(1+Y37)</f>
        <v/>
      </c>
      <c r="Z38" s="61">
        <f>Y38*(1+Z37)</f>
        <v/>
      </c>
      <c r="AA38" s="61">
        <f>Z38*(1+AA37)</f>
        <v/>
      </c>
      <c r="AB38" s="61">
        <f>AA38*(1+AB37)</f>
        <v/>
      </c>
      <c r="AC38" s="61">
        <f>AB38*(1+AC37)</f>
        <v/>
      </c>
      <c r="AD38" s="61">
        <f>AC38*(1+AD37)</f>
        <v/>
      </c>
      <c r="AE38" s="61">
        <f>AD38*(1+AE37)</f>
        <v/>
      </c>
      <c r="AF38" s="61">
        <f>AE38*(1+AF37)</f>
        <v/>
      </c>
      <c r="AG38" s="61">
        <f>AF38*(1+AG37)</f>
        <v/>
      </c>
      <c r="AH38" s="61">
        <f>AG38*(1+AH37)</f>
        <v/>
      </c>
      <c r="AI38" s="61">
        <f>AH38*(1+AI37)</f>
        <v/>
      </c>
      <c r="AJ38" s="61">
        <f>AI38*(1+AJ37)</f>
        <v/>
      </c>
    </row>
    <row r="39">
      <c r="A39" s="61" t="inlineStr">
        <is>
          <t xml:space="preserve">  NOMINAL D&amp;A (economic depreciation)  &lt;STAGE A&gt;</t>
        </is>
      </c>
      <c r="G39" s="61">
        <f>G13*G38</f>
        <v/>
      </c>
      <c r="H39" s="61">
        <f>H13*H38</f>
        <v/>
      </c>
      <c r="I39" s="61">
        <f>I13*I38</f>
        <v/>
      </c>
      <c r="J39" s="61">
        <f>J13*J38</f>
        <v/>
      </c>
      <c r="K39" s="61">
        <f>K13*K38</f>
        <v/>
      </c>
      <c r="L39" s="61">
        <f>L13*L38</f>
        <v/>
      </c>
      <c r="M39" s="61">
        <f>M13*M38</f>
        <v/>
      </c>
      <c r="N39" s="61">
        <f>N13*N38</f>
        <v/>
      </c>
      <c r="O39" s="61">
        <f>O13*O38</f>
        <v/>
      </c>
      <c r="P39" s="61">
        <f>P13*P38</f>
        <v/>
      </c>
      <c r="Q39" s="61">
        <f>Q13*Q38</f>
        <v/>
      </c>
      <c r="R39" s="61">
        <f>R13*R38</f>
        <v/>
      </c>
      <c r="S39" s="61">
        <f>S13*S38</f>
        <v/>
      </c>
      <c r="T39" s="61">
        <f>T13*T38</f>
        <v/>
      </c>
      <c r="U39" s="61">
        <f>U13*U38</f>
        <v/>
      </c>
      <c r="V39" s="61">
        <f>V13*V38</f>
        <v/>
      </c>
      <c r="W39" s="61">
        <f>W13*W38</f>
        <v/>
      </c>
      <c r="X39" s="61">
        <f>X13*X38</f>
        <v/>
      </c>
      <c r="Y39" s="61">
        <f>Y13*Y38</f>
        <v/>
      </c>
      <c r="Z39" s="61">
        <f>Z13*Z38</f>
        <v/>
      </c>
      <c r="AA39" s="61">
        <f>AA13*AA38</f>
        <v/>
      </c>
      <c r="AB39" s="61">
        <f>AB13*AB38</f>
        <v/>
      </c>
      <c r="AC39" s="61">
        <f>AC13*AC38</f>
        <v/>
      </c>
      <c r="AD39" s="61">
        <f>AD13*AD38</f>
        <v/>
      </c>
      <c r="AE39" s="61">
        <f>AE13*AE38</f>
        <v/>
      </c>
      <c r="AF39" s="61">
        <f>AF13*AF38</f>
        <v/>
      </c>
      <c r="AG39" s="61">
        <f>AG13*AG38</f>
        <v/>
      </c>
      <c r="AH39" s="61">
        <f>AH13*AH38</f>
        <v/>
      </c>
      <c r="AI39" s="61">
        <f>AI13*AI38</f>
        <v/>
      </c>
      <c r="AJ39" s="61">
        <f>AJ13*AJ38</f>
        <v/>
      </c>
    </row>
    <row r="40">
      <c r="A40" s="61" t="inlineStr">
        <is>
          <t xml:space="preserve">  NOMINAL Operating income, after tax (OI)  &lt;STAGE A&gt;</t>
        </is>
      </c>
      <c r="G40" s="61">
        <f>G16*G38</f>
        <v/>
      </c>
      <c r="H40" s="61">
        <f>H16*H38</f>
        <v/>
      </c>
      <c r="I40" s="61">
        <f>I16*I38</f>
        <v/>
      </c>
      <c r="J40" s="61">
        <f>J16*J38</f>
        <v/>
      </c>
      <c r="K40" s="61">
        <f>K16*K38</f>
        <v/>
      </c>
      <c r="L40" s="61">
        <f>L16*L38</f>
        <v/>
      </c>
      <c r="M40" s="61">
        <f>M16*M38</f>
        <v/>
      </c>
      <c r="N40" s="61">
        <f>N16*N38</f>
        <v/>
      </c>
      <c r="O40" s="61">
        <f>O16*O38</f>
        <v/>
      </c>
      <c r="P40" s="61">
        <f>P16*P38</f>
        <v/>
      </c>
      <c r="Q40" s="61">
        <f>Q16*Q38</f>
        <v/>
      </c>
      <c r="R40" s="61">
        <f>R16*R38</f>
        <v/>
      </c>
      <c r="S40" s="61">
        <f>S16*S38</f>
        <v/>
      </c>
      <c r="T40" s="61">
        <f>T16*T38</f>
        <v/>
      </c>
      <c r="U40" s="61">
        <f>U16*U38</f>
        <v/>
      </c>
      <c r="V40" s="61">
        <f>V16*V38</f>
        <v/>
      </c>
      <c r="W40" s="61">
        <f>W16*W38</f>
        <v/>
      </c>
      <c r="X40" s="61">
        <f>X16*X38</f>
        <v/>
      </c>
      <c r="Y40" s="61">
        <f>Y16*Y38</f>
        <v/>
      </c>
      <c r="Z40" s="61">
        <f>Z16*Z38</f>
        <v/>
      </c>
      <c r="AA40" s="61">
        <f>AA16*AA38</f>
        <v/>
      </c>
      <c r="AB40" s="61">
        <f>AB16*AB38</f>
        <v/>
      </c>
      <c r="AC40" s="61">
        <f>AC16*AC38</f>
        <v/>
      </c>
      <c r="AD40" s="61">
        <f>AD16*AD38</f>
        <v/>
      </c>
      <c r="AE40" s="61">
        <f>AE16*AE38</f>
        <v/>
      </c>
      <c r="AF40" s="61">
        <f>AF16*AF38</f>
        <v/>
      </c>
      <c r="AG40" s="61">
        <f>AG16*AG38</f>
        <v/>
      </c>
      <c r="AH40" s="61">
        <f>AH16*AH38</f>
        <v/>
      </c>
      <c r="AI40" s="61">
        <f>AI16*AI38</f>
        <v/>
      </c>
      <c r="AJ40" s="61">
        <f>AJ16*AJ38</f>
        <v/>
      </c>
    </row>
    <row r="41">
      <c r="A41" s="61" t="inlineStr">
        <is>
          <t xml:space="preserve">  NOMINAL Net income (comprehensive)  &lt;STAGE A&gt;</t>
        </is>
      </c>
      <c r="G41" s="61">
        <f>G19*G38</f>
        <v/>
      </c>
      <c r="H41" s="61">
        <f>H19*H38</f>
        <v/>
      </c>
      <c r="I41" s="61">
        <f>I19*I38</f>
        <v/>
      </c>
      <c r="J41" s="61">
        <f>J19*J38</f>
        <v/>
      </c>
      <c r="K41" s="61">
        <f>K19*K38</f>
        <v/>
      </c>
      <c r="L41" s="61">
        <f>L19*L38</f>
        <v/>
      </c>
      <c r="M41" s="61">
        <f>M19*M38</f>
        <v/>
      </c>
      <c r="N41" s="61">
        <f>N19*N38</f>
        <v/>
      </c>
      <c r="O41" s="61">
        <f>O19*O38</f>
        <v/>
      </c>
      <c r="P41" s="61">
        <f>P19*P38</f>
        <v/>
      </c>
      <c r="Q41" s="61">
        <f>Q19*Q38</f>
        <v/>
      </c>
      <c r="R41" s="61">
        <f>R19*R38</f>
        <v/>
      </c>
      <c r="S41" s="61">
        <f>S19*S38</f>
        <v/>
      </c>
      <c r="T41" s="61">
        <f>T19*T38</f>
        <v/>
      </c>
      <c r="U41" s="61">
        <f>U19*U38</f>
        <v/>
      </c>
      <c r="V41" s="61">
        <f>V19*V38</f>
        <v/>
      </c>
      <c r="W41" s="61">
        <f>W19*W38</f>
        <v/>
      </c>
      <c r="X41" s="61">
        <f>X19*X38</f>
        <v/>
      </c>
      <c r="Y41" s="61">
        <f>Y19*Y38</f>
        <v/>
      </c>
      <c r="Z41" s="61">
        <f>Z19*Z38</f>
        <v/>
      </c>
      <c r="AA41" s="61">
        <f>AA19*AA38</f>
        <v/>
      </c>
      <c r="AB41" s="61">
        <f>AB19*AB38</f>
        <v/>
      </c>
      <c r="AC41" s="61">
        <f>AC19*AC38</f>
        <v/>
      </c>
      <c r="AD41" s="61">
        <f>AD19*AD38</f>
        <v/>
      </c>
      <c r="AE41" s="61">
        <f>AE19*AE38</f>
        <v/>
      </c>
      <c r="AF41" s="61">
        <f>AF19*AF38</f>
        <v/>
      </c>
      <c r="AG41" s="61">
        <f>AG19*AG38</f>
        <v/>
      </c>
      <c r="AH41" s="61">
        <f>AH19*AH38</f>
        <v/>
      </c>
      <c r="AI41" s="61">
        <f>AI19*AI38</f>
        <v/>
      </c>
      <c r="AJ41" s="61">
        <f>AJ19*AJ38</f>
        <v/>
      </c>
    </row>
    <row r="42">
      <c r="A42" s="61" t="inlineStr">
        <is>
          <t xml:space="preserve">  NOMINAL   capital expenditure  &lt;STAGE A&gt;</t>
        </is>
      </c>
      <c r="G42" s="61">
        <f>G23*G38</f>
        <v/>
      </c>
      <c r="H42" s="61">
        <f>H23*H38</f>
        <v/>
      </c>
      <c r="I42" s="61">
        <f>I23*I38</f>
        <v/>
      </c>
      <c r="J42" s="61">
        <f>J23*J38</f>
        <v/>
      </c>
      <c r="K42" s="61">
        <f>K23*K38</f>
        <v/>
      </c>
      <c r="L42" s="61">
        <f>L23*L38</f>
        <v/>
      </c>
      <c r="M42" s="61">
        <f>M23*M38</f>
        <v/>
      </c>
      <c r="N42" s="61">
        <f>N23*N38</f>
        <v/>
      </c>
      <c r="O42" s="61">
        <f>O23*O38</f>
        <v/>
      </c>
      <c r="P42" s="61">
        <f>P23*P38</f>
        <v/>
      </c>
      <c r="Q42" s="61">
        <f>Q23*Q38</f>
        <v/>
      </c>
      <c r="R42" s="61">
        <f>R23*R38</f>
        <v/>
      </c>
      <c r="S42" s="61">
        <f>S23*S38</f>
        <v/>
      </c>
      <c r="T42" s="61">
        <f>T23*T38</f>
        <v/>
      </c>
      <c r="U42" s="61">
        <f>U23*U38</f>
        <v/>
      </c>
      <c r="V42" s="61">
        <f>V23*V38</f>
        <v/>
      </c>
      <c r="W42" s="61">
        <f>W23*W38</f>
        <v/>
      </c>
      <c r="X42" s="61">
        <f>X23*X38</f>
        <v/>
      </c>
      <c r="Y42" s="61">
        <f>Y23*Y38</f>
        <v/>
      </c>
      <c r="Z42" s="61">
        <f>Z23*Z38</f>
        <v/>
      </c>
      <c r="AA42" s="61">
        <f>AA23*AA38</f>
        <v/>
      </c>
      <c r="AB42" s="61">
        <f>AB23*AB38</f>
        <v/>
      </c>
      <c r="AC42" s="61">
        <f>AC23*AC38</f>
        <v/>
      </c>
      <c r="AD42" s="61">
        <f>AD23*AD38</f>
        <v/>
      </c>
      <c r="AE42" s="61">
        <f>AE23*AE38</f>
        <v/>
      </c>
      <c r="AF42" s="61">
        <f>AF23*AF38</f>
        <v/>
      </c>
      <c r="AG42" s="61">
        <f>AG23*AG38</f>
        <v/>
      </c>
      <c r="AH42" s="61">
        <f>AH23*AH38</f>
        <v/>
      </c>
      <c r="AI42" s="61">
        <f>AI23*AI38</f>
        <v/>
      </c>
      <c r="AJ42" s="61">
        <f>AJ23*AJ38</f>
        <v/>
      </c>
    </row>
    <row r="43">
      <c r="A43" s="61" t="inlineStr">
        <is>
          <t xml:space="preserve">  NOMINAL Net operating assets (NOA)  &lt;STAGE A&gt;</t>
        </is>
      </c>
      <c r="G43" s="61">
        <f>G24*G38</f>
        <v/>
      </c>
      <c r="H43" s="61">
        <f>H24*H38</f>
        <v/>
      </c>
      <c r="I43" s="61">
        <f>I24*I38</f>
        <v/>
      </c>
      <c r="J43" s="61">
        <f>J24*J38</f>
        <v/>
      </c>
      <c r="K43" s="61">
        <f>K24*K38</f>
        <v/>
      </c>
      <c r="L43" s="61">
        <f>L24*L38</f>
        <v/>
      </c>
      <c r="M43" s="61">
        <f>M24*M38</f>
        <v/>
      </c>
      <c r="N43" s="61">
        <f>N24*N38</f>
        <v/>
      </c>
      <c r="O43" s="61">
        <f>O24*O38</f>
        <v/>
      </c>
      <c r="P43" s="61">
        <f>P24*P38</f>
        <v/>
      </c>
      <c r="Q43" s="61">
        <f>Q24*Q38</f>
        <v/>
      </c>
      <c r="R43" s="61">
        <f>R24*R38</f>
        <v/>
      </c>
      <c r="S43" s="61">
        <f>S24*S38</f>
        <v/>
      </c>
      <c r="T43" s="61">
        <f>T24*T38</f>
        <v/>
      </c>
      <c r="U43" s="61">
        <f>U24*U38</f>
        <v/>
      </c>
      <c r="V43" s="61">
        <f>V24*V38</f>
        <v/>
      </c>
      <c r="W43" s="61">
        <f>W24*W38</f>
        <v/>
      </c>
      <c r="X43" s="61">
        <f>X24*X38</f>
        <v/>
      </c>
      <c r="Y43" s="61">
        <f>Y24*Y38</f>
        <v/>
      </c>
      <c r="Z43" s="61">
        <f>Z24*Z38</f>
        <v/>
      </c>
      <c r="AA43" s="61">
        <f>AA24*AA38</f>
        <v/>
      </c>
      <c r="AB43" s="61">
        <f>AB24*AB38</f>
        <v/>
      </c>
      <c r="AC43" s="61">
        <f>AC24*AC38</f>
        <v/>
      </c>
      <c r="AD43" s="61">
        <f>AD24*AD38</f>
        <v/>
      </c>
      <c r="AE43" s="61">
        <f>AE24*AE38</f>
        <v/>
      </c>
      <c r="AF43" s="61">
        <f>AF24*AF38</f>
        <v/>
      </c>
      <c r="AG43" s="61">
        <f>AG24*AG38</f>
        <v/>
      </c>
      <c r="AH43" s="61">
        <f>AH24*AH38</f>
        <v/>
      </c>
      <c r="AI43" s="61">
        <f>AI24*AI38</f>
        <v/>
      </c>
      <c r="AJ43" s="61">
        <f>AJ24*AJ38</f>
        <v/>
      </c>
    </row>
    <row r="44">
      <c r="A44" s="61" t="inlineStr">
        <is>
          <t xml:space="preserve">  NOMINAL   NFO  (financed by)  &lt;STAGE A&gt;</t>
        </is>
      </c>
      <c r="G44" s="61">
        <f>G25*G38</f>
        <v/>
      </c>
      <c r="H44" s="61">
        <f>H25*H38</f>
        <v/>
      </c>
      <c r="I44" s="61">
        <f>I25*I38</f>
        <v/>
      </c>
      <c r="J44" s="61">
        <f>J25*J38</f>
        <v/>
      </c>
      <c r="K44" s="61">
        <f>K25*K38</f>
        <v/>
      </c>
      <c r="L44" s="61">
        <f>L25*L38</f>
        <v/>
      </c>
      <c r="M44" s="61">
        <f>M25*M38</f>
        <v/>
      </c>
      <c r="N44" s="61">
        <f>N25*N38</f>
        <v/>
      </c>
      <c r="O44" s="61">
        <f>O25*O38</f>
        <v/>
      </c>
      <c r="P44" s="61">
        <f>P25*P38</f>
        <v/>
      </c>
      <c r="Q44" s="61">
        <f>Q25*Q38</f>
        <v/>
      </c>
      <c r="R44" s="61">
        <f>R25*R38</f>
        <v/>
      </c>
      <c r="S44" s="61">
        <f>S25*S38</f>
        <v/>
      </c>
      <c r="T44" s="61">
        <f>T25*T38</f>
        <v/>
      </c>
      <c r="U44" s="61">
        <f>U25*U38</f>
        <v/>
      </c>
      <c r="V44" s="61">
        <f>V25*V38</f>
        <v/>
      </c>
      <c r="W44" s="61">
        <f>W25*W38</f>
        <v/>
      </c>
      <c r="X44" s="61">
        <f>X25*X38</f>
        <v/>
      </c>
      <c r="Y44" s="61">
        <f>Y25*Y38</f>
        <v/>
      </c>
      <c r="Z44" s="61">
        <f>Z25*Z38</f>
        <v/>
      </c>
      <c r="AA44" s="61">
        <f>AA25*AA38</f>
        <v/>
      </c>
      <c r="AB44" s="61">
        <f>AB25*AB38</f>
        <v/>
      </c>
      <c r="AC44" s="61">
        <f>AC25*AC38</f>
        <v/>
      </c>
      <c r="AD44" s="61">
        <f>AD25*AD38</f>
        <v/>
      </c>
      <c r="AE44" s="61">
        <f>AE25*AE38</f>
        <v/>
      </c>
      <c r="AF44" s="61">
        <f>AF25*AF38</f>
        <v/>
      </c>
      <c r="AG44" s="61">
        <f>AG25*AG38</f>
        <v/>
      </c>
      <c r="AH44" s="61">
        <f>AH25*AH38</f>
        <v/>
      </c>
      <c r="AI44" s="61">
        <f>AI25*AI38</f>
        <v/>
      </c>
      <c r="AJ44" s="61">
        <f>AJ25*AJ38</f>
        <v/>
      </c>
    </row>
    <row r="45">
      <c r="A45" s="61" t="inlineStr">
        <is>
          <t xml:space="preserve">  NOMINAL   CSE = NOA − NFO  (equity: clean-surplus roll)  &lt;STAGE A&gt;</t>
        </is>
      </c>
      <c r="G45" s="61">
        <f>G27*G38</f>
        <v/>
      </c>
      <c r="H45" s="61">
        <f>H27*H38</f>
        <v/>
      </c>
      <c r="I45" s="61">
        <f>I27*I38</f>
        <v/>
      </c>
      <c r="J45" s="61">
        <f>J27*J38</f>
        <v/>
      </c>
      <c r="K45" s="61">
        <f>K27*K38</f>
        <v/>
      </c>
      <c r="L45" s="61">
        <f>L27*L38</f>
        <v/>
      </c>
      <c r="M45" s="61">
        <f>M27*M38</f>
        <v/>
      </c>
      <c r="N45" s="61">
        <f>N27*N38</f>
        <v/>
      </c>
      <c r="O45" s="61">
        <f>O27*O38</f>
        <v/>
      </c>
      <c r="P45" s="61">
        <f>P27*P38</f>
        <v/>
      </c>
      <c r="Q45" s="61">
        <f>Q27*Q38</f>
        <v/>
      </c>
      <c r="R45" s="61">
        <f>R27*R38</f>
        <v/>
      </c>
      <c r="S45" s="61">
        <f>S27*S38</f>
        <v/>
      </c>
      <c r="T45" s="61">
        <f>T27*T38</f>
        <v/>
      </c>
      <c r="U45" s="61">
        <f>U27*U38</f>
        <v/>
      </c>
      <c r="V45" s="61">
        <f>V27*V38</f>
        <v/>
      </c>
      <c r="W45" s="61">
        <f>W27*W38</f>
        <v/>
      </c>
      <c r="X45" s="61">
        <f>X27*X38</f>
        <v/>
      </c>
      <c r="Y45" s="61">
        <f>Y27*Y38</f>
        <v/>
      </c>
      <c r="Z45" s="61">
        <f>Z27*Z38</f>
        <v/>
      </c>
      <c r="AA45" s="61">
        <f>AA27*AA38</f>
        <v/>
      </c>
      <c r="AB45" s="61">
        <f>AB27*AB38</f>
        <v/>
      </c>
      <c r="AC45" s="61">
        <f>AC27*AC38</f>
        <v/>
      </c>
      <c r="AD45" s="61">
        <f>AD27*AD38</f>
        <v/>
      </c>
      <c r="AE45" s="61">
        <f>AE27*AE38</f>
        <v/>
      </c>
      <c r="AF45" s="61">
        <f>AF27*AF38</f>
        <v/>
      </c>
      <c r="AG45" s="61">
        <f>AG27*AG38</f>
        <v/>
      </c>
      <c r="AH45" s="61">
        <f>AH27*AH38</f>
        <v/>
      </c>
      <c r="AI45" s="61">
        <f>AI27*AI38</f>
        <v/>
      </c>
      <c r="AJ45" s="61">
        <f>AJ27*AJ38</f>
        <v/>
      </c>
    </row>
    <row r="46">
      <c r="A46" s="61" t="inlineStr">
        <is>
          <t xml:space="preserve">  NOMINAL Dividends per share (DPS)  &lt;STAGE A&gt;</t>
        </is>
      </c>
      <c r="G46" s="61">
        <f>G29*G38</f>
        <v/>
      </c>
      <c r="H46" s="61">
        <f>H29*H38</f>
        <v/>
      </c>
      <c r="I46" s="61">
        <f>I29*I38</f>
        <v/>
      </c>
      <c r="J46" s="61">
        <f>J29*J38</f>
        <v/>
      </c>
      <c r="K46" s="61">
        <f>K29*K38</f>
        <v/>
      </c>
      <c r="L46" s="61">
        <f>L29*L38</f>
        <v/>
      </c>
      <c r="M46" s="61">
        <f>M29*M38</f>
        <v/>
      </c>
      <c r="N46" s="61">
        <f>N29*N38</f>
        <v/>
      </c>
      <c r="O46" s="61">
        <f>O29*O38</f>
        <v/>
      </c>
      <c r="P46" s="61">
        <f>P29*P38</f>
        <v/>
      </c>
      <c r="Q46" s="61">
        <f>Q29*Q38</f>
        <v/>
      </c>
      <c r="R46" s="61">
        <f>R29*R38</f>
        <v/>
      </c>
      <c r="S46" s="61">
        <f>S29*S38</f>
        <v/>
      </c>
      <c r="T46" s="61">
        <f>T29*T38</f>
        <v/>
      </c>
      <c r="U46" s="61">
        <f>U29*U38</f>
        <v/>
      </c>
      <c r="V46" s="61">
        <f>V29*V38</f>
        <v/>
      </c>
      <c r="W46" s="61">
        <f>W29*W38</f>
        <v/>
      </c>
      <c r="X46" s="61">
        <f>X29*X38</f>
        <v/>
      </c>
      <c r="Y46" s="61">
        <f>Y29*Y38</f>
        <v/>
      </c>
      <c r="Z46" s="61">
        <f>Z29*Z38</f>
        <v/>
      </c>
      <c r="AA46" s="61">
        <f>AA29*AA38</f>
        <v/>
      </c>
      <c r="AB46" s="61">
        <f>AB29*AB38</f>
        <v/>
      </c>
      <c r="AC46" s="61">
        <f>AC29*AC38</f>
        <v/>
      </c>
      <c r="AD46" s="61">
        <f>AD29*AD38</f>
        <v/>
      </c>
      <c r="AE46" s="61">
        <f>AE29*AE38</f>
        <v/>
      </c>
      <c r="AF46" s="61">
        <f>AF29*AF38</f>
        <v/>
      </c>
      <c r="AG46" s="61">
        <f>AG29*AG38</f>
        <v/>
      </c>
      <c r="AH46" s="61">
        <f>AH29*AH38</f>
        <v/>
      </c>
      <c r="AI46" s="61">
        <f>AI29*AI38</f>
        <v/>
      </c>
      <c r="AJ46" s="61">
        <f>AJ29*AJ38</f>
        <v/>
      </c>
    </row>
    <row r="47">
      <c r="A47" s="61" t="inlineStr">
        <is>
          <t xml:space="preserve">  NOMINAL Earnings per share (EPS = NI ÷ shares)  &lt;STAGE A&gt;</t>
        </is>
      </c>
      <c r="G47" s="61">
        <f>G30*G38</f>
        <v/>
      </c>
      <c r="H47" s="61">
        <f>H30*H38</f>
        <v/>
      </c>
      <c r="I47" s="61">
        <f>I30*I38</f>
        <v/>
      </c>
      <c r="J47" s="61">
        <f>J30*J38</f>
        <v/>
      </c>
      <c r="K47" s="61">
        <f>K30*K38</f>
        <v/>
      </c>
      <c r="L47" s="61">
        <f>L30*L38</f>
        <v/>
      </c>
      <c r="M47" s="61">
        <f>M30*M38</f>
        <v/>
      </c>
      <c r="N47" s="61">
        <f>N30*N38</f>
        <v/>
      </c>
      <c r="O47" s="61">
        <f>O30*O38</f>
        <v/>
      </c>
      <c r="P47" s="61">
        <f>P30*P38</f>
        <v/>
      </c>
      <c r="Q47" s="61">
        <f>Q30*Q38</f>
        <v/>
      </c>
      <c r="R47" s="61">
        <f>R30*R38</f>
        <v/>
      </c>
      <c r="S47" s="61">
        <f>S30*S38</f>
        <v/>
      </c>
      <c r="T47" s="61">
        <f>T30*T38</f>
        <v/>
      </c>
      <c r="U47" s="61">
        <f>U30*U38</f>
        <v/>
      </c>
      <c r="V47" s="61">
        <f>V30*V38</f>
        <v/>
      </c>
      <c r="W47" s="61">
        <f>W30*W38</f>
        <v/>
      </c>
      <c r="X47" s="61">
        <f>X30*X38</f>
        <v/>
      </c>
      <c r="Y47" s="61">
        <f>Y30*Y38</f>
        <v/>
      </c>
      <c r="Z47" s="61">
        <f>Z30*Z38</f>
        <v/>
      </c>
      <c r="AA47" s="61">
        <f>AA30*AA38</f>
        <v/>
      </c>
      <c r="AB47" s="61">
        <f>AB30*AB38</f>
        <v/>
      </c>
      <c r="AC47" s="61">
        <f>AC30*AC38</f>
        <v/>
      </c>
      <c r="AD47" s="61">
        <f>AD30*AD38</f>
        <v/>
      </c>
      <c r="AE47" s="61">
        <f>AE30*AE38</f>
        <v/>
      </c>
      <c r="AF47" s="61">
        <f>AF30*AF38</f>
        <v/>
      </c>
      <c r="AG47" s="61">
        <f>AG30*AG38</f>
        <v/>
      </c>
      <c r="AH47" s="61">
        <f>AH30*AH38</f>
        <v/>
      </c>
      <c r="AI47" s="61">
        <f>AI30*AI38</f>
        <v/>
      </c>
      <c r="AJ47" s="61">
        <f>AJ30*AJ38</f>
        <v/>
      </c>
    </row>
    <row r="48">
      <c r="A48" s="61" t="inlineStr">
        <is>
          <t xml:space="preserve">  legacy nominal live gross PP&amp;E(t)  [tax basis, pre-anchor vintages]   &lt;STAGE B1&gt;</t>
        </is>
      </c>
      <c r="G48" s="61">
        <f>SUMPRODUCT('Cap Engine'!$B$7:$B$43*('Cap Engine'!$J$7:$J$43&lt;=(in_anchor_year+G4))*(((in_anchor_year+G4)-'Cap Engine'!$J$7:$J$43)&lt;in_ppe_life))</f>
        <v/>
      </c>
      <c r="H48" s="61">
        <f>SUMPRODUCT('Cap Engine'!$B$7:$B$43*('Cap Engine'!$J$7:$J$43&lt;=(in_anchor_year+H4))*(((in_anchor_year+H4)-'Cap Engine'!$J$7:$J$43)&lt;in_ppe_life))</f>
        <v/>
      </c>
      <c r="I48" s="61">
        <f>SUMPRODUCT('Cap Engine'!$B$7:$B$43*('Cap Engine'!$J$7:$J$43&lt;=(in_anchor_year+I4))*(((in_anchor_year+I4)-'Cap Engine'!$J$7:$J$43)&lt;in_ppe_life))</f>
        <v/>
      </c>
      <c r="J48" s="61">
        <f>SUMPRODUCT('Cap Engine'!$B$7:$B$43*('Cap Engine'!$J$7:$J$43&lt;=(in_anchor_year+J4))*(((in_anchor_year+J4)-'Cap Engine'!$J$7:$J$43)&lt;in_ppe_life))</f>
        <v/>
      </c>
      <c r="K48" s="61">
        <f>SUMPRODUCT('Cap Engine'!$B$7:$B$43*('Cap Engine'!$J$7:$J$43&lt;=(in_anchor_year+K4))*(((in_anchor_year+K4)-'Cap Engine'!$J$7:$J$43)&lt;in_ppe_life))</f>
        <v/>
      </c>
      <c r="L48" s="61">
        <f>SUMPRODUCT('Cap Engine'!$B$7:$B$43*('Cap Engine'!$J$7:$J$43&lt;=(in_anchor_year+L4))*(((in_anchor_year+L4)-'Cap Engine'!$J$7:$J$43)&lt;in_ppe_life))</f>
        <v/>
      </c>
      <c r="M48" s="61">
        <f>SUMPRODUCT('Cap Engine'!$B$7:$B$43*('Cap Engine'!$J$7:$J$43&lt;=(in_anchor_year+M4))*(((in_anchor_year+M4)-'Cap Engine'!$J$7:$J$43)&lt;in_ppe_life))</f>
        <v/>
      </c>
      <c r="N48" s="61">
        <f>SUMPRODUCT('Cap Engine'!$B$7:$B$43*('Cap Engine'!$J$7:$J$43&lt;=(in_anchor_year+N4))*(((in_anchor_year+N4)-'Cap Engine'!$J$7:$J$43)&lt;in_ppe_life))</f>
        <v/>
      </c>
      <c r="O48" s="61">
        <f>SUMPRODUCT('Cap Engine'!$B$7:$B$43*('Cap Engine'!$J$7:$J$43&lt;=(in_anchor_year+O4))*(((in_anchor_year+O4)-'Cap Engine'!$J$7:$J$43)&lt;in_ppe_life))</f>
        <v/>
      </c>
      <c r="P48" s="61">
        <f>SUMPRODUCT('Cap Engine'!$B$7:$B$43*('Cap Engine'!$J$7:$J$43&lt;=(in_anchor_year+P4))*(((in_anchor_year+P4)-'Cap Engine'!$J$7:$J$43)&lt;in_ppe_life))</f>
        <v/>
      </c>
      <c r="Q48" s="61">
        <f>SUMPRODUCT('Cap Engine'!$B$7:$B$43*('Cap Engine'!$J$7:$J$43&lt;=(in_anchor_year+Q4))*(((in_anchor_year+Q4)-'Cap Engine'!$J$7:$J$43)&lt;in_ppe_life))</f>
        <v/>
      </c>
      <c r="R48" s="61">
        <f>SUMPRODUCT('Cap Engine'!$B$7:$B$43*('Cap Engine'!$J$7:$J$43&lt;=(in_anchor_year+R4))*(((in_anchor_year+R4)-'Cap Engine'!$J$7:$J$43)&lt;in_ppe_life))</f>
        <v/>
      </c>
      <c r="S48" s="61">
        <f>SUMPRODUCT('Cap Engine'!$B$7:$B$43*('Cap Engine'!$J$7:$J$43&lt;=(in_anchor_year+S4))*(((in_anchor_year+S4)-'Cap Engine'!$J$7:$J$43)&lt;in_ppe_life))</f>
        <v/>
      </c>
      <c r="T48" s="61">
        <f>SUMPRODUCT('Cap Engine'!$B$7:$B$43*('Cap Engine'!$J$7:$J$43&lt;=(in_anchor_year+T4))*(((in_anchor_year+T4)-'Cap Engine'!$J$7:$J$43)&lt;in_ppe_life))</f>
        <v/>
      </c>
      <c r="U48" s="61">
        <f>SUMPRODUCT('Cap Engine'!$B$7:$B$43*('Cap Engine'!$J$7:$J$43&lt;=(in_anchor_year+U4))*(((in_anchor_year+U4)-'Cap Engine'!$J$7:$J$43)&lt;in_ppe_life))</f>
        <v/>
      </c>
      <c r="V48" s="61">
        <f>SUMPRODUCT('Cap Engine'!$B$7:$B$43*('Cap Engine'!$J$7:$J$43&lt;=(in_anchor_year+V4))*(((in_anchor_year+V4)-'Cap Engine'!$J$7:$J$43)&lt;in_ppe_life))</f>
        <v/>
      </c>
      <c r="W48" s="61">
        <f>SUMPRODUCT('Cap Engine'!$B$7:$B$43*('Cap Engine'!$J$7:$J$43&lt;=(in_anchor_year+W4))*(((in_anchor_year+W4)-'Cap Engine'!$J$7:$J$43)&lt;in_ppe_life))</f>
        <v/>
      </c>
      <c r="X48" s="61">
        <f>SUMPRODUCT('Cap Engine'!$B$7:$B$43*('Cap Engine'!$J$7:$J$43&lt;=(in_anchor_year+X4))*(((in_anchor_year+X4)-'Cap Engine'!$J$7:$J$43)&lt;in_ppe_life))</f>
        <v/>
      </c>
      <c r="Y48" s="61">
        <f>SUMPRODUCT('Cap Engine'!$B$7:$B$43*('Cap Engine'!$J$7:$J$43&lt;=(in_anchor_year+Y4))*(((in_anchor_year+Y4)-'Cap Engine'!$J$7:$J$43)&lt;in_ppe_life))</f>
        <v/>
      </c>
      <c r="Z48" s="61">
        <f>SUMPRODUCT('Cap Engine'!$B$7:$B$43*('Cap Engine'!$J$7:$J$43&lt;=(in_anchor_year+Z4))*(((in_anchor_year+Z4)-'Cap Engine'!$J$7:$J$43)&lt;in_ppe_life))</f>
        <v/>
      </c>
      <c r="AA48" s="61">
        <f>SUMPRODUCT('Cap Engine'!$B$7:$B$43*('Cap Engine'!$J$7:$J$43&lt;=(in_anchor_year+AA4))*(((in_anchor_year+AA4)-'Cap Engine'!$J$7:$J$43)&lt;in_ppe_life))</f>
        <v/>
      </c>
      <c r="AB48" s="61">
        <f>SUMPRODUCT('Cap Engine'!$B$7:$B$43*('Cap Engine'!$J$7:$J$43&lt;=(in_anchor_year+AB4))*(((in_anchor_year+AB4)-'Cap Engine'!$J$7:$J$43)&lt;in_ppe_life))</f>
        <v/>
      </c>
      <c r="AC48" s="61">
        <f>SUMPRODUCT('Cap Engine'!$B$7:$B$43*('Cap Engine'!$J$7:$J$43&lt;=(in_anchor_year+AC4))*(((in_anchor_year+AC4)-'Cap Engine'!$J$7:$J$43)&lt;in_ppe_life))</f>
        <v/>
      </c>
      <c r="AD48" s="61">
        <f>SUMPRODUCT('Cap Engine'!$B$7:$B$43*('Cap Engine'!$J$7:$J$43&lt;=(in_anchor_year+AD4))*(((in_anchor_year+AD4)-'Cap Engine'!$J$7:$J$43)&lt;in_ppe_life))</f>
        <v/>
      </c>
      <c r="AE48" s="61">
        <f>SUMPRODUCT('Cap Engine'!$B$7:$B$43*('Cap Engine'!$J$7:$J$43&lt;=(in_anchor_year+AE4))*(((in_anchor_year+AE4)-'Cap Engine'!$J$7:$J$43)&lt;in_ppe_life))</f>
        <v/>
      </c>
      <c r="AF48" s="61">
        <f>SUMPRODUCT('Cap Engine'!$B$7:$B$43*('Cap Engine'!$J$7:$J$43&lt;=(in_anchor_year+AF4))*(((in_anchor_year+AF4)-'Cap Engine'!$J$7:$J$43)&lt;in_ppe_life))</f>
        <v/>
      </c>
      <c r="AG48" s="61">
        <f>SUMPRODUCT('Cap Engine'!$B$7:$B$43*('Cap Engine'!$J$7:$J$43&lt;=(in_anchor_year+AG4))*(((in_anchor_year+AG4)-'Cap Engine'!$J$7:$J$43)&lt;in_ppe_life))</f>
        <v/>
      </c>
      <c r="AH48" s="61">
        <f>SUMPRODUCT('Cap Engine'!$B$7:$B$43*('Cap Engine'!$J$7:$J$43&lt;=(in_anchor_year+AH4))*(((in_anchor_year+AH4)-'Cap Engine'!$J$7:$J$43)&lt;in_ppe_life))</f>
        <v/>
      </c>
      <c r="AI48" s="61">
        <f>SUMPRODUCT('Cap Engine'!$B$7:$B$43*('Cap Engine'!$J$7:$J$43&lt;=(in_anchor_year+AI4))*(((in_anchor_year+AI4)-'Cap Engine'!$J$7:$J$43)&lt;in_ppe_life))</f>
        <v/>
      </c>
      <c r="AJ48" s="61">
        <f>SUMPRODUCT('Cap Engine'!$B$7:$B$43*('Cap Engine'!$J$7:$J$43&lt;=(in_anchor_year+AJ4))*(((in_anchor_year+AJ4)-'Cap Engine'!$J$7:$J$43)&lt;in_ppe_life))</f>
        <v/>
      </c>
    </row>
    <row r="49">
      <c r="A49" s="61" t="inlineStr">
        <is>
          <t xml:space="preserve">  TAX depreciation (nominal, historical cost)   &lt;STAGE B1&gt;</t>
        </is>
      </c>
      <c r="G49" s="61">
        <f>G48/in_ppe_life+SUMPRODUCT(($G$4:G4&gt;G4-in_ppe_life)*$G$23:G23*$G$38:G38)/in_ppe_life</f>
        <v/>
      </c>
      <c r="H49" s="61">
        <f>H48/in_ppe_life+SUMPRODUCT(($G$4:H4&gt;H4-in_ppe_life)*$G$23:H23*$G$38:H38)/in_ppe_life</f>
        <v/>
      </c>
      <c r="I49" s="61">
        <f>I48/in_ppe_life+SUMPRODUCT(($G$4:I4&gt;I4-in_ppe_life)*$G$23:I23*$G$38:I38)/in_ppe_life</f>
        <v/>
      </c>
      <c r="J49" s="61">
        <f>J48/in_ppe_life+SUMPRODUCT(($G$4:J4&gt;J4-in_ppe_life)*$G$23:J23*$G$38:J38)/in_ppe_life</f>
        <v/>
      </c>
      <c r="K49" s="61">
        <f>K48/in_ppe_life+SUMPRODUCT(($G$4:K4&gt;K4-in_ppe_life)*$G$23:K23*$G$38:K38)/in_ppe_life</f>
        <v/>
      </c>
      <c r="L49" s="61">
        <f>L48/in_ppe_life+SUMPRODUCT(($G$4:L4&gt;L4-in_ppe_life)*$G$23:L23*$G$38:L38)/in_ppe_life</f>
        <v/>
      </c>
      <c r="M49" s="61">
        <f>M48/in_ppe_life+SUMPRODUCT(($G$4:M4&gt;M4-in_ppe_life)*$G$23:M23*$G$38:M38)/in_ppe_life</f>
        <v/>
      </c>
      <c r="N49" s="61">
        <f>N48/in_ppe_life+SUMPRODUCT(($G$4:N4&gt;N4-in_ppe_life)*$G$23:N23*$G$38:N38)/in_ppe_life</f>
        <v/>
      </c>
      <c r="O49" s="61">
        <f>O48/in_ppe_life+SUMPRODUCT(($G$4:O4&gt;O4-in_ppe_life)*$G$23:O23*$G$38:O38)/in_ppe_life</f>
        <v/>
      </c>
      <c r="P49" s="61">
        <f>P48/in_ppe_life+SUMPRODUCT(($G$4:P4&gt;P4-in_ppe_life)*$G$23:P23*$G$38:P38)/in_ppe_life</f>
        <v/>
      </c>
      <c r="Q49" s="61">
        <f>Q48/in_ppe_life+SUMPRODUCT(($G$4:Q4&gt;Q4-in_ppe_life)*$G$23:Q23*$G$38:Q38)/in_ppe_life</f>
        <v/>
      </c>
      <c r="R49" s="61">
        <f>R48/in_ppe_life+SUMPRODUCT(($G$4:R4&gt;R4-in_ppe_life)*$G$23:R23*$G$38:R38)/in_ppe_life</f>
        <v/>
      </c>
      <c r="S49" s="61">
        <f>S48/in_ppe_life+SUMPRODUCT(($G$4:S4&gt;S4-in_ppe_life)*$G$23:S23*$G$38:S38)/in_ppe_life</f>
        <v/>
      </c>
      <c r="T49" s="61">
        <f>T48/in_ppe_life+SUMPRODUCT(($G$4:T4&gt;T4-in_ppe_life)*$G$23:T23*$G$38:T38)/in_ppe_life</f>
        <v/>
      </c>
      <c r="U49" s="61">
        <f>U48/in_ppe_life+SUMPRODUCT(($G$4:U4&gt;U4-in_ppe_life)*$G$23:U23*$G$38:U38)/in_ppe_life</f>
        <v/>
      </c>
      <c r="V49" s="61">
        <f>V48/in_ppe_life+SUMPRODUCT(($G$4:V4&gt;V4-in_ppe_life)*$G$23:V23*$G$38:V38)/in_ppe_life</f>
        <v/>
      </c>
      <c r="W49" s="61">
        <f>W48/in_ppe_life+SUMPRODUCT(($G$4:W4&gt;W4-in_ppe_life)*$G$23:W23*$G$38:W38)/in_ppe_life</f>
        <v/>
      </c>
      <c r="X49" s="61">
        <f>X48/in_ppe_life+SUMPRODUCT(($G$4:X4&gt;X4-in_ppe_life)*$G$23:X23*$G$38:X38)/in_ppe_life</f>
        <v/>
      </c>
      <c r="Y49" s="61">
        <f>Y48/in_ppe_life+SUMPRODUCT(($G$4:Y4&gt;Y4-in_ppe_life)*$G$23:Y23*$G$38:Y38)/in_ppe_life</f>
        <v/>
      </c>
      <c r="Z49" s="61">
        <f>Z48/in_ppe_life+SUMPRODUCT(($G$4:Z4&gt;Z4-in_ppe_life)*$G$23:Z23*$G$38:Z38)/in_ppe_life</f>
        <v/>
      </c>
      <c r="AA49" s="61">
        <f>AA48/in_ppe_life+SUMPRODUCT(($G$4:AA4&gt;AA4-in_ppe_life)*$G$23:AA23*$G$38:AA38)/in_ppe_life</f>
        <v/>
      </c>
      <c r="AB49" s="61">
        <f>AB48/in_ppe_life+SUMPRODUCT(($G$4:AB4&gt;AB4-in_ppe_life)*$G$23:AB23*$G$38:AB38)/in_ppe_life</f>
        <v/>
      </c>
      <c r="AC49" s="61">
        <f>AC48/in_ppe_life+SUMPRODUCT(($G$4:AC4&gt;AC4-in_ppe_life)*$G$23:AC23*$G$38:AC38)/in_ppe_life</f>
        <v/>
      </c>
      <c r="AD49" s="61">
        <f>AD48/in_ppe_life+SUMPRODUCT(($G$4:AD4&gt;AD4-in_ppe_life)*$G$23:AD23*$G$38:AD38)/in_ppe_life</f>
        <v/>
      </c>
      <c r="AE49" s="61">
        <f>AE48/in_ppe_life+SUMPRODUCT(($G$4:AE4&gt;AE4-in_ppe_life)*$G$23:AE23*$G$38:AE38)/in_ppe_life</f>
        <v/>
      </c>
      <c r="AF49" s="61">
        <f>AF48/in_ppe_life+SUMPRODUCT(($G$4:AF4&gt;AF4-in_ppe_life)*$G$23:AF23*$G$38:AF38)/in_ppe_life</f>
        <v/>
      </c>
      <c r="AG49" s="61">
        <f>AG48/in_ppe_life+SUMPRODUCT(($G$4:AG4&gt;AG4-in_ppe_life)*$G$23:AG23*$G$38:AG38)/in_ppe_life</f>
        <v/>
      </c>
      <c r="AH49" s="61">
        <f>AH48/in_ppe_life+SUMPRODUCT(($G$4:AH4&gt;AH4-in_ppe_life)*$G$23:AH23*$G$38:AH38)/in_ppe_life</f>
        <v/>
      </c>
      <c r="AI49" s="61">
        <f>AI48/in_ppe_life+SUMPRODUCT(($G$4:AI4&gt;AI4-in_ppe_life)*$G$23:AI23*$G$38:AI38)/in_ppe_life</f>
        <v/>
      </c>
      <c r="AJ49" s="61">
        <f>AJ48/in_ppe_life+SUMPRODUCT(($G$4:AJ4&gt;AJ4-in_ppe_life)*$G$23:AJ23*$G$38:AJ38)/in_ppe_life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2">
      <c r="A52" s="61" t="inlineStr">
        <is>
          <t xml:space="preserve">  economic depreciation (nominal, current cost)   &lt;STAGE B1&gt;</t>
        </is>
      </c>
      <c r="G52" s="61">
        <f>G13*G38</f>
        <v/>
      </c>
      <c r="H52" s="61">
        <f>H13*H38</f>
        <v/>
      </c>
      <c r="I52" s="61">
        <f>I13*I38</f>
        <v/>
      </c>
      <c r="J52" s="61">
        <f>J13*J38</f>
        <v/>
      </c>
      <c r="K52" s="61">
        <f>K13*K38</f>
        <v/>
      </c>
      <c r="L52" s="61">
        <f>L13*L38</f>
        <v/>
      </c>
      <c r="M52" s="61">
        <f>M13*M38</f>
        <v/>
      </c>
      <c r="N52" s="61">
        <f>N13*N38</f>
        <v/>
      </c>
      <c r="O52" s="61">
        <f>O13*O38</f>
        <v/>
      </c>
      <c r="P52" s="61">
        <f>P13*P38</f>
        <v/>
      </c>
      <c r="Q52" s="61">
        <f>Q13*Q38</f>
        <v/>
      </c>
      <c r="R52" s="61">
        <f>R13*R38</f>
        <v/>
      </c>
      <c r="S52" s="61">
        <f>S13*S38</f>
        <v/>
      </c>
      <c r="T52" s="61">
        <f>T13*T38</f>
        <v/>
      </c>
      <c r="U52" s="61">
        <f>U13*U38</f>
        <v/>
      </c>
      <c r="V52" s="61">
        <f>V13*V38</f>
        <v/>
      </c>
      <c r="W52" s="61">
        <f>W13*W38</f>
        <v/>
      </c>
      <c r="X52" s="61">
        <f>X13*X38</f>
        <v/>
      </c>
      <c r="Y52" s="61">
        <f>Y13*Y38</f>
        <v/>
      </c>
      <c r="Z52" s="61">
        <f>Z13*Z38</f>
        <v/>
      </c>
      <c r="AA52" s="61">
        <f>AA13*AA38</f>
        <v/>
      </c>
      <c r="AB52" s="61">
        <f>AB13*AB38</f>
        <v/>
      </c>
      <c r="AC52" s="61">
        <f>AC13*AC38</f>
        <v/>
      </c>
      <c r="AD52" s="61">
        <f>AD13*AD38</f>
        <v/>
      </c>
      <c r="AE52" s="61">
        <f>AE13*AE38</f>
        <v/>
      </c>
      <c r="AF52" s="61">
        <f>AF13*AF38</f>
        <v/>
      </c>
      <c r="AG52" s="61">
        <f>AG13*AG38</f>
        <v/>
      </c>
      <c r="AH52" s="61">
        <f>AH13*AH38</f>
        <v/>
      </c>
      <c r="AI52" s="61">
        <f>AI13*AI38</f>
        <v/>
      </c>
      <c r="AJ52" s="61">
        <f>AJ13*AJ38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NOMINAL forecast, nominal discounting, real-rate capitalisation, curve-implied annuity factors (value in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rhoE  (NOMINAL per-year = Fisher(finrate_coe, finrate_infl))</t>
        </is>
      </c>
      <c r="C5" s="112">
        <f>(1+INDEX(finrate_coe,C4))*(1+C56)-1</f>
        <v/>
      </c>
      <c r="D5" s="112">
        <f>(1+INDEX(finrate_coe,D4))*(1+D56)-1</f>
        <v/>
      </c>
      <c r="E5" s="112">
        <f>(1+INDEX(finrate_coe,E4))*(1+E56)-1</f>
        <v/>
      </c>
      <c r="F5" s="112">
        <f>(1+INDEX(finrate_coe,F4))*(1+F56)-1</f>
        <v/>
      </c>
      <c r="G5" s="112">
        <f>(1+INDEX(finrate_coe,G4))*(1+G56)-1</f>
        <v/>
      </c>
      <c r="H5" s="112">
        <f>(1+INDEX(finrate_coe,H4))*(1+H56)-1</f>
        <v/>
      </c>
      <c r="I5" s="112">
        <f>(1+INDEX(finrate_coe,I4))*(1+I56)-1</f>
        <v/>
      </c>
      <c r="J5" s="112">
        <f>(1+INDEX(finrate_coe,J4))*(1+J56)-1</f>
        <v/>
      </c>
      <c r="K5" s="112">
        <f>(1+INDEX(finrate_coe,K4))*(1+K56)-1</f>
        <v/>
      </c>
      <c r="L5" s="112">
        <f>(1+INDEX(finrate_coe,L4))*(1+L56)-1</f>
        <v/>
      </c>
      <c r="M5" s="112">
        <f>(1+INDEX(finrate_coe,M4))*(1+M56)-1</f>
        <v/>
      </c>
      <c r="N5" s="112">
        <f>(1+INDEX(finrate_coe,N4))*(1+N56)-1</f>
        <v/>
      </c>
      <c r="O5" s="112">
        <f>(1+INDEX(finrate_coe,O4))*(1+O56)-1</f>
        <v/>
      </c>
      <c r="P5" s="95">
        <f>(1+INDEX(finrate_coe,P4))*(1+P56)-1</f>
        <v/>
      </c>
      <c r="Q5" s="95">
        <f>(1+INDEX(finrate_coe,Q4))*(1+Q56)-1</f>
        <v/>
      </c>
      <c r="R5" s="95">
        <f>(1+INDEX(finrate_coe,R4))*(1+R56)-1</f>
        <v/>
      </c>
      <c r="S5" s="95">
        <f>(1+INDEX(finrate_coe,S4))*(1+S56)-1</f>
        <v/>
      </c>
      <c r="T5" s="95">
        <f>(1+INDEX(finrate_coe,T4))*(1+T56)-1</f>
        <v/>
      </c>
      <c r="U5" s="95">
        <f>(1+INDEX(finrate_coe,U4))*(1+U56)-1</f>
        <v/>
      </c>
      <c r="V5" s="95">
        <f>(1+INDEX(finrate_coe,V4))*(1+V56)-1</f>
        <v/>
      </c>
      <c r="W5" s="95">
        <f>(1+INDEX(finrate_coe,W4))*(1+W56)-1</f>
        <v/>
      </c>
      <c r="X5" s="95">
        <f>(1+INDEX(finrate_coe,X4))*(1+X56)-1</f>
        <v/>
      </c>
      <c r="Y5" s="95">
        <f>(1+INDEX(finrate_coe,Y4))*(1+Y56)-1</f>
        <v/>
      </c>
      <c r="Z5" s="95">
        <f>(1+INDEX(finrate_coe,Z4))*(1+Z56)-1</f>
        <v/>
      </c>
      <c r="AA5" s="95">
        <f>(1+INDEX(finrate_coe,AA4))*(1+AA56)-1</f>
        <v/>
      </c>
      <c r="AB5" s="95">
        <f>(1+INDEX(finrate_coe,AB4))*(1+AB56)-1</f>
        <v/>
      </c>
      <c r="AC5" s="95">
        <f>(1+INDEX(finrate_coe,AC4))*(1+AC56)-1</f>
        <v/>
      </c>
      <c r="AD5" s="95">
        <f>(1+INDEX(finrate_coe,AD4))*(1+AD56)-1</f>
        <v/>
      </c>
      <c r="AE5" s="95">
        <f>(1+INDEX(finrate_coe,AE4))*(1+AE56)-1</f>
        <v/>
      </c>
      <c r="AF5" s="95">
        <f>(1+INDEX(finrate_coe,AF4))*(1+AF56)-1</f>
        <v/>
      </c>
    </row>
    <row r="6" ht="15" customHeight="1" s="62">
      <c r="A6" s="86" t="inlineStr">
        <is>
          <t>rhoD  (NOMINAL per-year = Fisher(finrate_cod, finrate_infl))</t>
        </is>
      </c>
      <c r="C6" s="112">
        <f>(1+INDEX(finrate_cod,C4))*(1+C56)-1</f>
        <v/>
      </c>
      <c r="D6" s="112">
        <f>(1+INDEX(finrate_cod,D4))*(1+D56)-1</f>
        <v/>
      </c>
      <c r="E6" s="112">
        <f>(1+INDEX(finrate_cod,E4))*(1+E56)-1</f>
        <v/>
      </c>
      <c r="F6" s="112">
        <f>(1+INDEX(finrate_cod,F4))*(1+F56)-1</f>
        <v/>
      </c>
      <c r="G6" s="112">
        <f>(1+INDEX(finrate_cod,G4))*(1+G56)-1</f>
        <v/>
      </c>
      <c r="H6" s="112">
        <f>(1+INDEX(finrate_cod,H4))*(1+H56)-1</f>
        <v/>
      </c>
      <c r="I6" s="112">
        <f>(1+INDEX(finrate_cod,I4))*(1+I56)-1</f>
        <v/>
      </c>
      <c r="J6" s="112">
        <f>(1+INDEX(finrate_cod,J4))*(1+J56)-1</f>
        <v/>
      </c>
      <c r="K6" s="112">
        <f>(1+INDEX(finrate_cod,K4))*(1+K56)-1</f>
        <v/>
      </c>
      <c r="L6" s="112">
        <f>(1+INDEX(finrate_cod,L4))*(1+L56)-1</f>
        <v/>
      </c>
      <c r="M6" s="112">
        <f>(1+INDEX(finrate_cod,M4))*(1+M56)-1</f>
        <v/>
      </c>
      <c r="N6" s="112">
        <f>(1+INDEX(finrate_cod,N4))*(1+N56)-1</f>
        <v/>
      </c>
      <c r="O6" s="112">
        <f>(1+INDEX(finrate_cod,O4))*(1+O56)-1</f>
        <v/>
      </c>
      <c r="P6" s="95">
        <f>(1+INDEX(finrate_cod,P4))*(1+P56)-1</f>
        <v/>
      </c>
      <c r="Q6" s="95">
        <f>(1+INDEX(finrate_cod,Q4))*(1+Q56)-1</f>
        <v/>
      </c>
      <c r="R6" s="95">
        <f>(1+INDEX(finrate_cod,R4))*(1+R56)-1</f>
        <v/>
      </c>
      <c r="S6" s="95">
        <f>(1+INDEX(finrate_cod,S4))*(1+S56)-1</f>
        <v/>
      </c>
      <c r="T6" s="95">
        <f>(1+INDEX(finrate_cod,T4))*(1+T56)-1</f>
        <v/>
      </c>
      <c r="U6" s="95">
        <f>(1+INDEX(finrate_cod,U4))*(1+U56)-1</f>
        <v/>
      </c>
      <c r="V6" s="95">
        <f>(1+INDEX(finrate_cod,V4))*(1+V56)-1</f>
        <v/>
      </c>
      <c r="W6" s="95">
        <f>(1+INDEX(finrate_cod,W4))*(1+W56)-1</f>
        <v/>
      </c>
      <c r="X6" s="95">
        <f>(1+INDEX(finrate_cod,X4))*(1+X56)-1</f>
        <v/>
      </c>
      <c r="Y6" s="95">
        <f>(1+INDEX(finrate_cod,Y4))*(1+Y56)-1</f>
        <v/>
      </c>
      <c r="Z6" s="95">
        <f>(1+INDEX(finrate_cod,Z4))*(1+Z56)-1</f>
        <v/>
      </c>
      <c r="AA6" s="95">
        <f>(1+INDEX(finrate_cod,AA4))*(1+AA56)-1</f>
        <v/>
      </c>
      <c r="AB6" s="95">
        <f>(1+INDEX(finrate_cod,AB4))*(1+AB56)-1</f>
        <v/>
      </c>
      <c r="AC6" s="95">
        <f>(1+INDEX(finrate_cod,AC4))*(1+AC56)-1</f>
        <v/>
      </c>
      <c r="AD6" s="95">
        <f>(1+INDEX(finrate_cod,AD4))*(1+AD56)-1</f>
        <v/>
      </c>
      <c r="AE6" s="95">
        <f>(1+INDEX(finrate_cod,AE4))*(1+AE56)-1</f>
        <v/>
      </c>
      <c r="AF6" s="95">
        <f>(1+INDEX(finrate_cod,AF4))*(1+AF56)-1</f>
        <v/>
      </c>
    </row>
    <row r="7" ht="15" customHeight="1" s="62">
      <c r="A7" s="86" t="inlineStr">
        <is>
          <t>EPS/sh (real) — per ANCHOR share in Enterprise mode</t>
        </is>
      </c>
      <c r="B7" s="106">
        <f>anchor_ni0/anchor_shares0</f>
        <v/>
      </c>
      <c r="C7" s="106">
        <f>IF(cfg_mode="Enterprise",INDEX(fc_ni,C4)/anchor_shares0,INDEX(fc_eps,C4))</f>
        <v/>
      </c>
      <c r="D7" s="106">
        <f>IF(cfg_mode="Enterprise",INDEX(fc_ni,D4)/anchor_shares0,INDEX(fc_eps,D4))</f>
        <v/>
      </c>
      <c r="E7" s="106">
        <f>IF(cfg_mode="Enterprise",INDEX(fc_ni,E4)/anchor_shares0,INDEX(fc_eps,E4))</f>
        <v/>
      </c>
      <c r="F7" s="106">
        <f>IF(cfg_mode="Enterprise",INDEX(fc_ni,F4)/anchor_shares0,INDEX(fc_eps,F4))</f>
        <v/>
      </c>
      <c r="G7" s="106">
        <f>IF(cfg_mode="Enterprise",INDEX(fc_ni,G4)/anchor_shares0,INDEX(fc_eps,G4))</f>
        <v/>
      </c>
      <c r="H7" s="106">
        <f>IF(cfg_mode="Enterprise",INDEX(fc_ni,H4)/anchor_shares0,INDEX(fc_eps,H4))</f>
        <v/>
      </c>
      <c r="I7" s="106">
        <f>IF(cfg_mode="Enterprise",INDEX(fc_ni,I4)/anchor_shares0,INDEX(fc_eps,I4))</f>
        <v/>
      </c>
      <c r="J7" s="106">
        <f>IF(cfg_mode="Enterprise",INDEX(fc_ni,J4)/anchor_shares0,INDEX(fc_eps,J4))</f>
        <v/>
      </c>
      <c r="K7" s="106">
        <f>IF(cfg_mode="Enterprise",INDEX(fc_ni,K4)/anchor_shares0,INDEX(fc_eps,K4))</f>
        <v/>
      </c>
      <c r="L7" s="106">
        <f>IF(cfg_mode="Enterprise",INDEX(fc_ni,L4)/anchor_shares0,INDEX(fc_eps,L4))</f>
        <v/>
      </c>
      <c r="M7" s="106">
        <f>IF(cfg_mode="Enterprise",INDEX(fc_ni,M4)/anchor_shares0,INDEX(fc_eps,M4))</f>
        <v/>
      </c>
      <c r="N7" s="106">
        <f>IF(cfg_mode="Enterprise",INDEX(fc_ni,N4)/anchor_shares0,INDEX(fc_eps,N4))</f>
        <v/>
      </c>
      <c r="O7" s="106">
        <f>IF(cfg_mode="Enterprise",INDEX(fc_ni,O4)/anchor_shares0,INDEX(fc_eps,O4))</f>
        <v/>
      </c>
      <c r="P7" s="86">
        <f>IF(cfg_mode="Enterprise",INDEX(fc_ni,P4)/anchor_shares0,INDEX(fc_eps,P4))</f>
        <v/>
      </c>
      <c r="Q7" s="86">
        <f>IF(cfg_mode="Enterprise",INDEX(fc_ni,Q4)/anchor_shares0,INDEX(fc_eps,Q4))</f>
        <v/>
      </c>
      <c r="R7" s="86">
        <f>IF(cfg_mode="Enterprise",INDEX(fc_ni,R4)/anchor_shares0,INDEX(fc_eps,R4))</f>
        <v/>
      </c>
      <c r="S7" s="86">
        <f>IF(cfg_mode="Enterprise",INDEX(fc_ni,S4)/anchor_shares0,INDEX(fc_eps,S4))</f>
        <v/>
      </c>
      <c r="T7" s="86">
        <f>IF(cfg_mode="Enterprise",INDEX(fc_ni,T4)/anchor_shares0,INDEX(fc_eps,T4))</f>
        <v/>
      </c>
      <c r="U7" s="86">
        <f>IF(cfg_mode="Enterprise",INDEX(fc_ni,U4)/anchor_shares0,INDEX(fc_eps,U4))</f>
        <v/>
      </c>
      <c r="V7" s="86">
        <f>IF(cfg_mode="Enterprise",INDEX(fc_ni,V4)/anchor_shares0,INDEX(fc_eps,V4))</f>
        <v/>
      </c>
      <c r="W7" s="86">
        <f>IF(cfg_mode="Enterprise",INDEX(fc_ni,W4)/anchor_shares0,INDEX(fc_eps,W4))</f>
        <v/>
      </c>
      <c r="X7" s="86">
        <f>IF(cfg_mode="Enterprise",INDEX(fc_ni,X4)/anchor_shares0,INDEX(fc_eps,X4))</f>
        <v/>
      </c>
      <c r="Y7" s="86">
        <f>IF(cfg_mode="Enterprise",INDEX(fc_ni,Y4)/anchor_shares0,INDEX(fc_eps,Y4))</f>
        <v/>
      </c>
      <c r="Z7" s="86">
        <f>IF(cfg_mode="Enterprise",INDEX(fc_ni,Z4)/anchor_shares0,INDEX(fc_eps,Z4))</f>
        <v/>
      </c>
      <c r="AA7" s="86">
        <f>IF(cfg_mode="Enterprise",INDEX(fc_ni,AA4)/anchor_shares0,INDEX(fc_eps,AA4))</f>
        <v/>
      </c>
      <c r="AB7" s="86">
        <f>IF(cfg_mode="Enterprise",INDEX(fc_ni,AB4)/anchor_shares0,INDEX(fc_eps,AB4))</f>
        <v/>
      </c>
      <c r="AC7" s="86">
        <f>IF(cfg_mode="Enterprise",INDEX(fc_ni,AC4)/anchor_shares0,INDEX(fc_eps,AC4))</f>
        <v/>
      </c>
      <c r="AD7" s="86">
        <f>IF(cfg_mode="Enterprise",INDEX(fc_ni,AD4)/anchor_shares0,INDEX(fc_eps,AD4))</f>
        <v/>
      </c>
      <c r="AE7" s="86">
        <f>IF(cfg_mode="Enterprise",INDEX(fc_ni,AE4)/anchor_shares0,INDEX(fc_eps,AE4))</f>
        <v/>
      </c>
      <c r="AF7" s="86">
        <f>IF(cfg_mode="Enterprise",INDEX(fc_ni,AF4)/anchor_shares0,INDEX(fc_eps,AF4))</f>
        <v/>
      </c>
    </row>
    <row r="8" ht="15" customHeight="1" s="62">
      <c r="A8" s="86" t="inlineStr">
        <is>
          <t>DPS/sh (real) — TOTAL distribution (divs+buybacks) per ANCHOR share in Enterprise mode</t>
        </is>
      </c>
      <c r="B8" s="106">
        <f>anchor_dps0*INDEX(md_deflator,MATCH(in_anchor_year&amp;"",md_years,0))</f>
        <v/>
      </c>
      <c r="C8" s="106">
        <f>IF(cfg_mode="Enterprise",C7-(C71-(1+C56)*B71),INDEX(fc_dps,C4))</f>
        <v/>
      </c>
      <c r="D8" s="106">
        <f>IF(cfg_mode="Enterprise",D7-(D71-(1+D56)*C71),INDEX(fc_dps,D4))</f>
        <v/>
      </c>
      <c r="E8" s="106">
        <f>IF(cfg_mode="Enterprise",E7-(E71-(1+E56)*D71),INDEX(fc_dps,E4))</f>
        <v/>
      </c>
      <c r="F8" s="106">
        <f>IF(cfg_mode="Enterprise",F7-(F71-(1+F56)*E71),INDEX(fc_dps,F4))</f>
        <v/>
      </c>
      <c r="G8" s="106">
        <f>IF(cfg_mode="Enterprise",G7-(G71-(1+G56)*F71),INDEX(fc_dps,G4))</f>
        <v/>
      </c>
      <c r="H8" s="106">
        <f>IF(cfg_mode="Enterprise",H7-(H71-(1+H56)*G71),INDEX(fc_dps,H4))</f>
        <v/>
      </c>
      <c r="I8" s="106">
        <f>IF(cfg_mode="Enterprise",I7-(I71-(1+I56)*H71),INDEX(fc_dps,I4))</f>
        <v/>
      </c>
      <c r="J8" s="106">
        <f>IF(cfg_mode="Enterprise",J7-(J71-(1+J56)*I71),INDEX(fc_dps,J4))</f>
        <v/>
      </c>
      <c r="K8" s="106">
        <f>IF(cfg_mode="Enterprise",K7-(K71-(1+K56)*J71),INDEX(fc_dps,K4))</f>
        <v/>
      </c>
      <c r="L8" s="106">
        <f>IF(cfg_mode="Enterprise",L7-(L71-(1+L56)*K71),INDEX(fc_dps,L4))</f>
        <v/>
      </c>
      <c r="M8" s="106">
        <f>IF(cfg_mode="Enterprise",M7-(M71-(1+M56)*L71),INDEX(fc_dps,M4))</f>
        <v/>
      </c>
      <c r="N8" s="106">
        <f>IF(cfg_mode="Enterprise",N7-(N71-(1+N56)*M71),INDEX(fc_dps,N4))</f>
        <v/>
      </c>
      <c r="O8" s="106">
        <f>IF(cfg_mode="Enterprise",O7-(O71-(1+O56)*N71),INDEX(fc_dps,O4))</f>
        <v/>
      </c>
      <c r="P8" s="86">
        <f>IF(cfg_mode="Enterprise",P7-(P71-(1+P56)*O71),INDEX(fc_dps,P4))</f>
        <v/>
      </c>
      <c r="Q8" s="86">
        <f>IF(cfg_mode="Enterprise",Q7-(Q71-(1+Q56)*P71),INDEX(fc_dps,Q4))</f>
        <v/>
      </c>
      <c r="R8" s="86">
        <f>IF(cfg_mode="Enterprise",R7-(R71-(1+R56)*Q71),INDEX(fc_dps,R4))</f>
        <v/>
      </c>
      <c r="S8" s="86">
        <f>IF(cfg_mode="Enterprise",S7-(S71-(1+S56)*R71),INDEX(fc_dps,S4))</f>
        <v/>
      </c>
      <c r="T8" s="86">
        <f>IF(cfg_mode="Enterprise",T7-(T71-(1+T56)*S71),INDEX(fc_dps,T4))</f>
        <v/>
      </c>
      <c r="U8" s="86">
        <f>IF(cfg_mode="Enterprise",U7-(U71-(1+U56)*T71),INDEX(fc_dps,U4))</f>
        <v/>
      </c>
      <c r="V8" s="86">
        <f>IF(cfg_mode="Enterprise",V7-(V71-(1+V56)*U71),INDEX(fc_dps,V4))</f>
        <v/>
      </c>
      <c r="W8" s="86">
        <f>IF(cfg_mode="Enterprise",W7-(W71-(1+W56)*V71),INDEX(fc_dps,W4))</f>
        <v/>
      </c>
      <c r="X8" s="86">
        <f>IF(cfg_mode="Enterprise",X7-(X71-(1+X56)*W71),INDEX(fc_dps,X4))</f>
        <v/>
      </c>
      <c r="Y8" s="86">
        <f>IF(cfg_mode="Enterprise",Y7-(Y71-(1+Y56)*X71),INDEX(fc_dps,Y4))</f>
        <v/>
      </c>
      <c r="Z8" s="86">
        <f>IF(cfg_mode="Enterprise",Z7-(Z71-(1+Z56)*Y71),INDEX(fc_dps,Z4))</f>
        <v/>
      </c>
      <c r="AA8" s="86">
        <f>IF(cfg_mode="Enterprise",AA7-(AA71-(1+AA56)*Z71),INDEX(fc_dps,AA4))</f>
        <v/>
      </c>
      <c r="AB8" s="86">
        <f>IF(cfg_mode="Enterprise",AB7-(AB71-(1+AB56)*AA71),INDEX(fc_dps,AB4))</f>
        <v/>
      </c>
      <c r="AC8" s="86">
        <f>IF(cfg_mode="Enterprise",AC7-(AC71-(1+AC56)*AB71),INDEX(fc_dps,AC4))</f>
        <v/>
      </c>
      <c r="AD8" s="86">
        <f>IF(cfg_mode="Enterprise",AD7-(AD71-(1+AD56)*AC71),INDEX(fc_dps,AD4))</f>
        <v/>
      </c>
      <c r="AE8" s="86">
        <f>IF(cfg_mode="Enterprise",AE7-(AE71-(1+AE56)*AD71),INDEX(fc_dps,AE4))</f>
        <v/>
      </c>
      <c r="AF8" s="86">
        <f>IF(cfg_mode="Enterprise",AF7-(AF71-(1+AF56)*AE71),INDEX(fc_dps,AF4))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 — per ANCHOR share in Enterprise mode</t>
        </is>
      </c>
      <c r="B10" s="106">
        <f>anchor_real_cse0/anchor_shares0</f>
        <v/>
      </c>
      <c r="C10" s="106">
        <f>IF(cfg_mode="Enterprise",C71,(1+C56)*B10+C9)</f>
        <v/>
      </c>
      <c r="D10" s="106">
        <f>IF(cfg_mode="Enterprise",D71,(1+D56)*C10+D9)</f>
        <v/>
      </c>
      <c r="E10" s="106">
        <f>IF(cfg_mode="Enterprise",E71,(1+E56)*D10+E9)</f>
        <v/>
      </c>
      <c r="F10" s="106">
        <f>IF(cfg_mode="Enterprise",F71,(1+F56)*E10+F9)</f>
        <v/>
      </c>
      <c r="G10" s="106">
        <f>IF(cfg_mode="Enterprise",G71,(1+G56)*F10+G9)</f>
        <v/>
      </c>
      <c r="H10" s="106">
        <f>IF(cfg_mode="Enterprise",H71,(1+H56)*G10+H9)</f>
        <v/>
      </c>
      <c r="I10" s="106">
        <f>IF(cfg_mode="Enterprise",I71,(1+I56)*H10+I9)</f>
        <v/>
      </c>
      <c r="J10" s="106">
        <f>IF(cfg_mode="Enterprise",J71,(1+J56)*I10+J9)</f>
        <v/>
      </c>
      <c r="K10" s="106">
        <f>IF(cfg_mode="Enterprise",K71,(1+K56)*J10+K9)</f>
        <v/>
      </c>
      <c r="L10" s="106">
        <f>IF(cfg_mode="Enterprise",L71,(1+L56)*K10+L9)</f>
        <v/>
      </c>
      <c r="M10" s="106">
        <f>IF(cfg_mode="Enterprise",M71,(1+M56)*L10+M9)</f>
        <v/>
      </c>
      <c r="N10" s="106">
        <f>IF(cfg_mode="Enterprise",N71,(1+N56)*M10+N9)</f>
        <v/>
      </c>
      <c r="O10" s="106">
        <f>IF(cfg_mode="Enterprise",O71,(1+O56)*N10+O9)</f>
        <v/>
      </c>
      <c r="P10" s="86">
        <f>IF(cfg_mode="Enterprise",P71,(1+P56)*O10+P9)</f>
        <v/>
      </c>
      <c r="Q10" s="86">
        <f>IF(cfg_mode="Enterprise",Q71,(1+Q56)*P10+Q9)</f>
        <v/>
      </c>
      <c r="R10" s="86">
        <f>IF(cfg_mode="Enterprise",R71,(1+R56)*Q10+R9)</f>
        <v/>
      </c>
      <c r="S10" s="86">
        <f>IF(cfg_mode="Enterprise",S71,(1+S56)*R10+S9)</f>
        <v/>
      </c>
      <c r="T10" s="86">
        <f>IF(cfg_mode="Enterprise",T71,(1+T56)*S10+T9)</f>
        <v/>
      </c>
      <c r="U10" s="86">
        <f>IF(cfg_mode="Enterprise",U71,(1+U56)*T10+U9)</f>
        <v/>
      </c>
      <c r="V10" s="86">
        <f>IF(cfg_mode="Enterprise",V71,(1+V56)*U10+V9)</f>
        <v/>
      </c>
      <c r="W10" s="86">
        <f>IF(cfg_mode="Enterprise",W71,(1+W56)*V10+W9)</f>
        <v/>
      </c>
      <c r="X10" s="86">
        <f>IF(cfg_mode="Enterprise",X71,(1+X56)*W10+X9)</f>
        <v/>
      </c>
      <c r="Y10" s="86">
        <f>IF(cfg_mode="Enterprise",Y71,(1+Y56)*X10+Y9)</f>
        <v/>
      </c>
      <c r="Z10" s="86">
        <f>IF(cfg_mode="Enterprise",Z71,(1+Z56)*Y10+Z9)</f>
        <v/>
      </c>
      <c r="AA10" s="86">
        <f>IF(cfg_mode="Enterprise",AA71,(1+AA56)*Z10+AA9)</f>
        <v/>
      </c>
      <c r="AB10" s="86">
        <f>IF(cfg_mode="Enterprise",AB71,(1+AB56)*AA10+AB9)</f>
        <v/>
      </c>
      <c r="AC10" s="86">
        <f>IF(cfg_mode="Enterprise",AC71,(1+AC56)*AB10+AC9)</f>
        <v/>
      </c>
      <c r="AD10" s="86">
        <f>IF(cfg_mode="Enterprise",AD71,(1+AD56)*AC10+AD9)</f>
        <v/>
      </c>
      <c r="AE10" s="86">
        <f>IF(cfg_mode="Enterprise",AE71,(1+AE56)*AD10+AE9)</f>
        <v/>
      </c>
      <c r="AF10" s="86">
        <f>IF(cfg_mode="Enterprise",AF71,(1+AF56)*AE10+AF9)</f>
        <v/>
      </c>
    </row>
    <row r="11" ht="15" customHeight="1" s="62">
      <c r="A11" s="86" t="inlineStr">
        <is>
          <t>NFO/sh — live forecast financing path (per ANCHOR share in Enterprise mode)  &lt;P4&gt;</t>
        </is>
      </c>
      <c r="B11" s="106">
        <f>anchor_real_nfo0/anchor_shares0</f>
        <v/>
      </c>
      <c r="C11" s="106">
        <f>IF(cfg_mode="Enterprise",INDEX(fc_nfo,C4)/anchor_shares0,INDEX(fc_nfo,C4)/INDEX(fc_shares,C4))</f>
        <v/>
      </c>
      <c r="D11" s="106">
        <f>IF(cfg_mode="Enterprise",INDEX(fc_nfo,D4)/anchor_shares0,INDEX(fc_nfo,D4)/INDEX(fc_shares,D4))</f>
        <v/>
      </c>
      <c r="E11" s="106">
        <f>IF(cfg_mode="Enterprise",INDEX(fc_nfo,E4)/anchor_shares0,INDEX(fc_nfo,E4)/INDEX(fc_shares,E4))</f>
        <v/>
      </c>
      <c r="F11" s="106">
        <f>IF(cfg_mode="Enterprise",INDEX(fc_nfo,F4)/anchor_shares0,INDEX(fc_nfo,F4)/INDEX(fc_shares,F4))</f>
        <v/>
      </c>
      <c r="G11" s="106">
        <f>IF(cfg_mode="Enterprise",INDEX(fc_nfo,G4)/anchor_shares0,INDEX(fc_nfo,G4)/INDEX(fc_shares,G4))</f>
        <v/>
      </c>
      <c r="H11" s="106">
        <f>IF(cfg_mode="Enterprise",INDEX(fc_nfo,H4)/anchor_shares0,INDEX(fc_nfo,H4)/INDEX(fc_shares,H4))</f>
        <v/>
      </c>
      <c r="I11" s="106">
        <f>IF(cfg_mode="Enterprise",INDEX(fc_nfo,I4)/anchor_shares0,INDEX(fc_nfo,I4)/INDEX(fc_shares,I4))</f>
        <v/>
      </c>
      <c r="J11" s="106">
        <f>IF(cfg_mode="Enterprise",INDEX(fc_nfo,J4)/anchor_shares0,INDEX(fc_nfo,J4)/INDEX(fc_shares,J4))</f>
        <v/>
      </c>
      <c r="K11" s="106">
        <f>IF(cfg_mode="Enterprise",INDEX(fc_nfo,K4)/anchor_shares0,INDEX(fc_nfo,K4)/INDEX(fc_shares,K4))</f>
        <v/>
      </c>
      <c r="L11" s="106">
        <f>IF(cfg_mode="Enterprise",INDEX(fc_nfo,L4)/anchor_shares0,INDEX(fc_nfo,L4)/INDEX(fc_shares,L4))</f>
        <v/>
      </c>
      <c r="M11" s="106">
        <f>IF(cfg_mode="Enterprise",INDEX(fc_nfo,M4)/anchor_shares0,INDEX(fc_nfo,M4)/INDEX(fc_shares,M4))</f>
        <v/>
      </c>
      <c r="N11" s="106">
        <f>IF(cfg_mode="Enterprise",INDEX(fc_nfo,N4)/anchor_shares0,INDEX(fc_nfo,N4)/INDEX(fc_shares,N4))</f>
        <v/>
      </c>
      <c r="O11" s="106">
        <f>IF(cfg_mode="Enterprise",INDEX(fc_nfo,O4)/anchor_shares0,INDEX(fc_nfo,O4)/INDEX(fc_shares,O4))</f>
        <v/>
      </c>
      <c r="P11" s="86">
        <f>IF(cfg_mode="Enterprise",INDEX(fc_nfo,P4)/anchor_shares0,INDEX(fc_nfo,P4)/INDEX(fc_shares,P4))</f>
        <v/>
      </c>
      <c r="Q11" s="86">
        <f>IF(cfg_mode="Enterprise",INDEX(fc_nfo,Q4)/anchor_shares0,INDEX(fc_nfo,Q4)/INDEX(fc_shares,Q4))</f>
        <v/>
      </c>
      <c r="R11" s="86">
        <f>IF(cfg_mode="Enterprise",INDEX(fc_nfo,R4)/anchor_shares0,INDEX(fc_nfo,R4)/INDEX(fc_shares,R4))</f>
        <v/>
      </c>
      <c r="S11" s="86">
        <f>IF(cfg_mode="Enterprise",INDEX(fc_nfo,S4)/anchor_shares0,INDEX(fc_nfo,S4)/INDEX(fc_shares,S4))</f>
        <v/>
      </c>
      <c r="T11" s="86">
        <f>IF(cfg_mode="Enterprise",INDEX(fc_nfo,T4)/anchor_shares0,INDEX(fc_nfo,T4)/INDEX(fc_shares,T4))</f>
        <v/>
      </c>
      <c r="U11" s="86">
        <f>IF(cfg_mode="Enterprise",INDEX(fc_nfo,U4)/anchor_shares0,INDEX(fc_nfo,U4)/INDEX(fc_shares,U4))</f>
        <v/>
      </c>
      <c r="V11" s="86">
        <f>IF(cfg_mode="Enterprise",INDEX(fc_nfo,V4)/anchor_shares0,INDEX(fc_nfo,V4)/INDEX(fc_shares,V4))</f>
        <v/>
      </c>
      <c r="W11" s="86">
        <f>IF(cfg_mode="Enterprise",INDEX(fc_nfo,W4)/anchor_shares0,INDEX(fc_nfo,W4)/INDEX(fc_shares,W4))</f>
        <v/>
      </c>
      <c r="X11" s="86">
        <f>IF(cfg_mode="Enterprise",INDEX(fc_nfo,X4)/anchor_shares0,INDEX(fc_nfo,X4)/INDEX(fc_shares,X4))</f>
        <v/>
      </c>
      <c r="Y11" s="86">
        <f>IF(cfg_mode="Enterprise",INDEX(fc_nfo,Y4)/anchor_shares0,INDEX(fc_nfo,Y4)/INDEX(fc_shares,Y4))</f>
        <v/>
      </c>
      <c r="Z11" s="86">
        <f>IF(cfg_mode="Enterprise",INDEX(fc_nfo,Z4)/anchor_shares0,INDEX(fc_nfo,Z4)/INDEX(fc_shares,Z4))</f>
        <v/>
      </c>
      <c r="AA11" s="86">
        <f>IF(cfg_mode="Enterprise",INDEX(fc_nfo,AA4)/anchor_shares0,INDEX(fc_nfo,AA4)/INDEX(fc_shares,AA4))</f>
        <v/>
      </c>
      <c r="AB11" s="86">
        <f>IF(cfg_mode="Enterprise",INDEX(fc_nfo,AB4)/anchor_shares0,INDEX(fc_nfo,AB4)/INDEX(fc_shares,AB4))</f>
        <v/>
      </c>
      <c r="AC11" s="86">
        <f>IF(cfg_mode="Enterprise",INDEX(fc_nfo,AC4)/anchor_shares0,INDEX(fc_nfo,AC4)/INDEX(fc_shares,AC4))</f>
        <v/>
      </c>
      <c r="AD11" s="86">
        <f>IF(cfg_mode="Enterprise",INDEX(fc_nfo,AD4)/anchor_shares0,INDEX(fc_nfo,AD4)/INDEX(fc_shares,AD4))</f>
        <v/>
      </c>
      <c r="AE11" s="86">
        <f>IF(cfg_mode="Enterprise",INDEX(fc_nfo,AE4)/anchor_shares0,INDEX(fc_nfo,AE4)/INDEX(fc_shares,AE4))</f>
        <v/>
      </c>
      <c r="AF11" s="86">
        <f>IF(cfg_mode="Enterprise",INDEX(fc_nfo,AF4)/anchor_shares0,INDEX(fc_nfo,AF4)/INDEX(fc_shares,AF4))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IF(cfg_rf_mode="Single",(1+in_rf_single)*(1+C56)-1,(C5+C14*C6)/(1+C14))</f>
        <v/>
      </c>
      <c r="D15" s="112">
        <f>IF(cfg_rf_mode="Single",(1+in_rf_single)*(1+D56)-1,(D5+D14*D6)/(1+D14))</f>
        <v/>
      </c>
      <c r="E15" s="112">
        <f>IF(cfg_rf_mode="Single",(1+in_rf_single)*(1+E56)-1,(E5+E14*E6)/(1+E14))</f>
        <v/>
      </c>
      <c r="F15" s="112">
        <f>IF(cfg_rf_mode="Single",(1+in_rf_single)*(1+F56)-1,(F5+F14*F6)/(1+F14))</f>
        <v/>
      </c>
      <c r="G15" s="112">
        <f>IF(cfg_rf_mode="Single",(1+in_rf_single)*(1+G56)-1,(G5+G14*G6)/(1+G14))</f>
        <v/>
      </c>
      <c r="H15" s="112">
        <f>IF(cfg_rf_mode="Single",(1+in_rf_single)*(1+H56)-1,(H5+H14*H6)/(1+H14))</f>
        <v/>
      </c>
      <c r="I15" s="112">
        <f>IF(cfg_rf_mode="Single",(1+in_rf_single)*(1+I56)-1,(I5+I14*I6)/(1+I14))</f>
        <v/>
      </c>
      <c r="J15" s="112">
        <f>IF(cfg_rf_mode="Single",(1+in_rf_single)*(1+J56)-1,(J5+J14*J6)/(1+J14))</f>
        <v/>
      </c>
      <c r="K15" s="112">
        <f>IF(cfg_rf_mode="Single",(1+in_rf_single)*(1+K56)-1,(K5+K14*K6)/(1+K14))</f>
        <v/>
      </c>
      <c r="L15" s="112">
        <f>IF(cfg_rf_mode="Single",(1+in_rf_single)*(1+L56)-1,(L5+L14*L6)/(1+L14))</f>
        <v/>
      </c>
      <c r="M15" s="112">
        <f>IF(cfg_rf_mode="Single",(1+in_rf_single)*(1+M56)-1,(M5+M14*M6)/(1+M14))</f>
        <v/>
      </c>
      <c r="N15" s="112">
        <f>IF(cfg_rf_mode="Single",(1+in_rf_single)*(1+N56)-1,(N5+N14*N6)/(1+N14))</f>
        <v/>
      </c>
      <c r="O15" s="112">
        <f>IF(cfg_rf_mode="Single",(1+in_rf_single)*(1+O56)-1,(O5+O14*O6)/(1+O14))</f>
        <v/>
      </c>
      <c r="P15" s="86">
        <f>IF(cfg_rf_mode="Single",(1+in_rf_single)*(1+P56)-1,(P5+P14*P6)/(1+P14))</f>
        <v/>
      </c>
      <c r="Q15" s="86">
        <f>IF(cfg_rf_mode="Single",(1+in_rf_single)*(1+Q56)-1,(Q5+Q14*Q6)/(1+Q14))</f>
        <v/>
      </c>
      <c r="R15" s="86">
        <f>IF(cfg_rf_mode="Single",(1+in_rf_single)*(1+R56)-1,(R5+R14*R6)/(1+R14))</f>
        <v/>
      </c>
      <c r="S15" s="86">
        <f>IF(cfg_rf_mode="Single",(1+in_rf_single)*(1+S56)-1,(S5+S14*S6)/(1+S14))</f>
        <v/>
      </c>
      <c r="T15" s="86">
        <f>IF(cfg_rf_mode="Single",(1+in_rf_single)*(1+T56)-1,(T5+T14*T6)/(1+T14))</f>
        <v/>
      </c>
      <c r="U15" s="86">
        <f>IF(cfg_rf_mode="Single",(1+in_rf_single)*(1+U56)-1,(U5+U14*U6)/(1+U14))</f>
        <v/>
      </c>
      <c r="V15" s="86">
        <f>IF(cfg_rf_mode="Single",(1+in_rf_single)*(1+V56)-1,(V5+V14*V6)/(1+V14))</f>
        <v/>
      </c>
      <c r="W15" s="86">
        <f>IF(cfg_rf_mode="Single",(1+in_rf_single)*(1+W56)-1,(W5+W14*W6)/(1+W14))</f>
        <v/>
      </c>
      <c r="X15" s="86">
        <f>IF(cfg_rf_mode="Single",(1+in_rf_single)*(1+X56)-1,(X5+X14*X6)/(1+X14))</f>
        <v/>
      </c>
      <c r="Y15" s="86">
        <f>IF(cfg_rf_mode="Single",(1+in_rf_single)*(1+Y56)-1,(Y5+Y14*Y6)/(1+Y14))</f>
        <v/>
      </c>
      <c r="Z15" s="86">
        <f>IF(cfg_rf_mode="Single",(1+in_rf_single)*(1+Z56)-1,(Z5+Z14*Z6)/(1+Z14))</f>
        <v/>
      </c>
      <c r="AA15" s="86">
        <f>IF(cfg_rf_mode="Single",(1+in_rf_single)*(1+AA56)-1,(AA5+AA14*AA6)/(1+AA14))</f>
        <v/>
      </c>
      <c r="AB15" s="86">
        <f>IF(cfg_rf_mode="Single",(1+in_rf_single)*(1+AB56)-1,(AB5+AB14*AB6)/(1+AB14))</f>
        <v/>
      </c>
      <c r="AC15" s="86">
        <f>IF(cfg_rf_mode="Single",(1+in_rf_single)*(1+AC56)-1,(AC5+AC14*AC6)/(1+AC14))</f>
        <v/>
      </c>
      <c r="AD15" s="86">
        <f>IF(cfg_rf_mode="Single",(1+in_rf_single)*(1+AD56)-1,(AD5+AD14*AD6)/(1+AD14))</f>
        <v/>
      </c>
      <c r="AE15" s="86">
        <f>IF(cfg_rf_mode="Single",(1+in_rf_single)*(1+AE56)-1,(AE5+AE14*AE6)/(1+AE14))</f>
        <v/>
      </c>
      <c r="AF15" s="86">
        <f>IF(cfg_rf_mode="Single",(1+in_rf_single)*(1+AF56)-1,(AF5+AF14*AF6)/(1+AF14))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REAL rates (last tenor) — capitalisation BASE; cap rows 58-60 apply (1+pi_t)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 = (1+pi)*EPS(t-1) + (rhoE_nom - pi)*retained(t-1)</t>
        </is>
      </c>
      <c r="C22" s="106">
        <f>(1+C56)*B7+(C5-C56)*B9</f>
        <v/>
      </c>
      <c r="D22" s="106">
        <f>(1+D56)*C7+(D5-D56)*C9</f>
        <v/>
      </c>
      <c r="E22" s="106">
        <f>(1+E56)*D7+(E5-E56)*D9</f>
        <v/>
      </c>
      <c r="F22" s="106">
        <f>(1+F56)*E7+(F5-F56)*E9</f>
        <v/>
      </c>
      <c r="G22" s="106">
        <f>(1+G56)*F7+(G5-G56)*F9</f>
        <v/>
      </c>
      <c r="H22" s="106">
        <f>(1+H56)*G7+(H5-H56)*G9</f>
        <v/>
      </c>
      <c r="I22" s="106">
        <f>(1+I56)*H7+(I5-I56)*H9</f>
        <v/>
      </c>
      <c r="J22" s="106">
        <f>(1+J56)*I7+(J5-J56)*I9</f>
        <v/>
      </c>
      <c r="K22" s="106">
        <f>(1+K56)*J7+(K5-K56)*J9</f>
        <v/>
      </c>
      <c r="L22" s="106">
        <f>(1+L56)*K7+(L5-L56)*K9</f>
        <v/>
      </c>
      <c r="M22" s="106">
        <f>(1+M56)*L7+(M5-M56)*L9</f>
        <v/>
      </c>
      <c r="N22" s="106">
        <f>(1+N56)*M7+(N5-N56)*M9</f>
        <v/>
      </c>
      <c r="O22" s="106">
        <f>(1+O56)*N7+(O5-O56)*N9</f>
        <v/>
      </c>
      <c r="P22" s="86">
        <f>(1+P56)*O7+(P5-P56)*O9</f>
        <v/>
      </c>
      <c r="Q22" s="86">
        <f>(1+Q56)*P7+(Q5-Q56)*P9</f>
        <v/>
      </c>
      <c r="R22" s="86">
        <f>(1+R56)*Q7+(R5-R56)*Q9</f>
        <v/>
      </c>
      <c r="S22" s="86">
        <f>(1+S56)*R7+(S5-S56)*R9</f>
        <v/>
      </c>
      <c r="T22" s="86">
        <f>(1+T56)*S7+(T5-T56)*S9</f>
        <v/>
      </c>
      <c r="U22" s="86">
        <f>(1+U56)*T7+(U5-U56)*T9</f>
        <v/>
      </c>
      <c r="V22" s="86">
        <f>(1+V56)*U7+(V5-V56)*U9</f>
        <v/>
      </c>
      <c r="W22" s="86">
        <f>(1+W56)*V7+(W5-W56)*V9</f>
        <v/>
      </c>
      <c r="X22" s="86">
        <f>(1+X56)*W7+(X5-X56)*W9</f>
        <v/>
      </c>
      <c r="Y22" s="86">
        <f>(1+Y56)*X7+(Y5-Y56)*X9</f>
        <v/>
      </c>
      <c r="Z22" s="86">
        <f>(1+Z56)*Y7+(Z5-Z56)*Y9</f>
        <v/>
      </c>
      <c r="AA22" s="86">
        <f>(1+AA56)*Z7+(AA5-AA56)*Z9</f>
        <v/>
      </c>
      <c r="AB22" s="86">
        <f>(1+AB56)*AA7+(AB5-AB56)*AA9</f>
        <v/>
      </c>
      <c r="AC22" s="86">
        <f>(1+AC56)*AB7+(AC5-AC56)*AB9</f>
        <v/>
      </c>
      <c r="AD22" s="86">
        <f>(1+AD56)*AC7+(AD5-AD56)*AC9</f>
        <v/>
      </c>
      <c r="AE22" s="86">
        <f>(1+AE56)*AD7+(AE5-AE56)*AD9</f>
        <v/>
      </c>
      <c r="AF22" s="86">
        <f>(1+AF56)*AE7+(AF5-AF56)*AE9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[t&lt;=N] = dRI^E_t x A^E_t</t>
        </is>
      </c>
      <c r="C24" s="106">
        <f>IF(C4&lt;=cfg_N,C63*C62,0)</f>
        <v/>
      </c>
      <c r="D24" s="106">
        <f>IF(D4&lt;=cfg_N,D63*D62,0)</f>
        <v/>
      </c>
      <c r="E24" s="106">
        <f>IF(E4&lt;=cfg_N,E63*E62,0)</f>
        <v/>
      </c>
      <c r="F24" s="106">
        <f>IF(F4&lt;=cfg_N,F63*F62,0)</f>
        <v/>
      </c>
      <c r="G24" s="106">
        <f>IF(G4&lt;=cfg_N,G63*G62,0)</f>
        <v/>
      </c>
      <c r="H24" s="106">
        <f>IF(H4&lt;=cfg_N,H63*H62,0)</f>
        <v/>
      </c>
      <c r="I24" s="106">
        <f>IF(I4&lt;=cfg_N,I63*I62,0)</f>
        <v/>
      </c>
      <c r="J24" s="106">
        <f>IF(J4&lt;=cfg_N,J63*J62,0)</f>
        <v/>
      </c>
      <c r="K24" s="106">
        <f>IF(K4&lt;=cfg_N,K63*K62,0)</f>
        <v/>
      </c>
      <c r="L24" s="106">
        <f>IF(L4&lt;=cfg_N,L63*L62,0)</f>
        <v/>
      </c>
      <c r="M24" s="106">
        <f>IF(M4&lt;=cfg_N,M63*M62,0)</f>
        <v/>
      </c>
      <c r="N24" s="106">
        <f>IF(N4&lt;=cfg_N,N63*N62,0)</f>
        <v/>
      </c>
      <c r="O24" s="106">
        <f>IF(O4&lt;=cfg_N,O63*O62,0)</f>
        <v/>
      </c>
      <c r="P24" s="86">
        <f>IF(P4&lt;=cfg_N,P63*P62,0)</f>
        <v/>
      </c>
      <c r="Q24" s="86">
        <f>IF(Q4&lt;=cfg_N,Q63*Q62,0)</f>
        <v/>
      </c>
      <c r="R24" s="86">
        <f>IF(R4&lt;=cfg_N,R63*R62,0)</f>
        <v/>
      </c>
      <c r="S24" s="86">
        <f>IF(S4&lt;=cfg_N,S63*S62,0)</f>
        <v/>
      </c>
      <c r="T24" s="86">
        <f>IF(T4&lt;=cfg_N,T63*T62,0)</f>
        <v/>
      </c>
      <c r="U24" s="86">
        <f>IF(U4&lt;=cfg_N,U63*U62,0)</f>
        <v/>
      </c>
      <c r="V24" s="86">
        <f>IF(V4&lt;=cfg_N,V63*V62,0)</f>
        <v/>
      </c>
      <c r="W24" s="86">
        <f>IF(W4&lt;=cfg_N,W63*W62,0)</f>
        <v/>
      </c>
      <c r="X24" s="86">
        <f>IF(X4&lt;=cfg_N,X63*X62,0)</f>
        <v/>
      </c>
      <c r="Y24" s="86">
        <f>IF(Y4&lt;=cfg_N,Y63*Y62,0)</f>
        <v/>
      </c>
      <c r="Z24" s="86">
        <f>IF(Z4&lt;=cfg_N,Z63*Z62,0)</f>
        <v/>
      </c>
      <c r="AA24" s="86">
        <f>IF(AA4&lt;=cfg_N,AA63*AA62,0)</f>
        <v/>
      </c>
      <c r="AB24" s="86">
        <f>IF(AB4&lt;=cfg_N,AB63*AB62,0)</f>
        <v/>
      </c>
      <c r="AC24" s="86">
        <f>IF(AC4&lt;=cfg_N,AC63*AC62,0)</f>
        <v/>
      </c>
      <c r="AD24" s="86">
        <f>IF(AD4&lt;=cfg_N,AD63*AD62,0)</f>
        <v/>
      </c>
      <c r="AE24" s="86">
        <f>IF(AE4&lt;=cfg_N,AE63*AE62,0)</f>
        <v/>
      </c>
      <c r="AF24" s="86">
        <f>IF(AF4&lt;=cfg_N,AF63*AF62,0)</f>
        <v/>
      </c>
    </row>
    <row r="26" ht="15" customHeight="1" s="62">
      <c r="A26" s="86" t="inlineStr">
        <is>
          <t>normal NFE</t>
        </is>
      </c>
      <c r="C26" s="106">
        <f>(1+C56)*B12</f>
        <v/>
      </c>
      <c r="D26" s="106">
        <f>(1+D56)*C12</f>
        <v/>
      </c>
      <c r="E26" s="106">
        <f>(1+E56)*D12</f>
        <v/>
      </c>
      <c r="F26" s="106">
        <f>(1+F56)*E12</f>
        <v/>
      </c>
      <c r="G26" s="106">
        <f>(1+G56)*F12</f>
        <v/>
      </c>
      <c r="H26" s="106">
        <f>(1+H56)*G12</f>
        <v/>
      </c>
      <c r="I26" s="106">
        <f>(1+I56)*H12</f>
        <v/>
      </c>
      <c r="J26" s="106">
        <f>(1+J56)*I12</f>
        <v/>
      </c>
      <c r="K26" s="106">
        <f>(1+K56)*J12</f>
        <v/>
      </c>
      <c r="L26" s="106">
        <f>(1+L56)*K12</f>
        <v/>
      </c>
      <c r="M26" s="106">
        <f>(1+M56)*L12</f>
        <v/>
      </c>
      <c r="N26" s="106">
        <f>(1+N56)*M12</f>
        <v/>
      </c>
      <c r="O26" s="106">
        <f>(1+O56)*N12</f>
        <v/>
      </c>
      <c r="P26" s="86">
        <f>(1+P56)*O12</f>
        <v/>
      </c>
      <c r="Q26" s="86">
        <f>(1+Q56)*P12</f>
        <v/>
      </c>
      <c r="R26" s="86">
        <f>(1+R56)*Q12</f>
        <v/>
      </c>
      <c r="S26" s="86">
        <f>(1+S56)*R12</f>
        <v/>
      </c>
      <c r="T26" s="86">
        <f>(1+T56)*S12</f>
        <v/>
      </c>
      <c r="U26" s="86">
        <f>(1+U56)*T12</f>
        <v/>
      </c>
      <c r="V26" s="86">
        <f>(1+V56)*U12</f>
        <v/>
      </c>
      <c r="W26" s="86">
        <f>(1+W56)*V12</f>
        <v/>
      </c>
      <c r="X26" s="86">
        <f>(1+X56)*W12</f>
        <v/>
      </c>
      <c r="Y26" s="86">
        <f>(1+Y56)*X12</f>
        <v/>
      </c>
      <c r="Z26" s="86">
        <f>(1+Z56)*Y12</f>
        <v/>
      </c>
      <c r="AA26" s="86">
        <f>(1+AA56)*Z12</f>
        <v/>
      </c>
      <c r="AB26" s="86">
        <f>(1+AB56)*AA12</f>
        <v/>
      </c>
      <c r="AC26" s="86">
        <f>(1+AC56)*AB12</f>
        <v/>
      </c>
      <c r="AD26" s="86">
        <f>(1+AD56)*AC12</f>
        <v/>
      </c>
      <c r="AE26" s="86">
        <f>(1+AE56)*AD12</f>
        <v/>
      </c>
      <c r="AF26" s="86">
        <f>(1+AF56)*AE12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[t&lt;=N] = dRI^D_t x A^D_t</t>
        </is>
      </c>
      <c r="C28" s="106">
        <f>IF(C4&lt;=cfg_N,C66*C65,0)</f>
        <v/>
      </c>
      <c r="D28" s="106">
        <f>IF(D4&lt;=cfg_N,D66*D65,0)</f>
        <v/>
      </c>
      <c r="E28" s="106">
        <f>IF(E4&lt;=cfg_N,E66*E65,0)</f>
        <v/>
      </c>
      <c r="F28" s="106">
        <f>IF(F4&lt;=cfg_N,F66*F65,0)</f>
        <v/>
      </c>
      <c r="G28" s="106">
        <f>IF(G4&lt;=cfg_N,G66*G65,0)</f>
        <v/>
      </c>
      <c r="H28" s="106">
        <f>IF(H4&lt;=cfg_N,H66*H65,0)</f>
        <v/>
      </c>
      <c r="I28" s="106">
        <f>IF(I4&lt;=cfg_N,I66*I65,0)</f>
        <v/>
      </c>
      <c r="J28" s="106">
        <f>IF(J4&lt;=cfg_N,J66*J65,0)</f>
        <v/>
      </c>
      <c r="K28" s="106">
        <f>IF(K4&lt;=cfg_N,K66*K65,0)</f>
        <v/>
      </c>
      <c r="L28" s="106">
        <f>IF(L4&lt;=cfg_N,L66*L65,0)</f>
        <v/>
      </c>
      <c r="M28" s="106">
        <f>IF(M4&lt;=cfg_N,M66*M65,0)</f>
        <v/>
      </c>
      <c r="N28" s="106">
        <f>IF(N4&lt;=cfg_N,N66*N65,0)</f>
        <v/>
      </c>
      <c r="O28" s="106">
        <f>IF(O4&lt;=cfg_N,O66*O65,0)</f>
        <v/>
      </c>
      <c r="P28" s="86">
        <f>IF(P4&lt;=cfg_N,P66*P65,0)</f>
        <v/>
      </c>
      <c r="Q28" s="86">
        <f>IF(Q4&lt;=cfg_N,Q66*Q65,0)</f>
        <v/>
      </c>
      <c r="R28" s="86">
        <f>IF(R4&lt;=cfg_N,R66*R65,0)</f>
        <v/>
      </c>
      <c r="S28" s="86">
        <f>IF(S4&lt;=cfg_N,S66*S65,0)</f>
        <v/>
      </c>
      <c r="T28" s="86">
        <f>IF(T4&lt;=cfg_N,T66*T65,0)</f>
        <v/>
      </c>
      <c r="U28" s="86">
        <f>IF(U4&lt;=cfg_N,U66*U65,0)</f>
        <v/>
      </c>
      <c r="V28" s="86">
        <f>IF(V4&lt;=cfg_N,V66*V65,0)</f>
        <v/>
      </c>
      <c r="W28" s="86">
        <f>IF(W4&lt;=cfg_N,W66*W65,0)</f>
        <v/>
      </c>
      <c r="X28" s="86">
        <f>IF(X4&lt;=cfg_N,X66*X65,0)</f>
        <v/>
      </c>
      <c r="Y28" s="86">
        <f>IF(Y4&lt;=cfg_N,Y66*Y65,0)</f>
        <v/>
      </c>
      <c r="Z28" s="86">
        <f>IF(Z4&lt;=cfg_N,Z66*Z65,0)</f>
        <v/>
      </c>
      <c r="AA28" s="86">
        <f>IF(AA4&lt;=cfg_N,AA66*AA65,0)</f>
        <v/>
      </c>
      <c r="AB28" s="86">
        <f>IF(AB4&lt;=cfg_N,AB66*AB65,0)</f>
        <v/>
      </c>
      <c r="AC28" s="86">
        <f>IF(AC4&lt;=cfg_N,AC66*AC65,0)</f>
        <v/>
      </c>
      <c r="AD28" s="86">
        <f>IF(AD4&lt;=cfg_N,AD66*AD65,0)</f>
        <v/>
      </c>
      <c r="AE28" s="86">
        <f>IF(AE4&lt;=cfg_N,AE66*AE65,0)</f>
        <v/>
      </c>
      <c r="AF28" s="86">
        <f>IF(AF4&lt;=cfg_N,AF66*AF65,0)</f>
        <v/>
      </c>
    </row>
    <row r="30" ht="15" customHeight="1" s="62">
      <c r="A30" s="86" t="inlineStr">
        <is>
          <t>normal OI</t>
        </is>
      </c>
      <c r="C30" s="106">
        <f>(1+C56)*B13+(C15-C56)*B9</f>
        <v/>
      </c>
      <c r="D30" s="106">
        <f>(1+D56)*C13+(D15-D56)*C9</f>
        <v/>
      </c>
      <c r="E30" s="106">
        <f>(1+E56)*D13+(E15-E56)*D9</f>
        <v/>
      </c>
      <c r="F30" s="106">
        <f>(1+F56)*E13+(F15-F56)*E9</f>
        <v/>
      </c>
      <c r="G30" s="106">
        <f>(1+G56)*F13+(G15-G56)*F9</f>
        <v/>
      </c>
      <c r="H30" s="106">
        <f>(1+H56)*G13+(H15-H56)*G9</f>
        <v/>
      </c>
      <c r="I30" s="106">
        <f>(1+I56)*H13+(I15-I56)*H9</f>
        <v/>
      </c>
      <c r="J30" s="106">
        <f>(1+J56)*I13+(J15-J56)*I9</f>
        <v/>
      </c>
      <c r="K30" s="106">
        <f>(1+K56)*J13+(K15-K56)*J9</f>
        <v/>
      </c>
      <c r="L30" s="106">
        <f>(1+L56)*K13+(L15-L56)*K9</f>
        <v/>
      </c>
      <c r="M30" s="106">
        <f>(1+M56)*L13+(M15-M56)*L9</f>
        <v/>
      </c>
      <c r="N30" s="106">
        <f>(1+N56)*M13+(N15-N56)*M9</f>
        <v/>
      </c>
      <c r="O30" s="106">
        <f>(1+O56)*N13+(O15-O56)*N9</f>
        <v/>
      </c>
      <c r="P30" s="86">
        <f>(1+P56)*O13+(P15-P56)*O9</f>
        <v/>
      </c>
      <c r="Q30" s="86">
        <f>(1+Q56)*P13+(Q15-Q56)*P9</f>
        <v/>
      </c>
      <c r="R30" s="86">
        <f>(1+R56)*Q13+(R15-R56)*Q9</f>
        <v/>
      </c>
      <c r="S30" s="86">
        <f>(1+S56)*R13+(S15-S56)*R9</f>
        <v/>
      </c>
      <c r="T30" s="86">
        <f>(1+T56)*S13+(T15-T56)*S9</f>
        <v/>
      </c>
      <c r="U30" s="86">
        <f>(1+U56)*T13+(U15-U56)*T9</f>
        <v/>
      </c>
      <c r="V30" s="86">
        <f>(1+V56)*U13+(V15-V56)*U9</f>
        <v/>
      </c>
      <c r="W30" s="86">
        <f>(1+W56)*V13+(W15-W56)*V9</f>
        <v/>
      </c>
      <c r="X30" s="86">
        <f>(1+X56)*W13+(X15-X56)*W9</f>
        <v/>
      </c>
      <c r="Y30" s="86">
        <f>(1+Y56)*X13+(Y15-Y56)*X9</f>
        <v/>
      </c>
      <c r="Z30" s="86">
        <f>(1+Z56)*Y13+(Z15-Z56)*Y9</f>
        <v/>
      </c>
      <c r="AA30" s="86">
        <f>(1+AA56)*Z13+(AA15-AA56)*Z9</f>
        <v/>
      </c>
      <c r="AB30" s="86">
        <f>(1+AB56)*AA13+(AB15-AB56)*AA9</f>
        <v/>
      </c>
      <c r="AC30" s="86">
        <f>(1+AC56)*AB13+(AC15-AC56)*AB9</f>
        <v/>
      </c>
      <c r="AD30" s="86">
        <f>(1+AD56)*AC13+(AD15-AD56)*AC9</f>
        <v/>
      </c>
      <c r="AE30" s="86">
        <f>(1+AE56)*AD13+(AE15-AE56)*AD9</f>
        <v/>
      </c>
      <c r="AF30" s="86">
        <f>(1+AF56)*AE13+(AF15-AF56)*AE9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 [t&lt;=N] = dRI^F_t x A^F_t</t>
        </is>
      </c>
      <c r="C32" s="106">
        <f>IF(C4&lt;=cfg_N,C69*C68,0)</f>
        <v/>
      </c>
      <c r="D32" s="106">
        <f>IF(D4&lt;=cfg_N,D69*D68,0)</f>
        <v/>
      </c>
      <c r="E32" s="106">
        <f>IF(E4&lt;=cfg_N,E69*E68,0)</f>
        <v/>
      </c>
      <c r="F32" s="106">
        <f>IF(F4&lt;=cfg_N,F69*F68,0)</f>
        <v/>
      </c>
      <c r="G32" s="106">
        <f>IF(G4&lt;=cfg_N,G69*G68,0)</f>
        <v/>
      </c>
      <c r="H32" s="106">
        <f>IF(H4&lt;=cfg_N,H69*H68,0)</f>
        <v/>
      </c>
      <c r="I32" s="106">
        <f>IF(I4&lt;=cfg_N,I69*I68,0)</f>
        <v/>
      </c>
      <c r="J32" s="106">
        <f>IF(J4&lt;=cfg_N,J69*J68,0)</f>
        <v/>
      </c>
      <c r="K32" s="106">
        <f>IF(K4&lt;=cfg_N,K69*K68,0)</f>
        <v/>
      </c>
      <c r="L32" s="106">
        <f>IF(L4&lt;=cfg_N,L69*L68,0)</f>
        <v/>
      </c>
      <c r="M32" s="106">
        <f>IF(M4&lt;=cfg_N,M69*M68,0)</f>
        <v/>
      </c>
      <c r="N32" s="106">
        <f>IF(N4&lt;=cfg_N,N69*N68,0)</f>
        <v/>
      </c>
      <c r="O32" s="106">
        <f>IF(O4&lt;=cfg_N,O69*O68,0)</f>
        <v/>
      </c>
      <c r="P32" s="86">
        <f>IF(P4&lt;=cfg_N,P69*P68,0)</f>
        <v/>
      </c>
      <c r="Q32" s="86">
        <f>IF(Q4&lt;=cfg_N,Q69*Q68,0)</f>
        <v/>
      </c>
      <c r="R32" s="86">
        <f>IF(R4&lt;=cfg_N,R69*R68,0)</f>
        <v/>
      </c>
      <c r="S32" s="86">
        <f>IF(S4&lt;=cfg_N,S69*S68,0)</f>
        <v/>
      </c>
      <c r="T32" s="86">
        <f>IF(T4&lt;=cfg_N,T69*T68,0)</f>
        <v/>
      </c>
      <c r="U32" s="86">
        <f>IF(U4&lt;=cfg_N,U69*U68,0)</f>
        <v/>
      </c>
      <c r="V32" s="86">
        <f>IF(V4&lt;=cfg_N,V69*V68,0)</f>
        <v/>
      </c>
      <c r="W32" s="86">
        <f>IF(W4&lt;=cfg_N,W69*W68,0)</f>
        <v/>
      </c>
      <c r="X32" s="86">
        <f>IF(X4&lt;=cfg_N,X69*X68,0)</f>
        <v/>
      </c>
      <c r="Y32" s="86">
        <f>IF(Y4&lt;=cfg_N,Y69*Y68,0)</f>
        <v/>
      </c>
      <c r="Z32" s="86">
        <f>IF(Z4&lt;=cfg_N,Z69*Z68,0)</f>
        <v/>
      </c>
      <c r="AA32" s="86">
        <f>IF(AA4&lt;=cfg_N,AA69*AA68,0)</f>
        <v/>
      </c>
      <c r="AB32" s="86">
        <f>IF(AB4&lt;=cfg_N,AB69*AB68,0)</f>
        <v/>
      </c>
      <c r="AC32" s="86">
        <f>IF(AC4&lt;=cfg_N,AC69*AC68,0)</f>
        <v/>
      </c>
      <c r="AD32" s="86">
        <f>IF(AD4&lt;=cfg_N,AD69*AD68,0)</f>
        <v/>
      </c>
      <c r="AE32" s="86">
        <f>IF(AE4&lt;=cfg_N,AE69*AE68,0)</f>
        <v/>
      </c>
      <c r="AF32" s="86">
        <f>IF(AF4&lt;=cfg_N,AF69*AF68,0)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[BPS0 + normal-RI1 x A^E1] + Sum contrib</t>
        </is>
      </c>
      <c r="B36" s="106">
        <f>B43+SUM(C24:AF24)</f>
        <v/>
      </c>
    </row>
    <row r="37" ht="15" customHeight="1" s="62">
      <c r="A37" s="86" t="inlineStr">
        <is>
          <t>V(NFE) = financing = [NFO0 + normal-RFD1 x A^D1] + Sum contrib</t>
        </is>
      </c>
      <c r="B37" s="106">
        <f>B11+(C26-C64*B11)*C65+SUM(C28:AF28)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decorative: V(OI)−V(NFE)−V(EPS). B38 is DEFINED as B36+B37, so this is identically 0 for any inputs. Proves nothing.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BOOK-weighted rhoF — expected to differ from B38; the real check is Audit CHECK 7 on the DCF tab.</t>
        </is>
      </c>
      <c r="B41" s="113">
        <f>B70+(C30-C67*B70)*C68+SUM(C32:AF32)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BPS0 + (normal EPS1 - rho*E1 x BPS0) x A^E1</t>
        </is>
      </c>
      <c r="B43" s="106">
        <f>B10+(C22-C61*B10)*C62</f>
        <v/>
      </c>
    </row>
    <row r="44" ht="15" customHeight="1" s="62">
      <c r="A44" s="86" t="inlineStr">
        <is>
          <t>Intrinsic value in 2026$ (= V(EPS); a time-0 PV, so nominal==real at t=0)</t>
        </is>
      </c>
      <c r="B44" s="106">
        <f>B36</f>
        <v/>
      </c>
    </row>
    <row r="45" ht="15" customHeight="1" s="62">
      <c r="A45" s="86" t="inlineStr">
        <is>
          <t>Price in 2026$ = in_price x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/ EPS1 (both real 2026$)</t>
        </is>
      </c>
      <c r="B47" s="105">
        <f>B44/(C7/C57)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  <row r="56">
      <c r="A56" s="61" t="inlineStr">
        <is>
          <t xml:space="preserve">  pi_t expected inflation fwd [finrate_infl]   &lt;STAGE A&gt;</t>
        </is>
      </c>
      <c r="C56" s="61">
        <f>INDEX(finrate_infl,C4)</f>
        <v/>
      </c>
      <c r="D56" s="61">
        <f>INDEX(finrate_infl,D4)</f>
        <v/>
      </c>
      <c r="E56" s="61">
        <f>INDEX(finrate_infl,E4)</f>
        <v/>
      </c>
      <c r="F56" s="61">
        <f>INDEX(finrate_infl,F4)</f>
        <v/>
      </c>
      <c r="G56" s="61">
        <f>INDEX(finrate_infl,G4)</f>
        <v/>
      </c>
      <c r="H56" s="61">
        <f>INDEX(finrate_infl,H4)</f>
        <v/>
      </c>
      <c r="I56" s="61">
        <f>INDEX(finrate_infl,I4)</f>
        <v/>
      </c>
      <c r="J56" s="61">
        <f>INDEX(finrate_infl,J4)</f>
        <v/>
      </c>
      <c r="K56" s="61">
        <f>INDEX(finrate_infl,K4)</f>
        <v/>
      </c>
      <c r="L56" s="61">
        <f>INDEX(finrate_infl,L4)</f>
        <v/>
      </c>
      <c r="M56" s="61">
        <f>INDEX(finrate_infl,M4)</f>
        <v/>
      </c>
      <c r="N56" s="61">
        <f>INDEX(finrate_infl,N4)</f>
        <v/>
      </c>
      <c r="O56" s="61">
        <f>INDEX(finrate_infl,O4)</f>
        <v/>
      </c>
      <c r="P56" s="61">
        <f>INDEX(finrate_infl,P4)</f>
        <v/>
      </c>
      <c r="Q56" s="61">
        <f>INDEX(finrate_infl,Q4)</f>
        <v/>
      </c>
      <c r="R56" s="61">
        <f>INDEX(finrate_infl,R4)</f>
        <v/>
      </c>
      <c r="S56" s="61">
        <f>INDEX(finrate_infl,S4)</f>
        <v/>
      </c>
      <c r="T56" s="61">
        <f>INDEX(finrate_infl,T4)</f>
        <v/>
      </c>
      <c r="U56" s="61">
        <f>INDEX(finrate_infl,U4)</f>
        <v/>
      </c>
      <c r="V56" s="61">
        <f>INDEX(finrate_infl,V4)</f>
        <v/>
      </c>
      <c r="W56" s="61">
        <f>INDEX(finrate_infl,W4)</f>
        <v/>
      </c>
      <c r="X56" s="61">
        <f>INDEX(finrate_infl,X4)</f>
        <v/>
      </c>
      <c r="Y56" s="61">
        <f>INDEX(finrate_infl,Y4)</f>
        <v/>
      </c>
      <c r="Z56" s="61">
        <f>INDEX(finrate_infl,Z4)</f>
        <v/>
      </c>
      <c r="AA56" s="61">
        <f>INDEX(finrate_infl,AA4)</f>
        <v/>
      </c>
      <c r="AB56" s="61">
        <f>INDEX(finrate_infl,AB4)</f>
        <v/>
      </c>
      <c r="AC56" s="61">
        <f>INDEX(finrate_infl,AC4)</f>
        <v/>
      </c>
      <c r="AD56" s="61">
        <f>INDEX(finrate_infl,AD4)</f>
        <v/>
      </c>
      <c r="AE56" s="61">
        <f>INDEX(finrate_infl,AE4)</f>
        <v/>
      </c>
      <c r="AF56" s="61">
        <f>INDEX(finrate_infl,AF4)</f>
        <v/>
      </c>
    </row>
    <row r="57">
      <c r="A57" s="61" t="inlineStr">
        <is>
          <t xml:space="preserve">  I_t cumulative inflation index (I_0=1)   &lt;STAGE A&gt;</t>
        </is>
      </c>
      <c r="B57" s="61" t="n">
        <v>1</v>
      </c>
      <c r="C57" s="61">
        <f>B57*(1+C56)</f>
        <v/>
      </c>
      <c r="D57" s="61">
        <f>C57*(1+D56)</f>
        <v/>
      </c>
      <c r="E57" s="61">
        <f>D57*(1+E56)</f>
        <v/>
      </c>
      <c r="F57" s="61">
        <f>E57*(1+F56)</f>
        <v/>
      </c>
      <c r="G57" s="61">
        <f>F57*(1+G56)</f>
        <v/>
      </c>
      <c r="H57" s="61">
        <f>G57*(1+H56)</f>
        <v/>
      </c>
      <c r="I57" s="61">
        <f>H57*(1+I56)</f>
        <v/>
      </c>
      <c r="J57" s="61">
        <f>I57*(1+J56)</f>
        <v/>
      </c>
      <c r="K57" s="61">
        <f>J57*(1+K56)</f>
        <v/>
      </c>
      <c r="L57" s="61">
        <f>K57*(1+L56)</f>
        <v/>
      </c>
      <c r="M57" s="61">
        <f>L57*(1+M56)</f>
        <v/>
      </c>
      <c r="N57" s="61">
        <f>M57*(1+N56)</f>
        <v/>
      </c>
      <c r="O57" s="61">
        <f>N57*(1+O56)</f>
        <v/>
      </c>
      <c r="P57" s="61">
        <f>O57*(1+P56)</f>
        <v/>
      </c>
      <c r="Q57" s="61">
        <f>P57*(1+Q56)</f>
        <v/>
      </c>
      <c r="R57" s="61">
        <f>Q57*(1+R56)</f>
        <v/>
      </c>
      <c r="S57" s="61">
        <f>R57*(1+S56)</f>
        <v/>
      </c>
      <c r="T57" s="61">
        <f>S57*(1+T56)</f>
        <v/>
      </c>
      <c r="U57" s="61">
        <f>T57*(1+U56)</f>
        <v/>
      </c>
      <c r="V57" s="61">
        <f>U57*(1+V56)</f>
        <v/>
      </c>
      <c r="W57" s="61">
        <f>V57*(1+W56)</f>
        <v/>
      </c>
      <c r="X57" s="61">
        <f>W57*(1+X56)</f>
        <v/>
      </c>
      <c r="Y57" s="61">
        <f>X57*(1+Y56)</f>
        <v/>
      </c>
      <c r="Z57" s="61">
        <f>Y57*(1+Z56)</f>
        <v/>
      </c>
      <c r="AA57" s="61">
        <f>Z57*(1+AA56)</f>
        <v/>
      </c>
      <c r="AB57" s="61">
        <f>AA57*(1+AB56)</f>
        <v/>
      </c>
      <c r="AC57" s="61">
        <f>AB57*(1+AC56)</f>
        <v/>
      </c>
      <c r="AD57" s="61">
        <f>AC57*(1+AD56)</f>
        <v/>
      </c>
      <c r="AE57" s="61">
        <f>AD57*(1+AE56)</f>
        <v/>
      </c>
      <c r="AF57" s="61">
        <f>AE57*(1+AF56)</f>
        <v/>
      </c>
    </row>
    <row r="58">
      <c r="A58" s="61" t="inlineStr">
        <is>
          <t xml:space="preserve">  cap rate E = rhoE_LR(real) x (1+pi_t)   &lt;STAGE A&gt;</t>
        </is>
      </c>
      <c r="C58" s="61">
        <f>$B$20*(1+C56)</f>
        <v/>
      </c>
      <c r="D58" s="61">
        <f>$B$20*(1+D56)</f>
        <v/>
      </c>
      <c r="E58" s="61">
        <f>$B$20*(1+E56)</f>
        <v/>
      </c>
      <c r="F58" s="61">
        <f>$B$20*(1+F56)</f>
        <v/>
      </c>
      <c r="G58" s="61">
        <f>$B$20*(1+G56)</f>
        <v/>
      </c>
      <c r="H58" s="61">
        <f>$B$20*(1+H56)</f>
        <v/>
      </c>
      <c r="I58" s="61">
        <f>$B$20*(1+I56)</f>
        <v/>
      </c>
      <c r="J58" s="61">
        <f>$B$20*(1+J56)</f>
        <v/>
      </c>
      <c r="K58" s="61">
        <f>$B$20*(1+K56)</f>
        <v/>
      </c>
      <c r="L58" s="61">
        <f>$B$20*(1+L56)</f>
        <v/>
      </c>
      <c r="M58" s="61">
        <f>$B$20*(1+M56)</f>
        <v/>
      </c>
      <c r="N58" s="61">
        <f>$B$20*(1+N56)</f>
        <v/>
      </c>
      <c r="O58" s="61">
        <f>$B$20*(1+O56)</f>
        <v/>
      </c>
      <c r="P58" s="61">
        <f>$B$20*(1+P56)</f>
        <v/>
      </c>
      <c r="Q58" s="61">
        <f>$B$20*(1+Q56)</f>
        <v/>
      </c>
      <c r="R58" s="61">
        <f>$B$20*(1+R56)</f>
        <v/>
      </c>
      <c r="S58" s="61">
        <f>$B$20*(1+S56)</f>
        <v/>
      </c>
      <c r="T58" s="61">
        <f>$B$20*(1+T56)</f>
        <v/>
      </c>
      <c r="U58" s="61">
        <f>$B$20*(1+U56)</f>
        <v/>
      </c>
      <c r="V58" s="61">
        <f>$B$20*(1+V56)</f>
        <v/>
      </c>
      <c r="W58" s="61">
        <f>$B$20*(1+W56)</f>
        <v/>
      </c>
      <c r="X58" s="61">
        <f>$B$20*(1+X56)</f>
        <v/>
      </c>
      <c r="Y58" s="61">
        <f>$B$20*(1+Y56)</f>
        <v/>
      </c>
      <c r="Z58" s="61">
        <f>$B$20*(1+Z56)</f>
        <v/>
      </c>
      <c r="AA58" s="61">
        <f>$B$20*(1+AA56)</f>
        <v/>
      </c>
      <c r="AB58" s="61">
        <f>$B$20*(1+AB56)</f>
        <v/>
      </c>
      <c r="AC58" s="61">
        <f>$B$20*(1+AC56)</f>
        <v/>
      </c>
      <c r="AD58" s="61">
        <f>$B$20*(1+AD56)</f>
        <v/>
      </c>
      <c r="AE58" s="61">
        <f>$B$20*(1+AE56)</f>
        <v/>
      </c>
      <c r="AF58" s="61">
        <f>$B$20*(1+AF56)</f>
        <v/>
      </c>
    </row>
    <row r="59">
      <c r="A59" s="61" t="inlineStr">
        <is>
          <t xml:space="preserve">  cap rate D = rhoD_LR(real) x (1+pi_t)   &lt;STAGE A&gt;</t>
        </is>
      </c>
      <c r="C59" s="61">
        <f>$C$20*(1+C56)</f>
        <v/>
      </c>
      <c r="D59" s="61">
        <f>$C$20*(1+D56)</f>
        <v/>
      </c>
      <c r="E59" s="61">
        <f>$C$20*(1+E56)</f>
        <v/>
      </c>
      <c r="F59" s="61">
        <f>$C$20*(1+F56)</f>
        <v/>
      </c>
      <c r="G59" s="61">
        <f>$C$20*(1+G56)</f>
        <v/>
      </c>
      <c r="H59" s="61">
        <f>$C$20*(1+H56)</f>
        <v/>
      </c>
      <c r="I59" s="61">
        <f>$C$20*(1+I56)</f>
        <v/>
      </c>
      <c r="J59" s="61">
        <f>$C$20*(1+J56)</f>
        <v/>
      </c>
      <c r="K59" s="61">
        <f>$C$20*(1+K56)</f>
        <v/>
      </c>
      <c r="L59" s="61">
        <f>$C$20*(1+L56)</f>
        <v/>
      </c>
      <c r="M59" s="61">
        <f>$C$20*(1+M56)</f>
        <v/>
      </c>
      <c r="N59" s="61">
        <f>$C$20*(1+N56)</f>
        <v/>
      </c>
      <c r="O59" s="61">
        <f>$C$20*(1+O56)</f>
        <v/>
      </c>
      <c r="P59" s="61">
        <f>$C$20*(1+P56)</f>
        <v/>
      </c>
      <c r="Q59" s="61">
        <f>$C$20*(1+Q56)</f>
        <v/>
      </c>
      <c r="R59" s="61">
        <f>$C$20*(1+R56)</f>
        <v/>
      </c>
      <c r="S59" s="61">
        <f>$C$20*(1+S56)</f>
        <v/>
      </c>
      <c r="T59" s="61">
        <f>$C$20*(1+T56)</f>
        <v/>
      </c>
      <c r="U59" s="61">
        <f>$C$20*(1+U56)</f>
        <v/>
      </c>
      <c r="V59" s="61">
        <f>$C$20*(1+V56)</f>
        <v/>
      </c>
      <c r="W59" s="61">
        <f>$C$20*(1+W56)</f>
        <v/>
      </c>
      <c r="X59" s="61">
        <f>$C$20*(1+X56)</f>
        <v/>
      </c>
      <c r="Y59" s="61">
        <f>$C$20*(1+Y56)</f>
        <v/>
      </c>
      <c r="Z59" s="61">
        <f>$C$20*(1+Z56)</f>
        <v/>
      </c>
      <c r="AA59" s="61">
        <f>$C$20*(1+AA56)</f>
        <v/>
      </c>
      <c r="AB59" s="61">
        <f>$C$20*(1+AB56)</f>
        <v/>
      </c>
      <c r="AC59" s="61">
        <f>$C$20*(1+AC56)</f>
        <v/>
      </c>
      <c r="AD59" s="61">
        <f>$C$20*(1+AD56)</f>
        <v/>
      </c>
      <c r="AE59" s="61">
        <f>$C$20*(1+AE56)</f>
        <v/>
      </c>
      <c r="AF59" s="61">
        <f>$C$20*(1+AF56)</f>
        <v/>
      </c>
    </row>
    <row r="60">
      <c r="A60" s="61" t="inlineStr">
        <is>
          <t xml:space="preserve">  cap rate F = rhoF_LR(real) x (1+pi_t)   &lt;STAGE A&gt;</t>
        </is>
      </c>
      <c r="C60" s="61">
        <f>$D$20*(1+C56)</f>
        <v/>
      </c>
      <c r="D60" s="61">
        <f>$D$20*(1+D56)</f>
        <v/>
      </c>
      <c r="E60" s="61">
        <f>$D$20*(1+E56)</f>
        <v/>
      </c>
      <c r="F60" s="61">
        <f>$D$20*(1+F56)</f>
        <v/>
      </c>
      <c r="G60" s="61">
        <f>$D$20*(1+G56)</f>
        <v/>
      </c>
      <c r="H60" s="61">
        <f>$D$20*(1+H56)</f>
        <v/>
      </c>
      <c r="I60" s="61">
        <f>$D$20*(1+I56)</f>
        <v/>
      </c>
      <c r="J60" s="61">
        <f>$D$20*(1+J56)</f>
        <v/>
      </c>
      <c r="K60" s="61">
        <f>$D$20*(1+K56)</f>
        <v/>
      </c>
      <c r="L60" s="61">
        <f>$D$20*(1+L56)</f>
        <v/>
      </c>
      <c r="M60" s="61">
        <f>$D$20*(1+M56)</f>
        <v/>
      </c>
      <c r="N60" s="61">
        <f>$D$20*(1+N56)</f>
        <v/>
      </c>
      <c r="O60" s="61">
        <f>$D$20*(1+O56)</f>
        <v/>
      </c>
      <c r="P60" s="61">
        <f>$D$20*(1+P56)</f>
        <v/>
      </c>
      <c r="Q60" s="61">
        <f>$D$20*(1+Q56)</f>
        <v/>
      </c>
      <c r="R60" s="61">
        <f>$D$20*(1+R56)</f>
        <v/>
      </c>
      <c r="S60" s="61">
        <f>$D$20*(1+S56)</f>
        <v/>
      </c>
      <c r="T60" s="61">
        <f>$D$20*(1+T56)</f>
        <v/>
      </c>
      <c r="U60" s="61">
        <f>$D$20*(1+U56)</f>
        <v/>
      </c>
      <c r="V60" s="61">
        <f>$D$20*(1+V56)</f>
        <v/>
      </c>
      <c r="W60" s="61">
        <f>$D$20*(1+W56)</f>
        <v/>
      </c>
      <c r="X60" s="61">
        <f>$D$20*(1+X56)</f>
        <v/>
      </c>
      <c r="Y60" s="61">
        <f>$D$20*(1+Y56)</f>
        <v/>
      </c>
      <c r="Z60" s="61">
        <f>$D$20*(1+Z56)</f>
        <v/>
      </c>
      <c r="AA60" s="61">
        <f>$D$20*(1+AA56)</f>
        <v/>
      </c>
      <c r="AB60" s="61">
        <f>$D$20*(1+AB56)</f>
        <v/>
      </c>
      <c r="AC60" s="61">
        <f>$D$20*(1+AC56)</f>
        <v/>
      </c>
      <c r="AD60" s="61">
        <f>$D$20*(1+AD56)</f>
        <v/>
      </c>
      <c r="AE60" s="61">
        <f>$D$20*(1+AE56)</f>
        <v/>
      </c>
      <c r="AF60" s="61">
        <f>$D$20*(1+AF56)</f>
        <v/>
      </c>
    </row>
    <row r="61">
      <c r="A61" s="61" t="inlineStr">
        <is>
          <t xml:space="preserve">  rho*E = rhoE(nom) - pi   [Stage A real capital-charge rate]   &lt;AEG-TS&gt;</t>
        </is>
      </c>
      <c r="C61" s="61">
        <f>C5-C56</f>
        <v/>
      </c>
      <c r="D61" s="61">
        <f>D5-D56</f>
        <v/>
      </c>
      <c r="E61" s="61">
        <f>E5-E56</f>
        <v/>
      </c>
      <c r="F61" s="61">
        <f>F5-F56</f>
        <v/>
      </c>
      <c r="G61" s="61">
        <f>G5-G56</f>
        <v/>
      </c>
      <c r="H61" s="61">
        <f>H5-H56</f>
        <v/>
      </c>
      <c r="I61" s="61">
        <f>I5-I56</f>
        <v/>
      </c>
      <c r="J61" s="61">
        <f>J5-J56</f>
        <v/>
      </c>
      <c r="K61" s="61">
        <f>K5-K56</f>
        <v/>
      </c>
      <c r="L61" s="61">
        <f>L5-L56</f>
        <v/>
      </c>
      <c r="M61" s="61">
        <f>M5-M56</f>
        <v/>
      </c>
      <c r="N61" s="61">
        <f>N5-N56</f>
        <v/>
      </c>
      <c r="O61" s="61">
        <f>O5-O56</f>
        <v/>
      </c>
      <c r="P61" s="61">
        <f>P5-P56</f>
        <v/>
      </c>
      <c r="Q61" s="61">
        <f>Q5-Q56</f>
        <v/>
      </c>
      <c r="R61" s="61">
        <f>R5-R56</f>
        <v/>
      </c>
      <c r="S61" s="61">
        <f>S5-S56</f>
        <v/>
      </c>
      <c r="T61" s="61">
        <f>T5-T56</f>
        <v/>
      </c>
      <c r="U61" s="61">
        <f>U5-U56</f>
        <v/>
      </c>
      <c r="V61" s="61">
        <f>V5-V56</f>
        <v/>
      </c>
      <c r="W61" s="61">
        <f>W5-W56</f>
        <v/>
      </c>
      <c r="X61" s="61">
        <f>X5-X56</f>
        <v/>
      </c>
      <c r="Y61" s="61">
        <f>Y5-Y56</f>
        <v/>
      </c>
      <c r="Z61" s="61">
        <f>Z5-Z56</f>
        <v/>
      </c>
      <c r="AA61" s="61">
        <f>AA5-AA56</f>
        <v/>
      </c>
      <c r="AB61" s="61">
        <f>AB5-AB56</f>
        <v/>
      </c>
      <c r="AC61" s="61">
        <f>AC5-AC56</f>
        <v/>
      </c>
      <c r="AD61" s="61">
        <f>AD5-AD56</f>
        <v/>
      </c>
      <c r="AE61" s="61">
        <f>AE5-AE56</f>
        <v/>
      </c>
      <c r="AF61" s="61">
        <f>AF5-AF56</f>
        <v/>
      </c>
    </row>
    <row r="62">
      <c r="A62" s="61" t="inlineStr">
        <is>
          <t xml:space="preserve">  A^E_t = SUM(DF^E_t..DF^E_N) + DF^E_N/rhoE_LR   [curve-implied annuity]   &lt;AEG-TS&gt;</t>
        </is>
      </c>
      <c r="C62" s="61">
        <f>IF(C4&gt;cfg_N,0,C16+IF(C4=cfg_N,C16/$B$20,D62))</f>
        <v/>
      </c>
      <c r="D62" s="61">
        <f>IF(D4&gt;cfg_N,0,D16+IF(D4=cfg_N,D16/$B$20,E62))</f>
        <v/>
      </c>
      <c r="E62" s="61">
        <f>IF(E4&gt;cfg_N,0,E16+IF(E4=cfg_N,E16/$B$20,F62))</f>
        <v/>
      </c>
      <c r="F62" s="61">
        <f>IF(F4&gt;cfg_N,0,F16+IF(F4=cfg_N,F16/$B$20,G62))</f>
        <v/>
      </c>
      <c r="G62" s="61">
        <f>IF(G4&gt;cfg_N,0,G16+IF(G4=cfg_N,G16/$B$20,H62))</f>
        <v/>
      </c>
      <c r="H62" s="61">
        <f>IF(H4&gt;cfg_N,0,H16+IF(H4=cfg_N,H16/$B$20,I62))</f>
        <v/>
      </c>
      <c r="I62" s="61">
        <f>IF(I4&gt;cfg_N,0,I16+IF(I4=cfg_N,I16/$B$20,J62))</f>
        <v/>
      </c>
      <c r="J62" s="61">
        <f>IF(J4&gt;cfg_N,0,J16+IF(J4=cfg_N,J16/$B$20,K62))</f>
        <v/>
      </c>
      <c r="K62" s="61">
        <f>IF(K4&gt;cfg_N,0,K16+IF(K4=cfg_N,K16/$B$20,L62))</f>
        <v/>
      </c>
      <c r="L62" s="61">
        <f>IF(L4&gt;cfg_N,0,L16+IF(L4=cfg_N,L16/$B$20,M62))</f>
        <v/>
      </c>
      <c r="M62" s="61">
        <f>IF(M4&gt;cfg_N,0,M16+IF(M4=cfg_N,M16/$B$20,N62))</f>
        <v/>
      </c>
      <c r="N62" s="61">
        <f>IF(N4&gt;cfg_N,0,N16+IF(N4=cfg_N,N16/$B$20,O62))</f>
        <v/>
      </c>
      <c r="O62" s="61">
        <f>IF(O4&gt;cfg_N,0,O16+IF(O4=cfg_N,O16/$B$20,P62))</f>
        <v/>
      </c>
      <c r="P62" s="61">
        <f>IF(P4&gt;cfg_N,0,P16+IF(P4=cfg_N,P16/$B$20,Q62))</f>
        <v/>
      </c>
      <c r="Q62" s="61">
        <f>IF(Q4&gt;cfg_N,0,Q16+IF(Q4=cfg_N,Q16/$B$20,R62))</f>
        <v/>
      </c>
      <c r="R62" s="61">
        <f>IF(R4&gt;cfg_N,0,R16+IF(R4=cfg_N,R16/$B$20,S62))</f>
        <v/>
      </c>
      <c r="S62" s="61">
        <f>IF(S4&gt;cfg_N,0,S16+IF(S4=cfg_N,S16/$B$20,T62))</f>
        <v/>
      </c>
      <c r="T62" s="61">
        <f>IF(T4&gt;cfg_N,0,T16+IF(T4=cfg_N,T16/$B$20,U62))</f>
        <v/>
      </c>
      <c r="U62" s="61">
        <f>IF(U4&gt;cfg_N,0,U16+IF(U4=cfg_N,U16/$B$20,V62))</f>
        <v/>
      </c>
      <c r="V62" s="61">
        <f>IF(V4&gt;cfg_N,0,V16+IF(V4=cfg_N,V16/$B$20,W62))</f>
        <v/>
      </c>
      <c r="W62" s="61">
        <f>IF(W4&gt;cfg_N,0,W16+IF(W4=cfg_N,W16/$B$20,X62))</f>
        <v/>
      </c>
      <c r="X62" s="61">
        <f>IF(X4&gt;cfg_N,0,X16+IF(X4=cfg_N,X16/$B$20,Y62))</f>
        <v/>
      </c>
      <c r="Y62" s="61">
        <f>IF(Y4&gt;cfg_N,0,Y16+IF(Y4=cfg_N,Y16/$B$20,Z62))</f>
        <v/>
      </c>
      <c r="Z62" s="61">
        <f>IF(Z4&gt;cfg_N,0,Z16+IF(Z4=cfg_N,Z16/$B$20,AA62))</f>
        <v/>
      </c>
      <c r="AA62" s="61">
        <f>IF(AA4&gt;cfg_N,0,AA16+IF(AA4=cfg_N,AA16/$B$20,AB62))</f>
        <v/>
      </c>
      <c r="AB62" s="61">
        <f>IF(AB4&gt;cfg_N,0,AB16+IF(AB4=cfg_N,AB16/$B$20,AC62))</f>
        <v/>
      </c>
      <c r="AC62" s="61">
        <f>IF(AC4&gt;cfg_N,0,AC16+IF(AC4=cfg_N,AC16/$B$20,AD62))</f>
        <v/>
      </c>
      <c r="AD62" s="61">
        <f>IF(AD4&gt;cfg_N,0,AD16+IF(AD4=cfg_N,AD16/$B$20,AE62))</f>
        <v/>
      </c>
      <c r="AE62" s="61">
        <f>IF(AE4&gt;cfg_N,0,AE16+IF(AE4=cfg_N,AE16/$B$20,AF62))</f>
        <v/>
      </c>
      <c r="AF62" s="61">
        <f>IF(AF4&gt;cfg_N,0,AF16+IF(AF4=cfg_N,AF16/$B$20,AG62))</f>
        <v/>
      </c>
    </row>
    <row r="63">
      <c r="A63" s="61" t="inlineStr">
        <is>
          <t xml:space="preserve">  dRI^E_t = AEG(EPS)_t + pi_t*EPS_(t-1) + [rho*E_(t-1)-rho*E_t(1+pi_(t-1))]*BPS_(t-2)   &lt;AEG-TS&gt;</t>
        </is>
      </c>
      <c r="C63" s="61">
        <f>C23+IF(C4=1,0,C56*B7+(B61-C61*(1+B56))*INDEX($B10:C10,MAX(1,C4-1)))</f>
        <v/>
      </c>
      <c r="D63" s="61">
        <f>D23+IF(D4=1,0,D56*C7+(C61-D61*(1+C56))*INDEX($B10:D10,MAX(1,D4-1)))</f>
        <v/>
      </c>
      <c r="E63" s="61">
        <f>E23+IF(E4=1,0,E56*D7+(D61-E61*(1+D56))*INDEX($B10:E10,MAX(1,E4-1)))</f>
        <v/>
      </c>
      <c r="F63" s="61">
        <f>F23+IF(F4=1,0,F56*E7+(E61-F61*(1+E56))*INDEX($B10:F10,MAX(1,F4-1)))</f>
        <v/>
      </c>
      <c r="G63" s="61">
        <f>G23+IF(G4=1,0,G56*F7+(F61-G61*(1+F56))*INDEX($B10:G10,MAX(1,G4-1)))</f>
        <v/>
      </c>
      <c r="H63" s="61">
        <f>H23+IF(H4=1,0,H56*G7+(G61-H61*(1+G56))*INDEX($B10:H10,MAX(1,H4-1)))</f>
        <v/>
      </c>
      <c r="I63" s="61">
        <f>I23+IF(I4=1,0,I56*H7+(H61-I61*(1+H56))*INDEX($B10:I10,MAX(1,I4-1)))</f>
        <v/>
      </c>
      <c r="J63" s="61">
        <f>J23+IF(J4=1,0,J56*I7+(I61-J61*(1+I56))*INDEX($B10:J10,MAX(1,J4-1)))</f>
        <v/>
      </c>
      <c r="K63" s="61">
        <f>K23+IF(K4=1,0,K56*J7+(J61-K61*(1+J56))*INDEX($B10:K10,MAX(1,K4-1)))</f>
        <v/>
      </c>
      <c r="L63" s="61">
        <f>L23+IF(L4=1,0,L56*K7+(K61-L61*(1+K56))*INDEX($B10:L10,MAX(1,L4-1)))</f>
        <v/>
      </c>
      <c r="M63" s="61">
        <f>M23+IF(M4=1,0,M56*L7+(L61-M61*(1+L56))*INDEX($B10:M10,MAX(1,M4-1)))</f>
        <v/>
      </c>
      <c r="N63" s="61">
        <f>N23+IF(N4=1,0,N56*M7+(M61-N61*(1+M56))*INDEX($B10:N10,MAX(1,N4-1)))</f>
        <v/>
      </c>
      <c r="O63" s="61">
        <f>O23+IF(O4=1,0,O56*N7+(N61-O61*(1+N56))*INDEX($B10:O10,MAX(1,O4-1)))</f>
        <v/>
      </c>
      <c r="P63" s="61">
        <f>P23+IF(P4=1,0,P56*O7+(O61-P61*(1+O56))*INDEX($B10:P10,MAX(1,P4-1)))</f>
        <v/>
      </c>
      <c r="Q63" s="61">
        <f>Q23+IF(Q4=1,0,Q56*P7+(P61-Q61*(1+P56))*INDEX($B10:Q10,MAX(1,Q4-1)))</f>
        <v/>
      </c>
      <c r="R63" s="61">
        <f>R23+IF(R4=1,0,R56*Q7+(Q61-R61*(1+Q56))*INDEX($B10:R10,MAX(1,R4-1)))</f>
        <v/>
      </c>
      <c r="S63" s="61">
        <f>S23+IF(S4=1,0,S56*R7+(R61-S61*(1+R56))*INDEX($B10:S10,MAX(1,S4-1)))</f>
        <v/>
      </c>
      <c r="T63" s="61">
        <f>T23+IF(T4=1,0,T56*S7+(S61-T61*(1+S56))*INDEX($B10:T10,MAX(1,T4-1)))</f>
        <v/>
      </c>
      <c r="U63" s="61">
        <f>U23+IF(U4=1,0,U56*T7+(T61-U61*(1+T56))*INDEX($B10:U10,MAX(1,U4-1)))</f>
        <v/>
      </c>
      <c r="V63" s="61">
        <f>V23+IF(V4=1,0,V56*U7+(U61-V61*(1+U56))*INDEX($B10:V10,MAX(1,V4-1)))</f>
        <v/>
      </c>
      <c r="W63" s="61">
        <f>W23+IF(W4=1,0,W56*V7+(V61-W61*(1+V56))*INDEX($B10:W10,MAX(1,W4-1)))</f>
        <v/>
      </c>
      <c r="X63" s="61">
        <f>X23+IF(X4=1,0,X56*W7+(W61-X61*(1+W56))*INDEX($B10:X10,MAX(1,X4-1)))</f>
        <v/>
      </c>
      <c r="Y63" s="61">
        <f>Y23+IF(Y4=1,0,Y56*X7+(X61-Y61*(1+X56))*INDEX($B10:Y10,MAX(1,Y4-1)))</f>
        <v/>
      </c>
      <c r="Z63" s="61">
        <f>Z23+IF(Z4=1,0,Z56*Y7+(Y61-Z61*(1+Y56))*INDEX($B10:Z10,MAX(1,Z4-1)))</f>
        <v/>
      </c>
      <c r="AA63" s="61">
        <f>AA23+IF(AA4=1,0,AA56*Z7+(Z61-AA61*(1+Z56))*INDEX($B10:AA10,MAX(1,AA4-1)))</f>
        <v/>
      </c>
      <c r="AB63" s="61">
        <f>AB23+IF(AB4=1,0,AB56*AA7+(AA61-AB61*(1+AA56))*INDEX($B10:AB10,MAX(1,AB4-1)))</f>
        <v/>
      </c>
      <c r="AC63" s="61">
        <f>AC23+IF(AC4=1,0,AC56*AB7+(AB61-AC61*(1+AB56))*INDEX($B10:AC10,MAX(1,AC4-1)))</f>
        <v/>
      </c>
      <c r="AD63" s="61">
        <f>AD23+IF(AD4=1,0,AD56*AC7+(AC61-AD61*(1+AC56))*INDEX($B10:AD10,MAX(1,AD4-1)))</f>
        <v/>
      </c>
      <c r="AE63" s="61">
        <f>AE23+IF(AE4=1,0,AE56*AD7+(AD61-AE61*(1+AD56))*INDEX($B10:AE10,MAX(1,AE4-1)))</f>
        <v/>
      </c>
      <c r="AF63" s="61">
        <f>AF23+IF(AF4=1,0,AF56*AE7+(AE61-AF61*(1+AE56))*INDEX($B10:AF10,MAX(1,AF4-1)))</f>
        <v/>
      </c>
    </row>
    <row r="64">
      <c r="A64" s="61" t="inlineStr">
        <is>
          <t xml:space="preserve">  rho*D = rhoD(nom) - pi   &lt;AEG-TS&gt;</t>
        </is>
      </c>
      <c r="C64" s="61">
        <f>C6-C56</f>
        <v/>
      </c>
      <c r="D64" s="61">
        <f>D6-D56</f>
        <v/>
      </c>
      <c r="E64" s="61">
        <f>E6-E56</f>
        <v/>
      </c>
      <c r="F64" s="61">
        <f>F6-F56</f>
        <v/>
      </c>
      <c r="G64" s="61">
        <f>G6-G56</f>
        <v/>
      </c>
      <c r="H64" s="61">
        <f>H6-H56</f>
        <v/>
      </c>
      <c r="I64" s="61">
        <f>I6-I56</f>
        <v/>
      </c>
      <c r="J64" s="61">
        <f>J6-J56</f>
        <v/>
      </c>
      <c r="K64" s="61">
        <f>K6-K56</f>
        <v/>
      </c>
      <c r="L64" s="61">
        <f>L6-L56</f>
        <v/>
      </c>
      <c r="M64" s="61">
        <f>M6-M56</f>
        <v/>
      </c>
      <c r="N64" s="61">
        <f>N6-N56</f>
        <v/>
      </c>
      <c r="O64" s="61">
        <f>O6-O56</f>
        <v/>
      </c>
      <c r="P64" s="61">
        <f>P6-P56</f>
        <v/>
      </c>
      <c r="Q64" s="61">
        <f>Q6-Q56</f>
        <v/>
      </c>
      <c r="R64" s="61">
        <f>R6-R56</f>
        <v/>
      </c>
      <c r="S64" s="61">
        <f>S6-S56</f>
        <v/>
      </c>
      <c r="T64" s="61">
        <f>T6-T56</f>
        <v/>
      </c>
      <c r="U64" s="61">
        <f>U6-U56</f>
        <v/>
      </c>
      <c r="V64" s="61">
        <f>V6-V56</f>
        <v/>
      </c>
      <c r="W64" s="61">
        <f>W6-W56</f>
        <v/>
      </c>
      <c r="X64" s="61">
        <f>X6-X56</f>
        <v/>
      </c>
      <c r="Y64" s="61">
        <f>Y6-Y56</f>
        <v/>
      </c>
      <c r="Z64" s="61">
        <f>Z6-Z56</f>
        <v/>
      </c>
      <c r="AA64" s="61">
        <f>AA6-AA56</f>
        <v/>
      </c>
      <c r="AB64" s="61">
        <f>AB6-AB56</f>
        <v/>
      </c>
      <c r="AC64" s="61">
        <f>AC6-AC56</f>
        <v/>
      </c>
      <c r="AD64" s="61">
        <f>AD6-AD56</f>
        <v/>
      </c>
      <c r="AE64" s="61">
        <f>AE6-AE56</f>
        <v/>
      </c>
      <c r="AF64" s="61">
        <f>AF6-AF56</f>
        <v/>
      </c>
    </row>
    <row r="65">
      <c r="A65" s="61" t="inlineStr">
        <is>
          <t xml:space="preserve">  A^D_t = SUM(DF^D_t..DF^D_N) + DF^D_N/rhoD_LR   &lt;AEG-TS&gt;</t>
        </is>
      </c>
      <c r="C65" s="61">
        <f>IF(C4&gt;cfg_N,0,C17+IF(C4=cfg_N,C17/$C$20,D65))</f>
        <v/>
      </c>
      <c r="D65" s="61">
        <f>IF(D4&gt;cfg_N,0,D17+IF(D4=cfg_N,D17/$C$20,E65))</f>
        <v/>
      </c>
      <c r="E65" s="61">
        <f>IF(E4&gt;cfg_N,0,E17+IF(E4=cfg_N,E17/$C$20,F65))</f>
        <v/>
      </c>
      <c r="F65" s="61">
        <f>IF(F4&gt;cfg_N,0,F17+IF(F4=cfg_N,F17/$C$20,G65))</f>
        <v/>
      </c>
      <c r="G65" s="61">
        <f>IF(G4&gt;cfg_N,0,G17+IF(G4=cfg_N,G17/$C$20,H65))</f>
        <v/>
      </c>
      <c r="H65" s="61">
        <f>IF(H4&gt;cfg_N,0,H17+IF(H4=cfg_N,H17/$C$20,I65))</f>
        <v/>
      </c>
      <c r="I65" s="61">
        <f>IF(I4&gt;cfg_N,0,I17+IF(I4=cfg_N,I17/$C$20,J65))</f>
        <v/>
      </c>
      <c r="J65" s="61">
        <f>IF(J4&gt;cfg_N,0,J17+IF(J4=cfg_N,J17/$C$20,K65))</f>
        <v/>
      </c>
      <c r="K65" s="61">
        <f>IF(K4&gt;cfg_N,0,K17+IF(K4=cfg_N,K17/$C$20,L65))</f>
        <v/>
      </c>
      <c r="L65" s="61">
        <f>IF(L4&gt;cfg_N,0,L17+IF(L4=cfg_N,L17/$C$20,M65))</f>
        <v/>
      </c>
      <c r="M65" s="61">
        <f>IF(M4&gt;cfg_N,0,M17+IF(M4=cfg_N,M17/$C$20,N65))</f>
        <v/>
      </c>
      <c r="N65" s="61">
        <f>IF(N4&gt;cfg_N,0,N17+IF(N4=cfg_N,N17/$C$20,O65))</f>
        <v/>
      </c>
      <c r="O65" s="61">
        <f>IF(O4&gt;cfg_N,0,O17+IF(O4=cfg_N,O17/$C$20,P65))</f>
        <v/>
      </c>
      <c r="P65" s="61">
        <f>IF(P4&gt;cfg_N,0,P17+IF(P4=cfg_N,P17/$C$20,Q65))</f>
        <v/>
      </c>
      <c r="Q65" s="61">
        <f>IF(Q4&gt;cfg_N,0,Q17+IF(Q4=cfg_N,Q17/$C$20,R65))</f>
        <v/>
      </c>
      <c r="R65" s="61">
        <f>IF(R4&gt;cfg_N,0,R17+IF(R4=cfg_N,R17/$C$20,S65))</f>
        <v/>
      </c>
      <c r="S65" s="61">
        <f>IF(S4&gt;cfg_N,0,S17+IF(S4=cfg_N,S17/$C$20,T65))</f>
        <v/>
      </c>
      <c r="T65" s="61">
        <f>IF(T4&gt;cfg_N,0,T17+IF(T4=cfg_N,T17/$C$20,U65))</f>
        <v/>
      </c>
      <c r="U65" s="61">
        <f>IF(U4&gt;cfg_N,0,U17+IF(U4=cfg_N,U17/$C$20,V65))</f>
        <v/>
      </c>
      <c r="V65" s="61">
        <f>IF(V4&gt;cfg_N,0,V17+IF(V4=cfg_N,V17/$C$20,W65))</f>
        <v/>
      </c>
      <c r="W65" s="61">
        <f>IF(W4&gt;cfg_N,0,W17+IF(W4=cfg_N,W17/$C$20,X65))</f>
        <v/>
      </c>
      <c r="X65" s="61">
        <f>IF(X4&gt;cfg_N,0,X17+IF(X4=cfg_N,X17/$C$20,Y65))</f>
        <v/>
      </c>
      <c r="Y65" s="61">
        <f>IF(Y4&gt;cfg_N,0,Y17+IF(Y4=cfg_N,Y17/$C$20,Z65))</f>
        <v/>
      </c>
      <c r="Z65" s="61">
        <f>IF(Z4&gt;cfg_N,0,Z17+IF(Z4=cfg_N,Z17/$C$20,AA65))</f>
        <v/>
      </c>
      <c r="AA65" s="61">
        <f>IF(AA4&gt;cfg_N,0,AA17+IF(AA4=cfg_N,AA17/$C$20,AB65))</f>
        <v/>
      </c>
      <c r="AB65" s="61">
        <f>IF(AB4&gt;cfg_N,0,AB17+IF(AB4=cfg_N,AB17/$C$20,AC65))</f>
        <v/>
      </c>
      <c r="AC65" s="61">
        <f>IF(AC4&gt;cfg_N,0,AC17+IF(AC4=cfg_N,AC17/$C$20,AD65))</f>
        <v/>
      </c>
      <c r="AD65" s="61">
        <f>IF(AD4&gt;cfg_N,0,AD17+IF(AD4=cfg_N,AD17/$C$20,AE65))</f>
        <v/>
      </c>
      <c r="AE65" s="61">
        <f>IF(AE4&gt;cfg_N,0,AE17+IF(AE4=cfg_N,AE17/$C$20,AF65))</f>
        <v/>
      </c>
      <c r="AF65" s="61">
        <f>IF(AF4&gt;cfg_N,0,AF17+IF(AF4=cfg_N,AF17/$C$20,AG65))</f>
        <v/>
      </c>
    </row>
    <row r="66">
      <c r="A66" s="61" t="inlineStr">
        <is>
          <t xml:space="preserve">  dRI^D_t = AEG(NFE)_t + pi_t*NFE_(t-1) + [rho*D_(t-1)-rho*D_t(1+pi_(t-1))]*NFO_(t-2)   &lt;AEG-TS&gt;</t>
        </is>
      </c>
      <c r="C66" s="61">
        <f>C27+IF(C4=1,0,C56*B12+(B64-C64*(1+B56))*INDEX($B11:C11,MAX(1,C4-1)))</f>
        <v/>
      </c>
      <c r="D66" s="61">
        <f>D27+IF(D4=1,0,D56*C12+(C64-D64*(1+C56))*INDEX($B11:D11,MAX(1,D4-1)))</f>
        <v/>
      </c>
      <c r="E66" s="61">
        <f>E27+IF(E4=1,0,E56*D12+(D64-E64*(1+D56))*INDEX($B11:E11,MAX(1,E4-1)))</f>
        <v/>
      </c>
      <c r="F66" s="61">
        <f>F27+IF(F4=1,0,F56*E12+(E64-F64*(1+E56))*INDEX($B11:F11,MAX(1,F4-1)))</f>
        <v/>
      </c>
      <c r="G66" s="61">
        <f>G27+IF(G4=1,0,G56*F12+(F64-G64*(1+F56))*INDEX($B11:G11,MAX(1,G4-1)))</f>
        <v/>
      </c>
      <c r="H66" s="61">
        <f>H27+IF(H4=1,0,H56*G12+(G64-H64*(1+G56))*INDEX($B11:H11,MAX(1,H4-1)))</f>
        <v/>
      </c>
      <c r="I66" s="61">
        <f>I27+IF(I4=1,0,I56*H12+(H64-I64*(1+H56))*INDEX($B11:I11,MAX(1,I4-1)))</f>
        <v/>
      </c>
      <c r="J66" s="61">
        <f>J27+IF(J4=1,0,J56*I12+(I64-J64*(1+I56))*INDEX($B11:J11,MAX(1,J4-1)))</f>
        <v/>
      </c>
      <c r="K66" s="61">
        <f>K27+IF(K4=1,0,K56*J12+(J64-K64*(1+J56))*INDEX($B11:K11,MAX(1,K4-1)))</f>
        <v/>
      </c>
      <c r="L66" s="61">
        <f>L27+IF(L4=1,0,L56*K12+(K64-L64*(1+K56))*INDEX($B11:L11,MAX(1,L4-1)))</f>
        <v/>
      </c>
      <c r="M66" s="61">
        <f>M27+IF(M4=1,0,M56*L12+(L64-M64*(1+L56))*INDEX($B11:M11,MAX(1,M4-1)))</f>
        <v/>
      </c>
      <c r="N66" s="61">
        <f>N27+IF(N4=1,0,N56*M12+(M64-N64*(1+M56))*INDEX($B11:N11,MAX(1,N4-1)))</f>
        <v/>
      </c>
      <c r="O66" s="61">
        <f>O27+IF(O4=1,0,O56*N12+(N64-O64*(1+N56))*INDEX($B11:O11,MAX(1,O4-1)))</f>
        <v/>
      </c>
      <c r="P66" s="61">
        <f>P27+IF(P4=1,0,P56*O12+(O64-P64*(1+O56))*INDEX($B11:P11,MAX(1,P4-1)))</f>
        <v/>
      </c>
      <c r="Q66" s="61">
        <f>Q27+IF(Q4=1,0,Q56*P12+(P64-Q64*(1+P56))*INDEX($B11:Q11,MAX(1,Q4-1)))</f>
        <v/>
      </c>
      <c r="R66" s="61">
        <f>R27+IF(R4=1,0,R56*Q12+(Q64-R64*(1+Q56))*INDEX($B11:R11,MAX(1,R4-1)))</f>
        <v/>
      </c>
      <c r="S66" s="61">
        <f>S27+IF(S4=1,0,S56*R12+(R64-S64*(1+R56))*INDEX($B11:S11,MAX(1,S4-1)))</f>
        <v/>
      </c>
      <c r="T66" s="61">
        <f>T27+IF(T4=1,0,T56*S12+(S64-T64*(1+S56))*INDEX($B11:T11,MAX(1,T4-1)))</f>
        <v/>
      </c>
      <c r="U66" s="61">
        <f>U27+IF(U4=1,0,U56*T12+(T64-U64*(1+T56))*INDEX($B11:U11,MAX(1,U4-1)))</f>
        <v/>
      </c>
      <c r="V66" s="61">
        <f>V27+IF(V4=1,0,V56*U12+(U64-V64*(1+U56))*INDEX($B11:V11,MAX(1,V4-1)))</f>
        <v/>
      </c>
      <c r="W66" s="61">
        <f>W27+IF(W4=1,0,W56*V12+(V64-W64*(1+V56))*INDEX($B11:W11,MAX(1,W4-1)))</f>
        <v/>
      </c>
      <c r="X66" s="61">
        <f>X27+IF(X4=1,0,X56*W12+(W64-X64*(1+W56))*INDEX($B11:X11,MAX(1,X4-1)))</f>
        <v/>
      </c>
      <c r="Y66" s="61">
        <f>Y27+IF(Y4=1,0,Y56*X12+(X64-Y64*(1+X56))*INDEX($B11:Y11,MAX(1,Y4-1)))</f>
        <v/>
      </c>
      <c r="Z66" s="61">
        <f>Z27+IF(Z4=1,0,Z56*Y12+(Y64-Z64*(1+Y56))*INDEX($B11:Z11,MAX(1,Z4-1)))</f>
        <v/>
      </c>
      <c r="AA66" s="61">
        <f>AA27+IF(AA4=1,0,AA56*Z12+(Z64-AA64*(1+Z56))*INDEX($B11:AA11,MAX(1,AA4-1)))</f>
        <v/>
      </c>
      <c r="AB66" s="61">
        <f>AB27+IF(AB4=1,0,AB56*AA12+(AA64-AB64*(1+AA56))*INDEX($B11:AB11,MAX(1,AB4-1)))</f>
        <v/>
      </c>
      <c r="AC66" s="61">
        <f>AC27+IF(AC4=1,0,AC56*AB12+(AB64-AC64*(1+AB56))*INDEX($B11:AC11,MAX(1,AC4-1)))</f>
        <v/>
      </c>
      <c r="AD66" s="61">
        <f>AD27+IF(AD4=1,0,AD56*AC12+(AC64-AD64*(1+AC56))*INDEX($B11:AD11,MAX(1,AD4-1)))</f>
        <v/>
      </c>
      <c r="AE66" s="61">
        <f>AE27+IF(AE4=1,0,AE56*AD12+(AD64-AE64*(1+AD56))*INDEX($B11:AE11,MAX(1,AE4-1)))</f>
        <v/>
      </c>
      <c r="AF66" s="61">
        <f>AF27+IF(AF4=1,0,AF56*AE12+(AE64-AF64*(1+AE56))*INDEX($B11:AF11,MAX(1,AF4-1)))</f>
        <v/>
      </c>
    </row>
    <row r="67">
      <c r="A67" s="61" t="inlineStr">
        <is>
          <t xml:space="preserve">  rho*F = rhoF(nom) - pi   &lt;AEG-TS&gt;</t>
        </is>
      </c>
      <c r="C67" s="61">
        <f>C15-C56</f>
        <v/>
      </c>
      <c r="D67" s="61">
        <f>D15-D56</f>
        <v/>
      </c>
      <c r="E67" s="61">
        <f>E15-E56</f>
        <v/>
      </c>
      <c r="F67" s="61">
        <f>F15-F56</f>
        <v/>
      </c>
      <c r="G67" s="61">
        <f>G15-G56</f>
        <v/>
      </c>
      <c r="H67" s="61">
        <f>H15-H56</f>
        <v/>
      </c>
      <c r="I67" s="61">
        <f>I15-I56</f>
        <v/>
      </c>
      <c r="J67" s="61">
        <f>J15-J56</f>
        <v/>
      </c>
      <c r="K67" s="61">
        <f>K15-K56</f>
        <v/>
      </c>
      <c r="L67" s="61">
        <f>L15-L56</f>
        <v/>
      </c>
      <c r="M67" s="61">
        <f>M15-M56</f>
        <v/>
      </c>
      <c r="N67" s="61">
        <f>N15-N56</f>
        <v/>
      </c>
      <c r="O67" s="61">
        <f>O15-O56</f>
        <v/>
      </c>
      <c r="P67" s="61">
        <f>P15-P56</f>
        <v/>
      </c>
      <c r="Q67" s="61">
        <f>Q15-Q56</f>
        <v/>
      </c>
      <c r="R67" s="61">
        <f>R15-R56</f>
        <v/>
      </c>
      <c r="S67" s="61">
        <f>S15-S56</f>
        <v/>
      </c>
      <c r="T67" s="61">
        <f>T15-T56</f>
        <v/>
      </c>
      <c r="U67" s="61">
        <f>U15-U56</f>
        <v/>
      </c>
      <c r="V67" s="61">
        <f>V15-V56</f>
        <v/>
      </c>
      <c r="W67" s="61">
        <f>W15-W56</f>
        <v/>
      </c>
      <c r="X67" s="61">
        <f>X15-X56</f>
        <v/>
      </c>
      <c r="Y67" s="61">
        <f>Y15-Y56</f>
        <v/>
      </c>
      <c r="Z67" s="61">
        <f>Z15-Z56</f>
        <v/>
      </c>
      <c r="AA67" s="61">
        <f>AA15-AA56</f>
        <v/>
      </c>
      <c r="AB67" s="61">
        <f>AB15-AB56</f>
        <v/>
      </c>
      <c r="AC67" s="61">
        <f>AC15-AC56</f>
        <v/>
      </c>
      <c r="AD67" s="61">
        <f>AD15-AD56</f>
        <v/>
      </c>
      <c r="AE67" s="61">
        <f>AE15-AE56</f>
        <v/>
      </c>
      <c r="AF67" s="61">
        <f>AF15-AF56</f>
        <v/>
      </c>
    </row>
    <row r="68">
      <c r="A68" s="61" t="inlineStr">
        <is>
          <t xml:space="preserve">  A^F_t = SUM(DF^F_t..DF^F_N) + DF^F_N/rhoF_LR   &lt;AEG-TS&gt;</t>
        </is>
      </c>
      <c r="C68" s="61">
        <f>IF(C4&gt;cfg_N,0,C18+IF(C4=cfg_N,C18/$D$20,D68))</f>
        <v/>
      </c>
      <c r="D68" s="61">
        <f>IF(D4&gt;cfg_N,0,D18+IF(D4=cfg_N,D18/$D$20,E68))</f>
        <v/>
      </c>
      <c r="E68" s="61">
        <f>IF(E4&gt;cfg_N,0,E18+IF(E4=cfg_N,E18/$D$20,F68))</f>
        <v/>
      </c>
      <c r="F68" s="61">
        <f>IF(F4&gt;cfg_N,0,F18+IF(F4=cfg_N,F18/$D$20,G68))</f>
        <v/>
      </c>
      <c r="G68" s="61">
        <f>IF(G4&gt;cfg_N,0,G18+IF(G4=cfg_N,G18/$D$20,H68))</f>
        <v/>
      </c>
      <c r="H68" s="61">
        <f>IF(H4&gt;cfg_N,0,H18+IF(H4=cfg_N,H18/$D$20,I68))</f>
        <v/>
      </c>
      <c r="I68" s="61">
        <f>IF(I4&gt;cfg_N,0,I18+IF(I4=cfg_N,I18/$D$20,J68))</f>
        <v/>
      </c>
      <c r="J68" s="61">
        <f>IF(J4&gt;cfg_N,0,J18+IF(J4=cfg_N,J18/$D$20,K68))</f>
        <v/>
      </c>
      <c r="K68" s="61">
        <f>IF(K4&gt;cfg_N,0,K18+IF(K4=cfg_N,K18/$D$20,L68))</f>
        <v/>
      </c>
      <c r="L68" s="61">
        <f>IF(L4&gt;cfg_N,0,L18+IF(L4=cfg_N,L18/$D$20,M68))</f>
        <v/>
      </c>
      <c r="M68" s="61">
        <f>IF(M4&gt;cfg_N,0,M18+IF(M4=cfg_N,M18/$D$20,N68))</f>
        <v/>
      </c>
      <c r="N68" s="61">
        <f>IF(N4&gt;cfg_N,0,N18+IF(N4=cfg_N,N18/$D$20,O68))</f>
        <v/>
      </c>
      <c r="O68" s="61">
        <f>IF(O4&gt;cfg_N,0,O18+IF(O4=cfg_N,O18/$D$20,P68))</f>
        <v/>
      </c>
      <c r="P68" s="61">
        <f>IF(P4&gt;cfg_N,0,P18+IF(P4=cfg_N,P18/$D$20,Q68))</f>
        <v/>
      </c>
      <c r="Q68" s="61">
        <f>IF(Q4&gt;cfg_N,0,Q18+IF(Q4=cfg_N,Q18/$D$20,R68))</f>
        <v/>
      </c>
      <c r="R68" s="61">
        <f>IF(R4&gt;cfg_N,0,R18+IF(R4=cfg_N,R18/$D$20,S68))</f>
        <v/>
      </c>
      <c r="S68" s="61">
        <f>IF(S4&gt;cfg_N,0,S18+IF(S4=cfg_N,S18/$D$20,T68))</f>
        <v/>
      </c>
      <c r="T68" s="61">
        <f>IF(T4&gt;cfg_N,0,T18+IF(T4=cfg_N,T18/$D$20,U68))</f>
        <v/>
      </c>
      <c r="U68" s="61">
        <f>IF(U4&gt;cfg_N,0,U18+IF(U4=cfg_N,U18/$D$20,V68))</f>
        <v/>
      </c>
      <c r="V68" s="61">
        <f>IF(V4&gt;cfg_N,0,V18+IF(V4=cfg_N,V18/$D$20,W68))</f>
        <v/>
      </c>
      <c r="W68" s="61">
        <f>IF(W4&gt;cfg_N,0,W18+IF(W4=cfg_N,W18/$D$20,X68))</f>
        <v/>
      </c>
      <c r="X68" s="61">
        <f>IF(X4&gt;cfg_N,0,X18+IF(X4=cfg_N,X18/$D$20,Y68))</f>
        <v/>
      </c>
      <c r="Y68" s="61">
        <f>IF(Y4&gt;cfg_N,0,Y18+IF(Y4=cfg_N,Y18/$D$20,Z68))</f>
        <v/>
      </c>
      <c r="Z68" s="61">
        <f>IF(Z4&gt;cfg_N,0,Z18+IF(Z4=cfg_N,Z18/$D$20,AA68))</f>
        <v/>
      </c>
      <c r="AA68" s="61">
        <f>IF(AA4&gt;cfg_N,0,AA18+IF(AA4=cfg_N,AA18/$D$20,AB68))</f>
        <v/>
      </c>
      <c r="AB68" s="61">
        <f>IF(AB4&gt;cfg_N,0,AB18+IF(AB4=cfg_N,AB18/$D$20,AC68))</f>
        <v/>
      </c>
      <c r="AC68" s="61">
        <f>IF(AC4&gt;cfg_N,0,AC18+IF(AC4=cfg_N,AC18/$D$20,AD68))</f>
        <v/>
      </c>
      <c r="AD68" s="61">
        <f>IF(AD4&gt;cfg_N,0,AD18+IF(AD4=cfg_N,AD18/$D$20,AE68))</f>
        <v/>
      </c>
      <c r="AE68" s="61">
        <f>IF(AE4&gt;cfg_N,0,AE18+IF(AE4=cfg_N,AE18/$D$20,AF68))</f>
        <v/>
      </c>
      <c r="AF68" s="61">
        <f>IF(AF4&gt;cfg_N,0,AF18+IF(AF4=cfg_N,AF18/$D$20,AG68))</f>
        <v/>
      </c>
    </row>
    <row r="69">
      <c r="A69" s="61" t="inlineStr">
        <is>
          <t xml:space="preserve">  dRI^F_t = AEG(OI)_t + pi_t*OI_(t-1) + [rho*F_(t-1)-rho*F_t(1+pi_(t-1))]*NOA_(t-2)   &lt;AEG-TS&gt;</t>
        </is>
      </c>
      <c r="C69" s="61">
        <f>C31+IF(C4=1,0,C56*B13+(B67-C67*(1+B56))*INDEX($B70:C70,MAX(1,C4-1)))</f>
        <v/>
      </c>
      <c r="D69" s="61">
        <f>D31+IF(D4=1,0,D56*C13+(C67-D67*(1+C56))*INDEX($B70:D70,MAX(1,D4-1)))</f>
        <v/>
      </c>
      <c r="E69" s="61">
        <f>E31+IF(E4=1,0,E56*D13+(D67-E67*(1+D56))*INDEX($B70:E70,MAX(1,E4-1)))</f>
        <v/>
      </c>
      <c r="F69" s="61">
        <f>F31+IF(F4=1,0,F56*E13+(E67-F67*(1+E56))*INDEX($B70:F70,MAX(1,F4-1)))</f>
        <v/>
      </c>
      <c r="G69" s="61">
        <f>G31+IF(G4=1,0,G56*F13+(F67-G67*(1+F56))*INDEX($B70:G70,MAX(1,G4-1)))</f>
        <v/>
      </c>
      <c r="H69" s="61">
        <f>H31+IF(H4=1,0,H56*G13+(G67-H67*(1+G56))*INDEX($B70:H70,MAX(1,H4-1)))</f>
        <v/>
      </c>
      <c r="I69" s="61">
        <f>I31+IF(I4=1,0,I56*H13+(H67-I67*(1+H56))*INDEX($B70:I70,MAX(1,I4-1)))</f>
        <v/>
      </c>
      <c r="J69" s="61">
        <f>J31+IF(J4=1,0,J56*I13+(I67-J67*(1+I56))*INDEX($B70:J70,MAX(1,J4-1)))</f>
        <v/>
      </c>
      <c r="K69" s="61">
        <f>K31+IF(K4=1,0,K56*J13+(J67-K67*(1+J56))*INDEX($B70:K70,MAX(1,K4-1)))</f>
        <v/>
      </c>
      <c r="L69" s="61">
        <f>L31+IF(L4=1,0,L56*K13+(K67-L67*(1+K56))*INDEX($B70:L70,MAX(1,L4-1)))</f>
        <v/>
      </c>
      <c r="M69" s="61">
        <f>M31+IF(M4=1,0,M56*L13+(L67-M67*(1+L56))*INDEX($B70:M70,MAX(1,M4-1)))</f>
        <v/>
      </c>
      <c r="N69" s="61">
        <f>N31+IF(N4=1,0,N56*M13+(M67-N67*(1+M56))*INDEX($B70:N70,MAX(1,N4-1)))</f>
        <v/>
      </c>
      <c r="O69" s="61">
        <f>O31+IF(O4=1,0,O56*N13+(N67-O67*(1+N56))*INDEX($B70:O70,MAX(1,O4-1)))</f>
        <v/>
      </c>
      <c r="P69" s="61">
        <f>P31+IF(P4=1,0,P56*O13+(O67-P67*(1+O56))*INDEX($B70:P70,MAX(1,P4-1)))</f>
        <v/>
      </c>
      <c r="Q69" s="61">
        <f>Q31+IF(Q4=1,0,Q56*P13+(P67-Q67*(1+P56))*INDEX($B70:Q70,MAX(1,Q4-1)))</f>
        <v/>
      </c>
      <c r="R69" s="61">
        <f>R31+IF(R4=1,0,R56*Q13+(Q67-R67*(1+Q56))*INDEX($B70:R70,MAX(1,R4-1)))</f>
        <v/>
      </c>
      <c r="S69" s="61">
        <f>S31+IF(S4=1,0,S56*R13+(R67-S67*(1+R56))*INDEX($B70:S70,MAX(1,S4-1)))</f>
        <v/>
      </c>
      <c r="T69" s="61">
        <f>T31+IF(T4=1,0,T56*S13+(S67-T67*(1+S56))*INDEX($B70:T70,MAX(1,T4-1)))</f>
        <v/>
      </c>
      <c r="U69" s="61">
        <f>U31+IF(U4=1,0,U56*T13+(T67-U67*(1+T56))*INDEX($B70:U70,MAX(1,U4-1)))</f>
        <v/>
      </c>
      <c r="V69" s="61">
        <f>V31+IF(V4=1,0,V56*U13+(U67-V67*(1+U56))*INDEX($B70:V70,MAX(1,V4-1)))</f>
        <v/>
      </c>
      <c r="W69" s="61">
        <f>W31+IF(W4=1,0,W56*V13+(V67-W67*(1+V56))*INDEX($B70:W70,MAX(1,W4-1)))</f>
        <v/>
      </c>
      <c r="X69" s="61">
        <f>X31+IF(X4=1,0,X56*W13+(W67-X67*(1+W56))*INDEX($B70:X70,MAX(1,X4-1)))</f>
        <v/>
      </c>
      <c r="Y69" s="61">
        <f>Y31+IF(Y4=1,0,Y56*X13+(X67-Y67*(1+X56))*INDEX($B70:Y70,MAX(1,Y4-1)))</f>
        <v/>
      </c>
      <c r="Z69" s="61">
        <f>Z31+IF(Z4=1,0,Z56*Y13+(Y67-Z67*(1+Y56))*INDEX($B70:Z70,MAX(1,Z4-1)))</f>
        <v/>
      </c>
      <c r="AA69" s="61">
        <f>AA31+IF(AA4=1,0,AA56*Z13+(Z67-AA67*(1+Z56))*INDEX($B70:AA70,MAX(1,AA4-1)))</f>
        <v/>
      </c>
      <c r="AB69" s="61">
        <f>AB31+IF(AB4=1,0,AB56*AA13+(AA67-AB67*(1+AA56))*INDEX($B70:AB70,MAX(1,AB4-1)))</f>
        <v/>
      </c>
      <c r="AC69" s="61">
        <f>AC31+IF(AC4=1,0,AC56*AB13+(AB67-AC67*(1+AB56))*INDEX($B70:AC70,MAX(1,AC4-1)))</f>
        <v/>
      </c>
      <c r="AD69" s="61">
        <f>AD31+IF(AD4=1,0,AD56*AC13+(AC67-AD67*(1+AC56))*INDEX($B70:AD70,MAX(1,AD4-1)))</f>
        <v/>
      </c>
      <c r="AE69" s="61">
        <f>AE31+IF(AE4=1,0,AE56*AD13+(AD67-AE67*(1+AD56))*INDEX($B70:AE70,MAX(1,AE4-1)))</f>
        <v/>
      </c>
      <c r="AF69" s="61">
        <f>AF31+IF(AF4=1,0,AF56*AE13+(AE67-AF67*(1+AE56))*INDEX($B70:AF70,MAX(1,AF4-1)))</f>
        <v/>
      </c>
    </row>
    <row r="70">
      <c r="A70" s="61" t="inlineStr">
        <is>
          <t xml:space="preserve">  NOA/sh = BPS/sh + NFO/sh   [operating stock for the OI leg]   &lt;AEG-TS&gt;</t>
        </is>
      </c>
      <c r="B70" s="61">
        <f>B10+B11</f>
        <v/>
      </c>
      <c r="C70" s="61">
        <f>C10+C11</f>
        <v/>
      </c>
      <c r="D70" s="61">
        <f>D10+D11</f>
        <v/>
      </c>
      <c r="E70" s="61">
        <f>E10+E11</f>
        <v/>
      </c>
      <c r="F70" s="61">
        <f>F10+F11</f>
        <v/>
      </c>
      <c r="G70" s="61">
        <f>G10+G11</f>
        <v/>
      </c>
      <c r="H70" s="61">
        <f>H10+H11</f>
        <v/>
      </c>
      <c r="I70" s="61">
        <f>I10+I11</f>
        <v/>
      </c>
      <c r="J70" s="61">
        <f>J10+J11</f>
        <v/>
      </c>
      <c r="K70" s="61">
        <f>K10+K11</f>
        <v/>
      </c>
      <c r="L70" s="61">
        <f>L10+L11</f>
        <v/>
      </c>
      <c r="M70" s="61">
        <f>M10+M11</f>
        <v/>
      </c>
      <c r="N70" s="61">
        <f>N10+N11</f>
        <v/>
      </c>
      <c r="O70" s="61">
        <f>O10+O11</f>
        <v/>
      </c>
      <c r="P70" s="61">
        <f>P10+P11</f>
        <v/>
      </c>
      <c r="Q70" s="61">
        <f>Q10+Q11</f>
        <v/>
      </c>
      <c r="R70" s="61">
        <f>R10+R11</f>
        <v/>
      </c>
      <c r="S70" s="61">
        <f>S10+S11</f>
        <v/>
      </c>
      <c r="T70" s="61">
        <f>T10+T11</f>
        <v/>
      </c>
      <c r="U70" s="61">
        <f>U10+U11</f>
        <v/>
      </c>
      <c r="V70" s="61">
        <f>V10+V11</f>
        <v/>
      </c>
      <c r="W70" s="61">
        <f>W10+W11</f>
        <v/>
      </c>
      <c r="X70" s="61">
        <f>X10+X11</f>
        <v/>
      </c>
      <c r="Y70" s="61">
        <f>Y10+Y11</f>
        <v/>
      </c>
      <c r="Z70" s="61">
        <f>Z10+Z11</f>
        <v/>
      </c>
      <c r="AA70" s="61">
        <f>AA10+AA11</f>
        <v/>
      </c>
      <c r="AB70" s="61">
        <f>AB10+AB11</f>
        <v/>
      </c>
      <c r="AC70" s="61">
        <f>AC10+AC11</f>
        <v/>
      </c>
      <c r="AD70" s="61">
        <f>AD10+AD11</f>
        <v/>
      </c>
      <c r="AE70" s="61">
        <f>AE10+AE11</f>
        <v/>
      </c>
      <c r="AF70" s="61">
        <f>AF10+AF11</f>
        <v/>
      </c>
    </row>
    <row r="71">
      <c r="A71" s="61" t="inlineStr">
        <is>
          <t xml:space="preserve">  CSE per ANCHOR share (nominal) = fc_cse / anchor_shares0   [Enterprise-mode book basis]   &lt;ENT-FIX&gt;</t>
        </is>
      </c>
      <c r="B71" s="61">
        <f>anchor_real_cse0/anchor_shares0</f>
        <v/>
      </c>
      <c r="C71" s="61">
        <f>INDEX(fc_cse,C4)/anchor_shares0</f>
        <v/>
      </c>
      <c r="D71" s="61">
        <f>INDEX(fc_cse,D4)/anchor_shares0</f>
        <v/>
      </c>
      <c r="E71" s="61">
        <f>INDEX(fc_cse,E4)/anchor_shares0</f>
        <v/>
      </c>
      <c r="F71" s="61">
        <f>INDEX(fc_cse,F4)/anchor_shares0</f>
        <v/>
      </c>
      <c r="G71" s="61">
        <f>INDEX(fc_cse,G4)/anchor_shares0</f>
        <v/>
      </c>
      <c r="H71" s="61">
        <f>INDEX(fc_cse,H4)/anchor_shares0</f>
        <v/>
      </c>
      <c r="I71" s="61">
        <f>INDEX(fc_cse,I4)/anchor_shares0</f>
        <v/>
      </c>
      <c r="J71" s="61">
        <f>INDEX(fc_cse,J4)/anchor_shares0</f>
        <v/>
      </c>
      <c r="K71" s="61">
        <f>INDEX(fc_cse,K4)/anchor_shares0</f>
        <v/>
      </c>
      <c r="L71" s="61">
        <f>INDEX(fc_cse,L4)/anchor_shares0</f>
        <v/>
      </c>
      <c r="M71" s="61">
        <f>INDEX(fc_cse,M4)/anchor_shares0</f>
        <v/>
      </c>
      <c r="N71" s="61">
        <f>INDEX(fc_cse,N4)/anchor_shares0</f>
        <v/>
      </c>
      <c r="O71" s="61">
        <f>INDEX(fc_cse,O4)/anchor_shares0</f>
        <v/>
      </c>
      <c r="P71" s="61">
        <f>INDEX(fc_cse,P4)/anchor_shares0</f>
        <v/>
      </c>
      <c r="Q71" s="61">
        <f>INDEX(fc_cse,Q4)/anchor_shares0</f>
        <v/>
      </c>
      <c r="R71" s="61">
        <f>INDEX(fc_cse,R4)/anchor_shares0</f>
        <v/>
      </c>
      <c r="S71" s="61">
        <f>INDEX(fc_cse,S4)/anchor_shares0</f>
        <v/>
      </c>
      <c r="T71" s="61">
        <f>INDEX(fc_cse,T4)/anchor_shares0</f>
        <v/>
      </c>
      <c r="U71" s="61">
        <f>INDEX(fc_cse,U4)/anchor_shares0</f>
        <v/>
      </c>
      <c r="V71" s="61">
        <f>INDEX(fc_cse,V4)/anchor_shares0</f>
        <v/>
      </c>
      <c r="W71" s="61">
        <f>INDEX(fc_cse,W4)/anchor_shares0</f>
        <v/>
      </c>
      <c r="X71" s="61">
        <f>INDEX(fc_cse,X4)/anchor_shares0</f>
        <v/>
      </c>
      <c r="Y71" s="61">
        <f>INDEX(fc_cse,Y4)/anchor_shares0</f>
        <v/>
      </c>
      <c r="Z71" s="61">
        <f>INDEX(fc_cse,Z4)/anchor_shares0</f>
        <v/>
      </c>
      <c r="AA71" s="61">
        <f>INDEX(fc_cse,AA4)/anchor_shares0</f>
        <v/>
      </c>
      <c r="AB71" s="61">
        <f>INDEX(fc_cse,AB4)/anchor_shares0</f>
        <v/>
      </c>
      <c r="AC71" s="61">
        <f>INDEX(fc_cse,AC4)/anchor_shares0</f>
        <v/>
      </c>
      <c r="AD71" s="61">
        <f>INDEX(fc_cse,AD4)/anchor_shares0</f>
        <v/>
      </c>
      <c r="AE71" s="61">
        <f>INDEX(fc_cse,AE4)/anchor_shares0</f>
        <v/>
      </c>
      <c r="AF71" s="61">
        <f>INDEX(fc_cse,AF4)/anchor_shares0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(NOMINAL forecast; value in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(1+INDEX(finrate_coe,C4))*(1+INDEX(finrate_infl,C4))-1</f>
        <v/>
      </c>
      <c r="D5" s="112">
        <f>(1+INDEX(finrate_coe,D4))*(1+INDEX(finrate_infl,D4))-1</f>
        <v/>
      </c>
      <c r="E5" s="112">
        <f>(1+INDEX(finrate_coe,E4))*(1+INDEX(finrate_infl,E4))-1</f>
        <v/>
      </c>
      <c r="F5" s="112">
        <f>(1+INDEX(finrate_coe,F4))*(1+INDEX(finrate_infl,F4))-1</f>
        <v/>
      </c>
      <c r="G5" s="112">
        <f>(1+INDEX(finrate_coe,G4))*(1+INDEX(finrate_infl,G4))-1</f>
        <v/>
      </c>
      <c r="H5" s="112">
        <f>(1+INDEX(finrate_coe,H4))*(1+INDEX(finrate_infl,H4))-1</f>
        <v/>
      </c>
      <c r="I5" s="112">
        <f>(1+INDEX(finrate_coe,I4))*(1+INDEX(finrate_infl,I4))-1</f>
        <v/>
      </c>
      <c r="J5" s="112">
        <f>(1+INDEX(finrate_coe,J4))*(1+INDEX(finrate_infl,J4))-1</f>
        <v/>
      </c>
      <c r="K5" s="112">
        <f>(1+INDEX(finrate_coe,K4))*(1+INDEX(finrate_infl,K4))-1</f>
        <v/>
      </c>
      <c r="L5" s="112">
        <f>(1+INDEX(finrate_coe,L4))*(1+INDEX(finrate_infl,L4))-1</f>
        <v/>
      </c>
      <c r="M5" s="112">
        <f>(1+INDEX(finrate_coe,M4))*(1+INDEX(finrate_infl,M4))-1</f>
        <v/>
      </c>
      <c r="N5" s="112">
        <f>(1+INDEX(finrate_coe,N4))*(1+INDEX(finrate_infl,N4))-1</f>
        <v/>
      </c>
      <c r="O5" s="112">
        <f>(1+INDEX(finrate_coe,O4))*(1+INDEX(finrate_infl,O4))-1</f>
        <v/>
      </c>
      <c r="P5" s="95">
        <f>(1+INDEX(finrate_coe,P4))*(1+INDEX(finrate_infl,P4))-1</f>
        <v/>
      </c>
      <c r="Q5" s="95">
        <f>(1+INDEX(finrate_coe,Q4))*(1+INDEX(finrate_infl,Q4))-1</f>
        <v/>
      </c>
      <c r="R5" s="95">
        <f>(1+INDEX(finrate_coe,R4))*(1+INDEX(finrate_infl,R4))-1</f>
        <v/>
      </c>
      <c r="S5" s="95">
        <f>(1+INDEX(finrate_coe,S4))*(1+INDEX(finrate_infl,S4))-1</f>
        <v/>
      </c>
      <c r="T5" s="95">
        <f>(1+INDEX(finrate_coe,T4))*(1+INDEX(finrate_infl,T4))-1</f>
        <v/>
      </c>
      <c r="U5" s="95">
        <f>(1+INDEX(finrate_coe,U4))*(1+INDEX(finrate_infl,U4))-1</f>
        <v/>
      </c>
      <c r="V5" s="95">
        <f>(1+INDEX(finrate_coe,V4))*(1+INDEX(finrate_infl,V4))-1</f>
        <v/>
      </c>
      <c r="W5" s="95">
        <f>(1+INDEX(finrate_coe,W4))*(1+INDEX(finrate_infl,W4))-1</f>
        <v/>
      </c>
      <c r="X5" s="95">
        <f>(1+INDEX(finrate_coe,X4))*(1+INDEX(finrate_infl,X4))-1</f>
        <v/>
      </c>
      <c r="Y5" s="95">
        <f>(1+INDEX(finrate_coe,Y4))*(1+INDEX(finrate_infl,Y4))-1</f>
        <v/>
      </c>
      <c r="Z5" s="95">
        <f>(1+INDEX(finrate_coe,Z4))*(1+INDEX(finrate_infl,Z4))-1</f>
        <v/>
      </c>
      <c r="AA5" s="95">
        <f>(1+INDEX(finrate_coe,AA4))*(1+INDEX(finrate_infl,AA4))-1</f>
        <v/>
      </c>
      <c r="AB5" s="95">
        <f>(1+INDEX(finrate_coe,AB4))*(1+INDEX(finrate_infl,AB4))-1</f>
        <v/>
      </c>
      <c r="AC5" s="95">
        <f>(1+INDEX(finrate_coe,AC4))*(1+INDEX(finrate_infl,AC4))-1</f>
        <v/>
      </c>
      <c r="AD5" s="95">
        <f>(1+INDEX(finrate_coe,AD4))*(1+INDEX(finrate_infl,AD4))-1</f>
        <v/>
      </c>
      <c r="AE5" s="95">
        <f>(1+INDEX(finrate_coe,AE4))*(1+INDEX(finrate_infl,AE4))-1</f>
        <v/>
      </c>
      <c r="AF5" s="95">
        <f>(1+INDEX(finrate_coe,AF4))*(1+INDEX(finrate_infl,AF4))-1</f>
        <v/>
      </c>
    </row>
    <row r="6" ht="15" customHeight="1" s="62">
      <c r="A6" s="86" t="inlineStr">
        <is>
          <t>ρD (finrate_cod)</t>
        </is>
      </c>
      <c r="C6" s="112">
        <f>(1+INDEX(finrate_cod,C4))*(1+INDEX(finrate_infl,C4))-1</f>
        <v/>
      </c>
      <c r="D6" s="112">
        <f>(1+INDEX(finrate_cod,D4))*(1+INDEX(finrate_infl,D4))-1</f>
        <v/>
      </c>
      <c r="E6" s="112">
        <f>(1+INDEX(finrate_cod,E4))*(1+INDEX(finrate_infl,E4))-1</f>
        <v/>
      </c>
      <c r="F6" s="112">
        <f>(1+INDEX(finrate_cod,F4))*(1+INDEX(finrate_infl,F4))-1</f>
        <v/>
      </c>
      <c r="G6" s="112">
        <f>(1+INDEX(finrate_cod,G4))*(1+INDEX(finrate_infl,G4))-1</f>
        <v/>
      </c>
      <c r="H6" s="112">
        <f>(1+INDEX(finrate_cod,H4))*(1+INDEX(finrate_infl,H4))-1</f>
        <v/>
      </c>
      <c r="I6" s="112">
        <f>(1+INDEX(finrate_cod,I4))*(1+INDEX(finrate_infl,I4))-1</f>
        <v/>
      </c>
      <c r="J6" s="112">
        <f>(1+INDEX(finrate_cod,J4))*(1+INDEX(finrate_infl,J4))-1</f>
        <v/>
      </c>
      <c r="K6" s="112">
        <f>(1+INDEX(finrate_cod,K4))*(1+INDEX(finrate_infl,K4))-1</f>
        <v/>
      </c>
      <c r="L6" s="112">
        <f>(1+INDEX(finrate_cod,L4))*(1+INDEX(finrate_infl,L4))-1</f>
        <v/>
      </c>
      <c r="M6" s="112">
        <f>(1+INDEX(finrate_cod,M4))*(1+INDEX(finrate_infl,M4))-1</f>
        <v/>
      </c>
      <c r="N6" s="112">
        <f>(1+INDEX(finrate_cod,N4))*(1+INDEX(finrate_infl,N4))-1</f>
        <v/>
      </c>
      <c r="O6" s="112">
        <f>(1+INDEX(finrate_cod,O4))*(1+INDEX(finrate_infl,O4))-1</f>
        <v/>
      </c>
      <c r="P6" s="95">
        <f>(1+INDEX(finrate_cod,P4))*(1+INDEX(finrate_infl,P4))-1</f>
        <v/>
      </c>
      <c r="Q6" s="95">
        <f>(1+INDEX(finrate_cod,Q4))*(1+INDEX(finrate_infl,Q4))-1</f>
        <v/>
      </c>
      <c r="R6" s="95">
        <f>(1+INDEX(finrate_cod,R4))*(1+INDEX(finrate_infl,R4))-1</f>
        <v/>
      </c>
      <c r="S6" s="95">
        <f>(1+INDEX(finrate_cod,S4))*(1+INDEX(finrate_infl,S4))-1</f>
        <v/>
      </c>
      <c r="T6" s="95">
        <f>(1+INDEX(finrate_cod,T4))*(1+INDEX(finrate_infl,T4))-1</f>
        <v/>
      </c>
      <c r="U6" s="95">
        <f>(1+INDEX(finrate_cod,U4))*(1+INDEX(finrate_infl,U4))-1</f>
        <v/>
      </c>
      <c r="V6" s="95">
        <f>(1+INDEX(finrate_cod,V4))*(1+INDEX(finrate_infl,V4))-1</f>
        <v/>
      </c>
      <c r="W6" s="95">
        <f>(1+INDEX(finrate_cod,W4))*(1+INDEX(finrate_infl,W4))-1</f>
        <v/>
      </c>
      <c r="X6" s="95">
        <f>(1+INDEX(finrate_cod,X4))*(1+INDEX(finrate_infl,X4))-1</f>
        <v/>
      </c>
      <c r="Y6" s="95">
        <f>(1+INDEX(finrate_cod,Y4))*(1+INDEX(finrate_infl,Y4))-1</f>
        <v/>
      </c>
      <c r="Z6" s="95">
        <f>(1+INDEX(finrate_cod,Z4))*(1+INDEX(finrate_infl,Z4))-1</f>
        <v/>
      </c>
      <c r="AA6" s="95">
        <f>(1+INDEX(finrate_cod,AA4))*(1+INDEX(finrate_infl,AA4))-1</f>
        <v/>
      </c>
      <c r="AB6" s="95">
        <f>(1+INDEX(finrate_cod,AB4))*(1+INDEX(finrate_infl,AB4))-1</f>
        <v/>
      </c>
      <c r="AC6" s="95">
        <f>(1+INDEX(finrate_cod,AC4))*(1+INDEX(finrate_infl,AC4))-1</f>
        <v/>
      </c>
      <c r="AD6" s="95">
        <f>(1+INDEX(finrate_cod,AD4))*(1+INDEX(finrate_infl,AD4))-1</f>
        <v/>
      </c>
      <c r="AE6" s="95">
        <f>(1+INDEX(finrate_cod,AE4))*(1+INDEX(finrate_infl,AE4))-1</f>
        <v/>
      </c>
      <c r="AF6" s="95">
        <f>(1+INDEX(finrate_cod,AF4))*(1+INDEX(finrate_infl,AF4))-1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IF(cfg_rf_mode="Single",(1+in_rf_single)*(1+INDEX(finrate_infl,C4))-1,(C5+C13*C6)/(1+C13))</f>
        <v/>
      </c>
      <c r="D14" s="112">
        <f>IF(cfg_rf_mode="Single",(1+in_rf_single)*(1+INDEX(finrate_infl,D4))-1,(D5+D13*D6)/(1+D13))</f>
        <v/>
      </c>
      <c r="E14" s="112">
        <f>IF(cfg_rf_mode="Single",(1+in_rf_single)*(1+INDEX(finrate_infl,E4))-1,(E5+E13*E6)/(1+E13))</f>
        <v/>
      </c>
      <c r="F14" s="112">
        <f>IF(cfg_rf_mode="Single",(1+in_rf_single)*(1+INDEX(finrate_infl,F4))-1,(F5+F13*F6)/(1+F13))</f>
        <v/>
      </c>
      <c r="G14" s="112">
        <f>IF(cfg_rf_mode="Single",(1+in_rf_single)*(1+INDEX(finrate_infl,G4))-1,(G5+G13*G6)/(1+G13))</f>
        <v/>
      </c>
      <c r="H14" s="112">
        <f>IF(cfg_rf_mode="Single",(1+in_rf_single)*(1+INDEX(finrate_infl,H4))-1,(H5+H13*H6)/(1+H13))</f>
        <v/>
      </c>
      <c r="I14" s="112">
        <f>IF(cfg_rf_mode="Single",(1+in_rf_single)*(1+INDEX(finrate_infl,I4))-1,(I5+I13*I6)/(1+I13))</f>
        <v/>
      </c>
      <c r="J14" s="112">
        <f>IF(cfg_rf_mode="Single",(1+in_rf_single)*(1+INDEX(finrate_infl,J4))-1,(J5+J13*J6)/(1+J13))</f>
        <v/>
      </c>
      <c r="K14" s="112">
        <f>IF(cfg_rf_mode="Single",(1+in_rf_single)*(1+INDEX(finrate_infl,K4))-1,(K5+K13*K6)/(1+K13))</f>
        <v/>
      </c>
      <c r="L14" s="112">
        <f>IF(cfg_rf_mode="Single",(1+in_rf_single)*(1+INDEX(finrate_infl,L4))-1,(L5+L13*L6)/(1+L13))</f>
        <v/>
      </c>
      <c r="M14" s="112">
        <f>IF(cfg_rf_mode="Single",(1+in_rf_single)*(1+INDEX(finrate_infl,M4))-1,(M5+M13*M6)/(1+M13))</f>
        <v/>
      </c>
      <c r="N14" s="112">
        <f>IF(cfg_rf_mode="Single",(1+in_rf_single)*(1+INDEX(finrate_infl,N4))-1,(N5+N13*N6)/(1+N13))</f>
        <v/>
      </c>
      <c r="O14" s="112">
        <f>IF(cfg_rf_mode="Single",(1+in_rf_single)*(1+INDEX(finrate_infl,O4))-1,(O5+O13*O6)/(1+O13))</f>
        <v/>
      </c>
      <c r="P14" s="86">
        <f>IF(cfg_rf_mode="Single",(1+in_rf_single)*(1+INDEX(finrate_infl,P4))-1,(P5+P13*P6)/(1+P13))</f>
        <v/>
      </c>
      <c r="Q14" s="86">
        <f>IF(cfg_rf_mode="Single",(1+in_rf_single)*(1+INDEX(finrate_infl,Q4))-1,(Q5+Q13*Q6)/(1+Q13))</f>
        <v/>
      </c>
      <c r="R14" s="86">
        <f>IF(cfg_rf_mode="Single",(1+in_rf_single)*(1+INDEX(finrate_infl,R4))-1,(R5+R13*R6)/(1+R13))</f>
        <v/>
      </c>
      <c r="S14" s="86">
        <f>IF(cfg_rf_mode="Single",(1+in_rf_single)*(1+INDEX(finrate_infl,S4))-1,(S5+S13*S6)/(1+S13))</f>
        <v/>
      </c>
      <c r="T14" s="86">
        <f>IF(cfg_rf_mode="Single",(1+in_rf_single)*(1+INDEX(finrate_infl,T4))-1,(T5+T13*T6)/(1+T13))</f>
        <v/>
      </c>
      <c r="U14" s="86">
        <f>IF(cfg_rf_mode="Single",(1+in_rf_single)*(1+INDEX(finrate_infl,U4))-1,(U5+U13*U6)/(1+U13))</f>
        <v/>
      </c>
      <c r="V14" s="86">
        <f>IF(cfg_rf_mode="Single",(1+in_rf_single)*(1+INDEX(finrate_infl,V4))-1,(V5+V13*V6)/(1+V13))</f>
        <v/>
      </c>
      <c r="W14" s="86">
        <f>IF(cfg_rf_mode="Single",(1+in_rf_single)*(1+INDEX(finrate_infl,W4))-1,(W5+W13*W6)/(1+W13))</f>
        <v/>
      </c>
      <c r="X14" s="86">
        <f>IF(cfg_rf_mode="Single",(1+in_rf_single)*(1+INDEX(finrate_infl,X4))-1,(X5+X13*X6)/(1+X13))</f>
        <v/>
      </c>
      <c r="Y14" s="86">
        <f>IF(cfg_rf_mode="Single",(1+in_rf_single)*(1+INDEX(finrate_infl,Y4))-1,(Y5+Y13*Y6)/(1+Y13))</f>
        <v/>
      </c>
      <c r="Z14" s="86">
        <f>IF(cfg_rf_mode="Single",(1+in_rf_single)*(1+INDEX(finrate_infl,Z4))-1,(Z5+Z13*Z6)/(1+Z13))</f>
        <v/>
      </c>
      <c r="AA14" s="86">
        <f>IF(cfg_rf_mode="Single",(1+in_rf_single)*(1+INDEX(finrate_infl,AA4))-1,(AA5+AA13*AA6)/(1+AA13))</f>
        <v/>
      </c>
      <c r="AB14" s="86">
        <f>IF(cfg_rf_mode="Single",(1+in_rf_single)*(1+INDEX(finrate_infl,AB4))-1,(AB5+AB13*AB6)/(1+AB13))</f>
        <v/>
      </c>
      <c r="AC14" s="86">
        <f>IF(cfg_rf_mode="Single",(1+in_rf_single)*(1+INDEX(finrate_infl,AC4))-1,(AC5+AC13*AC6)/(1+AC13))</f>
        <v/>
      </c>
      <c r="AD14" s="86">
        <f>IF(cfg_rf_mode="Single",(1+in_rf_single)*(1+INDEX(finrate_infl,AD4))-1,(AD5+AD13*AD6)/(1+AD13))</f>
        <v/>
      </c>
      <c r="AE14" s="86">
        <f>IF(cfg_rf_mode="Single",(1+in_rf_single)*(1+INDEX(finrate_infl,AE4))-1,(AE5+AE13*AE6)/(1+AE13))</f>
        <v/>
      </c>
      <c r="AF14" s="86">
        <f>IF(cfg_rf_mode="Single",(1+in_rf_single)*(1+INDEX(finrate_infl,AF4))-1,(AF5+AF13*AF6)/(1+AF13))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(C10-(1+INDEX(finrate_infl,C4))*B10)-(C21-C20)</f>
        <v/>
      </c>
      <c r="D22" s="101">
        <f>(D10-(1+INDEX(finrate_infl,D4))*C10)-(D21-D20)</f>
        <v/>
      </c>
      <c r="E22" s="101">
        <f>(E10-(1+INDEX(finrate_infl,E4))*D10)-(E21-E20)</f>
        <v/>
      </c>
      <c r="F22" s="101">
        <f>(F10-(1+INDEX(finrate_infl,F4))*E10)-(F21-F20)</f>
        <v/>
      </c>
      <c r="G22" s="101">
        <f>(G10-(1+INDEX(finrate_infl,G4))*F10)-(G21-G20)</f>
        <v/>
      </c>
      <c r="H22" s="101">
        <f>(H10-(1+INDEX(finrate_infl,H4))*G10)-(H21-H20)</f>
        <v/>
      </c>
      <c r="I22" s="101">
        <f>(I10-(1+INDEX(finrate_infl,I4))*H10)-(I21-I20)</f>
        <v/>
      </c>
      <c r="J22" s="101">
        <f>(J10-(1+INDEX(finrate_infl,J4))*I10)-(J21-J20)</f>
        <v/>
      </c>
      <c r="K22" s="101">
        <f>(K10-(1+INDEX(finrate_infl,K4))*J10)-(K21-K20)</f>
        <v/>
      </c>
      <c r="L22" s="101">
        <f>(L10-(1+INDEX(finrate_infl,L4))*K10)-(L21-L20)</f>
        <v/>
      </c>
      <c r="M22" s="101">
        <f>(M10-(1+INDEX(finrate_infl,M4))*L10)-(M21-M20)</f>
        <v/>
      </c>
      <c r="N22" s="101">
        <f>(N10-(1+INDEX(finrate_infl,N4))*M10)-(N21-N20)</f>
        <v/>
      </c>
      <c r="O22" s="101">
        <f>(O10-(1+INDEX(finrate_infl,O4))*N10)-(O21-O20)</f>
        <v/>
      </c>
      <c r="P22" s="86">
        <f>(P10-(1+INDEX(finrate_infl,P4))*O10)-(P21-P20)</f>
        <v/>
      </c>
      <c r="Q22" s="86">
        <f>(Q10-(1+INDEX(finrate_infl,Q4))*P10)-(Q21-Q20)</f>
        <v/>
      </c>
      <c r="R22" s="86">
        <f>(R10-(1+INDEX(finrate_infl,R4))*Q10)-(R21-R20)</f>
        <v/>
      </c>
      <c r="S22" s="86">
        <f>(S10-(1+INDEX(finrate_infl,S4))*R10)-(S21-S20)</f>
        <v/>
      </c>
      <c r="T22" s="86">
        <f>(T10-(1+INDEX(finrate_infl,T4))*S10)-(T21-T20)</f>
        <v/>
      </c>
      <c r="U22" s="86">
        <f>(U10-(1+INDEX(finrate_infl,U4))*T10)-(U21-U20)</f>
        <v/>
      </c>
      <c r="V22" s="86">
        <f>(V10-(1+INDEX(finrate_infl,V4))*U10)-(V21-V20)</f>
        <v/>
      </c>
      <c r="W22" s="86">
        <f>(W10-(1+INDEX(finrate_infl,W4))*V10)-(W21-W20)</f>
        <v/>
      </c>
      <c r="X22" s="86">
        <f>(X10-(1+INDEX(finrate_infl,X4))*W10)-(X21-X20)</f>
        <v/>
      </c>
      <c r="Y22" s="86">
        <f>(Y10-(1+INDEX(finrate_infl,Y4))*X10)-(Y21-Y20)</f>
        <v/>
      </c>
      <c r="Z22" s="86">
        <f>(Z10-(1+INDEX(finrate_infl,Z4))*Y10)-(Z21-Z20)</f>
        <v/>
      </c>
      <c r="AA22" s="86">
        <f>(AA10-(1+INDEX(finrate_infl,AA4))*Z10)-(AA21-AA20)</f>
        <v/>
      </c>
      <c r="AB22" s="86">
        <f>(AB10-(1+INDEX(finrate_infl,AB4))*AA10)-(AB21-AB20)</f>
        <v/>
      </c>
      <c r="AC22" s="86">
        <f>(AC10-(1+INDEX(finrate_infl,AC4))*AB10)-(AC21-AC20)</f>
        <v/>
      </c>
      <c r="AD22" s="86">
        <f>(AD10-(1+INDEX(finrate_infl,AD4))*AC10)-(AD21-AD20)</f>
        <v/>
      </c>
      <c r="AE22" s="86">
        <f>(AE10-(1+INDEX(finrate_infl,AE4))*AD10)-(AE21-AE20)</f>
        <v/>
      </c>
      <c r="AF22" s="86">
        <f>(AF10-(1+INDEX(finrate_infl,AF4))*AE10)-(AF21-AF20)</f>
        <v/>
      </c>
    </row>
    <row r="23" ht="15" customHeight="1" s="62">
      <c r="A23" s="86" t="inlineStr">
        <is>
          <t>FCFF = OI_at − ΔNOA</t>
        </is>
      </c>
      <c r="C23" s="101">
        <f>C8-(C10-(1+INDEX(finrate_infl,C4))*B10)</f>
        <v/>
      </c>
      <c r="D23" s="101">
        <f>D8-(D10-(1+INDEX(finrate_infl,D4))*C10)</f>
        <v/>
      </c>
      <c r="E23" s="101">
        <f>E8-(E10-(1+INDEX(finrate_infl,E4))*D10)</f>
        <v/>
      </c>
      <c r="F23" s="101">
        <f>F8-(F10-(1+INDEX(finrate_infl,F4))*E10)</f>
        <v/>
      </c>
      <c r="G23" s="101">
        <f>G8-(G10-(1+INDEX(finrate_infl,G4))*F10)</f>
        <v/>
      </c>
      <c r="H23" s="101">
        <f>H8-(H10-(1+INDEX(finrate_infl,H4))*G10)</f>
        <v/>
      </c>
      <c r="I23" s="101">
        <f>I8-(I10-(1+INDEX(finrate_infl,I4))*H10)</f>
        <v/>
      </c>
      <c r="J23" s="101">
        <f>J8-(J10-(1+INDEX(finrate_infl,J4))*I10)</f>
        <v/>
      </c>
      <c r="K23" s="101">
        <f>K8-(K10-(1+INDEX(finrate_infl,K4))*J10)</f>
        <v/>
      </c>
      <c r="L23" s="101">
        <f>L8-(L10-(1+INDEX(finrate_infl,L4))*K10)</f>
        <v/>
      </c>
      <c r="M23" s="101">
        <f>M8-(M10-(1+INDEX(finrate_infl,M4))*L10)</f>
        <v/>
      </c>
      <c r="N23" s="101">
        <f>N8-(N10-(1+INDEX(finrate_infl,N4))*M10)</f>
        <v/>
      </c>
      <c r="O23" s="101">
        <f>O8-(O10-(1+INDEX(finrate_infl,O4))*N10)</f>
        <v/>
      </c>
      <c r="P23" s="86">
        <f>P8-(P10-(1+INDEX(finrate_infl,P4))*O10)</f>
        <v/>
      </c>
      <c r="Q23" s="86">
        <f>Q8-(Q10-(1+INDEX(finrate_infl,Q4))*P10)</f>
        <v/>
      </c>
      <c r="R23" s="86">
        <f>R8-(R10-(1+INDEX(finrate_infl,R4))*Q10)</f>
        <v/>
      </c>
      <c r="S23" s="86">
        <f>S8-(S10-(1+INDEX(finrate_infl,S4))*R10)</f>
        <v/>
      </c>
      <c r="T23" s="86">
        <f>T8-(T10-(1+INDEX(finrate_infl,T4))*S10)</f>
        <v/>
      </c>
      <c r="U23" s="86">
        <f>U8-(U10-(1+INDEX(finrate_infl,U4))*T10)</f>
        <v/>
      </c>
      <c r="V23" s="86">
        <f>V8-(V10-(1+INDEX(finrate_infl,V4))*U10)</f>
        <v/>
      </c>
      <c r="W23" s="86">
        <f>W8-(W10-(1+INDEX(finrate_infl,W4))*V10)</f>
        <v/>
      </c>
      <c r="X23" s="86">
        <f>X8-(X10-(1+INDEX(finrate_infl,X4))*W10)</f>
        <v/>
      </c>
      <c r="Y23" s="86">
        <f>Y8-(Y10-(1+INDEX(finrate_infl,Y4))*X10)</f>
        <v/>
      </c>
      <c r="Z23" s="86">
        <f>Z8-(Z10-(1+INDEX(finrate_infl,Z4))*Y10)</f>
        <v/>
      </c>
      <c r="AA23" s="86">
        <f>AA8-(AA10-(1+INDEX(finrate_infl,AA4))*Z10)</f>
        <v/>
      </c>
      <c r="AB23" s="86">
        <f>AB8-(AB10-(1+INDEX(finrate_infl,AB4))*AA10)</f>
        <v/>
      </c>
      <c r="AC23" s="86">
        <f>AC8-(AC10-(1+INDEX(finrate_infl,AC4))*AB10)</f>
        <v/>
      </c>
      <c r="AD23" s="86">
        <f>AD8-(AD10-(1+INDEX(finrate_infl,AD4))*AC10)</f>
        <v/>
      </c>
      <c r="AE23" s="86">
        <f>AE8-(AE10-(1+INDEX(finrate_infl,AE4))*AD10)</f>
        <v/>
      </c>
      <c r="AF23" s="86">
        <f>AF8-(AF10-(1+INDEX(finrate_infl,AF4))*AE10)</f>
        <v/>
      </c>
    </row>
    <row r="24" ht="15" customHeight="1" s="62">
      <c r="A24" s="86" t="inlineStr">
        <is>
          <t>FCFE = NI − ΔCSE  (net distribution)</t>
        </is>
      </c>
      <c r="C24" s="101">
        <f>C7-(C9-(1+INDEX(finrate_infl,C4))*B9)</f>
        <v/>
      </c>
      <c r="D24" s="101">
        <f>D7-(D9-(1+INDEX(finrate_infl,D4))*C9)</f>
        <v/>
      </c>
      <c r="E24" s="101">
        <f>E7-(E9-(1+INDEX(finrate_infl,E4))*D9)</f>
        <v/>
      </c>
      <c r="F24" s="101">
        <f>F7-(F9-(1+INDEX(finrate_infl,F4))*E9)</f>
        <v/>
      </c>
      <c r="G24" s="101">
        <f>G7-(G9-(1+INDEX(finrate_infl,G4))*F9)</f>
        <v/>
      </c>
      <c r="H24" s="101">
        <f>H7-(H9-(1+INDEX(finrate_infl,H4))*G9)</f>
        <v/>
      </c>
      <c r="I24" s="101">
        <f>I7-(I9-(1+INDEX(finrate_infl,I4))*H9)</f>
        <v/>
      </c>
      <c r="J24" s="101">
        <f>J7-(J9-(1+INDEX(finrate_infl,J4))*I9)</f>
        <v/>
      </c>
      <c r="K24" s="101">
        <f>K7-(K9-(1+INDEX(finrate_infl,K4))*J9)</f>
        <v/>
      </c>
      <c r="L24" s="101">
        <f>L7-(L9-(1+INDEX(finrate_infl,L4))*K9)</f>
        <v/>
      </c>
      <c r="M24" s="101">
        <f>M7-(M9-(1+INDEX(finrate_infl,M4))*L9)</f>
        <v/>
      </c>
      <c r="N24" s="101">
        <f>N7-(N9-(1+INDEX(finrate_infl,N4))*M9)</f>
        <v/>
      </c>
      <c r="O24" s="101">
        <f>O7-(O9-(1+INDEX(finrate_infl,O4))*N9)</f>
        <v/>
      </c>
      <c r="P24" s="86">
        <f>P7-(P9-(1+INDEX(finrate_infl,P4))*O9)</f>
        <v/>
      </c>
      <c r="Q24" s="86">
        <f>Q7-(Q9-(1+INDEX(finrate_infl,Q4))*P9)</f>
        <v/>
      </c>
      <c r="R24" s="86">
        <f>R7-(R9-(1+INDEX(finrate_infl,R4))*Q9)</f>
        <v/>
      </c>
      <c r="S24" s="86">
        <f>S7-(S9-(1+INDEX(finrate_infl,S4))*R9)</f>
        <v/>
      </c>
      <c r="T24" s="86">
        <f>T7-(T9-(1+INDEX(finrate_infl,T4))*S9)</f>
        <v/>
      </c>
      <c r="U24" s="86">
        <f>U7-(U9-(1+INDEX(finrate_infl,U4))*T9)</f>
        <v/>
      </c>
      <c r="V24" s="86">
        <f>V7-(V9-(1+INDEX(finrate_infl,V4))*U9)</f>
        <v/>
      </c>
      <c r="W24" s="86">
        <f>W7-(W9-(1+INDEX(finrate_infl,W4))*V9)</f>
        <v/>
      </c>
      <c r="X24" s="86">
        <f>X7-(X9-(1+INDEX(finrate_infl,X4))*W9)</f>
        <v/>
      </c>
      <c r="Y24" s="86">
        <f>Y7-(Y9-(1+INDEX(finrate_infl,Y4))*X9)</f>
        <v/>
      </c>
      <c r="Z24" s="86">
        <f>Z7-(Z9-(1+INDEX(finrate_infl,Z4))*Y9)</f>
        <v/>
      </c>
      <c r="AA24" s="86">
        <f>AA7-(AA9-(1+INDEX(finrate_infl,AA4))*Z9)</f>
        <v/>
      </c>
      <c r="AB24" s="86">
        <f>AB7-(AB9-(1+INDEX(finrate_infl,AB4))*AA9)</f>
        <v/>
      </c>
      <c r="AC24" s="86">
        <f>AC7-(AC9-(1+INDEX(finrate_infl,AC4))*AB9)</f>
        <v/>
      </c>
      <c r="AD24" s="86">
        <f>AD7-(AD9-(1+INDEX(finrate_infl,AD4))*AC9)</f>
        <v/>
      </c>
      <c r="AE24" s="86">
        <f>AE7-(AE9-(1+INDEX(finrate_infl,AE4))*AD9)</f>
        <v/>
      </c>
      <c r="AF24" s="86">
        <f>AF7-(AF9-(1+INDEX(finrate_infl,AF4))*AE9)</f>
        <v/>
      </c>
    </row>
    <row r="25" ht="15" customHeight="1" s="62">
      <c r="A25" s="86" t="inlineStr">
        <is>
          <t>FCFD = NFE − ΔNFO</t>
        </is>
      </c>
      <c r="C25" s="101">
        <f>C12-(C11-(1+INDEX(finrate_infl,C4))*B11)</f>
        <v/>
      </c>
      <c r="D25" s="101">
        <f>D12-(D11-(1+INDEX(finrate_infl,D4))*C11)</f>
        <v/>
      </c>
      <c r="E25" s="101">
        <f>E12-(E11-(1+INDEX(finrate_infl,E4))*D11)</f>
        <v/>
      </c>
      <c r="F25" s="101">
        <f>F12-(F11-(1+INDEX(finrate_infl,F4))*E11)</f>
        <v/>
      </c>
      <c r="G25" s="101">
        <f>G12-(G11-(1+INDEX(finrate_infl,G4))*F11)</f>
        <v/>
      </c>
      <c r="H25" s="101">
        <f>H12-(H11-(1+INDEX(finrate_infl,H4))*G11)</f>
        <v/>
      </c>
      <c r="I25" s="101">
        <f>I12-(I11-(1+INDEX(finrate_infl,I4))*H11)</f>
        <v/>
      </c>
      <c r="J25" s="101">
        <f>J12-(J11-(1+INDEX(finrate_infl,J4))*I11)</f>
        <v/>
      </c>
      <c r="K25" s="101">
        <f>K12-(K11-(1+INDEX(finrate_infl,K4))*J11)</f>
        <v/>
      </c>
      <c r="L25" s="101">
        <f>L12-(L11-(1+INDEX(finrate_infl,L4))*K11)</f>
        <v/>
      </c>
      <c r="M25" s="101">
        <f>M12-(M11-(1+INDEX(finrate_infl,M4))*L11)</f>
        <v/>
      </c>
      <c r="N25" s="101">
        <f>N12-(N11-(1+INDEX(finrate_infl,N4))*M11)</f>
        <v/>
      </c>
      <c r="O25" s="101">
        <f>O12-(O11-(1+INDEX(finrate_infl,O4))*N11)</f>
        <v/>
      </c>
      <c r="P25" s="86">
        <f>P12-(P11-(1+INDEX(finrate_infl,P4))*O11)</f>
        <v/>
      </c>
      <c r="Q25" s="86">
        <f>Q12-(Q11-(1+INDEX(finrate_infl,Q4))*P11)</f>
        <v/>
      </c>
      <c r="R25" s="86">
        <f>R12-(R11-(1+INDEX(finrate_infl,R4))*Q11)</f>
        <v/>
      </c>
      <c r="S25" s="86">
        <f>S12-(S11-(1+INDEX(finrate_infl,S4))*R11)</f>
        <v/>
      </c>
      <c r="T25" s="86">
        <f>T12-(T11-(1+INDEX(finrate_infl,T4))*S11)</f>
        <v/>
      </c>
      <c r="U25" s="86">
        <f>U12-(U11-(1+INDEX(finrate_infl,U4))*T11)</f>
        <v/>
      </c>
      <c r="V25" s="86">
        <f>V12-(V11-(1+INDEX(finrate_infl,V4))*U11)</f>
        <v/>
      </c>
      <c r="W25" s="86">
        <f>W12-(W11-(1+INDEX(finrate_infl,W4))*V11)</f>
        <v/>
      </c>
      <c r="X25" s="86">
        <f>X12-(X11-(1+INDEX(finrate_infl,X4))*W11)</f>
        <v/>
      </c>
      <c r="Y25" s="86">
        <f>Y12-(Y11-(1+INDEX(finrate_infl,Y4))*X11)</f>
        <v/>
      </c>
      <c r="Z25" s="86">
        <f>Z12-(Z11-(1+INDEX(finrate_infl,Z4))*Y11)</f>
        <v/>
      </c>
      <c r="AA25" s="86">
        <f>AA12-(AA11-(1+INDEX(finrate_infl,AA4))*Z11)</f>
        <v/>
      </c>
      <c r="AB25" s="86">
        <f>AB12-(AB11-(1+INDEX(finrate_infl,AB4))*AA11)</f>
        <v/>
      </c>
      <c r="AC25" s="86">
        <f>AC12-(AC11-(1+INDEX(finrate_infl,AC4))*AB11)</f>
        <v/>
      </c>
      <c r="AD25" s="86">
        <f>AD12-(AD11-(1+INDEX(finrate_infl,AD4))*AC11)</f>
        <v/>
      </c>
      <c r="AE25" s="86">
        <f>AE12-(AE11-(1+INDEX(finrate_infl,AE4))*AD11)</f>
        <v/>
      </c>
      <c r="AF25" s="86">
        <f>AF12-(AF11-(1+INDEX(finrate_infl,AF4))*AE11)</f>
        <v/>
      </c>
    </row>
    <row r="27" ht="15" customHeight="1" s="62">
      <c r="A27" s="86" t="inlineStr">
        <is>
          <t>RI = NI − ρE·CSE(prior)</t>
        </is>
      </c>
      <c r="C27" s="101">
        <f>C7-(C5-INDEX(finrate_infl,C4))*B9</f>
        <v/>
      </c>
      <c r="D27" s="101">
        <f>D7-(D5-INDEX(finrate_infl,D4))*C9</f>
        <v/>
      </c>
      <c r="E27" s="101">
        <f>E7-(E5-INDEX(finrate_infl,E4))*D9</f>
        <v/>
      </c>
      <c r="F27" s="101">
        <f>F7-(F5-INDEX(finrate_infl,F4))*E9</f>
        <v/>
      </c>
      <c r="G27" s="101">
        <f>G7-(G5-INDEX(finrate_infl,G4))*F9</f>
        <v/>
      </c>
      <c r="H27" s="101">
        <f>H7-(H5-INDEX(finrate_infl,H4))*G9</f>
        <v/>
      </c>
      <c r="I27" s="101">
        <f>I7-(I5-INDEX(finrate_infl,I4))*H9</f>
        <v/>
      </c>
      <c r="J27" s="101">
        <f>J7-(J5-INDEX(finrate_infl,J4))*I9</f>
        <v/>
      </c>
      <c r="K27" s="101">
        <f>K7-(K5-INDEX(finrate_infl,K4))*J9</f>
        <v/>
      </c>
      <c r="L27" s="101">
        <f>L7-(L5-INDEX(finrate_infl,L4))*K9</f>
        <v/>
      </c>
      <c r="M27" s="101">
        <f>M7-(M5-INDEX(finrate_infl,M4))*L9</f>
        <v/>
      </c>
      <c r="N27" s="101">
        <f>N7-(N5-INDEX(finrate_infl,N4))*M9</f>
        <v/>
      </c>
      <c r="O27" s="101">
        <f>O7-(O5-INDEX(finrate_infl,O4))*N9</f>
        <v/>
      </c>
      <c r="P27" s="86">
        <f>P7-(P5-INDEX(finrate_infl,P4))*O9</f>
        <v/>
      </c>
      <c r="Q27" s="86">
        <f>Q7-(Q5-INDEX(finrate_infl,Q4))*P9</f>
        <v/>
      </c>
      <c r="R27" s="86">
        <f>R7-(R5-INDEX(finrate_infl,R4))*Q9</f>
        <v/>
      </c>
      <c r="S27" s="86">
        <f>S7-(S5-INDEX(finrate_infl,S4))*R9</f>
        <v/>
      </c>
      <c r="T27" s="86">
        <f>T7-(T5-INDEX(finrate_infl,T4))*S9</f>
        <v/>
      </c>
      <c r="U27" s="86">
        <f>U7-(U5-INDEX(finrate_infl,U4))*T9</f>
        <v/>
      </c>
      <c r="V27" s="86">
        <f>V7-(V5-INDEX(finrate_infl,V4))*U9</f>
        <v/>
      </c>
      <c r="W27" s="86">
        <f>W7-(W5-INDEX(finrate_infl,W4))*V9</f>
        <v/>
      </c>
      <c r="X27" s="86">
        <f>X7-(X5-INDEX(finrate_infl,X4))*W9</f>
        <v/>
      </c>
      <c r="Y27" s="86">
        <f>Y7-(Y5-INDEX(finrate_infl,Y4))*X9</f>
        <v/>
      </c>
      <c r="Z27" s="86">
        <f>Z7-(Z5-INDEX(finrate_infl,Z4))*Y9</f>
        <v/>
      </c>
      <c r="AA27" s="86">
        <f>AA7-(AA5-INDEX(finrate_infl,AA4))*Z9</f>
        <v/>
      </c>
      <c r="AB27" s="86">
        <f>AB7-(AB5-INDEX(finrate_infl,AB4))*AA9</f>
        <v/>
      </c>
      <c r="AC27" s="86">
        <f>AC7-(AC5-INDEX(finrate_infl,AC4))*AB9</f>
        <v/>
      </c>
      <c r="AD27" s="86">
        <f>AD7-(AD5-INDEX(finrate_infl,AD4))*AC9</f>
        <v/>
      </c>
      <c r="AE27" s="86">
        <f>AE7-(AE5-INDEX(finrate_infl,AE4))*AD9</f>
        <v/>
      </c>
      <c r="AF27" s="86">
        <f>AF7-(AF5-INDEX(finrate_infl,AF4))*AE9</f>
        <v/>
      </c>
    </row>
    <row r="28" ht="15" customHeight="1" s="62">
      <c r="A28" s="86" t="inlineStr">
        <is>
          <t>ReOI = OI_at − ρF·NOA(prior)</t>
        </is>
      </c>
      <c r="C28" s="101">
        <f>C8-(C14-INDEX(finrate_infl,C4))*B10</f>
        <v/>
      </c>
      <c r="D28" s="101">
        <f>D8-(D14-INDEX(finrate_infl,D4))*C10</f>
        <v/>
      </c>
      <c r="E28" s="101">
        <f>E8-(E14-INDEX(finrate_infl,E4))*D10</f>
        <v/>
      </c>
      <c r="F28" s="101">
        <f>F8-(F14-INDEX(finrate_infl,F4))*E10</f>
        <v/>
      </c>
      <c r="G28" s="101">
        <f>G8-(G14-INDEX(finrate_infl,G4))*F10</f>
        <v/>
      </c>
      <c r="H28" s="101">
        <f>H8-(H14-INDEX(finrate_infl,H4))*G10</f>
        <v/>
      </c>
      <c r="I28" s="101">
        <f>I8-(I14-INDEX(finrate_infl,I4))*H10</f>
        <v/>
      </c>
      <c r="J28" s="101">
        <f>J8-(J14-INDEX(finrate_infl,J4))*I10</f>
        <v/>
      </c>
      <c r="K28" s="101">
        <f>K8-(K14-INDEX(finrate_infl,K4))*J10</f>
        <v/>
      </c>
      <c r="L28" s="101">
        <f>L8-(L14-INDEX(finrate_infl,L4))*K10</f>
        <v/>
      </c>
      <c r="M28" s="101">
        <f>M8-(M14-INDEX(finrate_infl,M4))*L10</f>
        <v/>
      </c>
      <c r="N28" s="101">
        <f>N8-(N14-INDEX(finrate_infl,N4))*M10</f>
        <v/>
      </c>
      <c r="O28" s="101">
        <f>O8-(O14-INDEX(finrate_infl,O4))*N10</f>
        <v/>
      </c>
      <c r="P28" s="86">
        <f>P8-(P14-INDEX(finrate_infl,P4))*O10</f>
        <v/>
      </c>
      <c r="Q28" s="86">
        <f>Q8-(Q14-INDEX(finrate_infl,Q4))*P10</f>
        <v/>
      </c>
      <c r="R28" s="86">
        <f>R8-(R14-INDEX(finrate_infl,R4))*Q10</f>
        <v/>
      </c>
      <c r="S28" s="86">
        <f>S8-(S14-INDEX(finrate_infl,S4))*R10</f>
        <v/>
      </c>
      <c r="T28" s="86">
        <f>T8-(T14-INDEX(finrate_infl,T4))*S10</f>
        <v/>
      </c>
      <c r="U28" s="86">
        <f>U8-(U14-INDEX(finrate_infl,U4))*T10</f>
        <v/>
      </c>
      <c r="V28" s="86">
        <f>V8-(V14-INDEX(finrate_infl,V4))*U10</f>
        <v/>
      </c>
      <c r="W28" s="86">
        <f>W8-(W14-INDEX(finrate_infl,W4))*V10</f>
        <v/>
      </c>
      <c r="X28" s="86">
        <f>X8-(X14-INDEX(finrate_infl,X4))*W10</f>
        <v/>
      </c>
      <c r="Y28" s="86">
        <f>Y8-(Y14-INDEX(finrate_infl,Y4))*X10</f>
        <v/>
      </c>
      <c r="Z28" s="86">
        <f>Z8-(Z14-INDEX(finrate_infl,Z4))*Y10</f>
        <v/>
      </c>
      <c r="AA28" s="86">
        <f>AA8-(AA14-INDEX(finrate_infl,AA4))*Z10</f>
        <v/>
      </c>
      <c r="AB28" s="86">
        <f>AB8-(AB14-INDEX(finrate_infl,AB4))*AA10</f>
        <v/>
      </c>
      <c r="AC28" s="86">
        <f>AC8-(AC14-INDEX(finrate_infl,AC4))*AB10</f>
        <v/>
      </c>
      <c r="AD28" s="86">
        <f>AD8-(AD14-INDEX(finrate_infl,AD4))*AC10</f>
        <v/>
      </c>
      <c r="AE28" s="86">
        <f>AE8-(AE14-INDEX(finrate_infl,AE4))*AD10</f>
        <v/>
      </c>
      <c r="AF28" s="86">
        <f>AF8-(AF14-INDEX(finrate_infl,AF4))*AE10</f>
        <v/>
      </c>
    </row>
    <row r="29" ht="15" customHeight="1" s="62">
      <c r="A29" s="86" t="inlineStr">
        <is>
          <t>RFD = NFE − ρD·NFO(prior)</t>
        </is>
      </c>
      <c r="C29" s="101">
        <f>C12-(C6-INDEX(finrate_infl,C4))*B11</f>
        <v/>
      </c>
      <c r="D29" s="101">
        <f>D12-(D6-INDEX(finrate_infl,D4))*C11</f>
        <v/>
      </c>
      <c r="E29" s="101">
        <f>E12-(E6-INDEX(finrate_infl,E4))*D11</f>
        <v/>
      </c>
      <c r="F29" s="101">
        <f>F12-(F6-INDEX(finrate_infl,F4))*E11</f>
        <v/>
      </c>
      <c r="G29" s="101">
        <f>G12-(G6-INDEX(finrate_infl,G4))*F11</f>
        <v/>
      </c>
      <c r="H29" s="101">
        <f>H12-(H6-INDEX(finrate_infl,H4))*G11</f>
        <v/>
      </c>
      <c r="I29" s="101">
        <f>I12-(I6-INDEX(finrate_infl,I4))*H11</f>
        <v/>
      </c>
      <c r="J29" s="101">
        <f>J12-(J6-INDEX(finrate_infl,J4))*I11</f>
        <v/>
      </c>
      <c r="K29" s="101">
        <f>K12-(K6-INDEX(finrate_infl,K4))*J11</f>
        <v/>
      </c>
      <c r="L29" s="101">
        <f>L12-(L6-INDEX(finrate_infl,L4))*K11</f>
        <v/>
      </c>
      <c r="M29" s="101">
        <f>M12-(M6-INDEX(finrate_infl,M4))*L11</f>
        <v/>
      </c>
      <c r="N29" s="101">
        <f>N12-(N6-INDEX(finrate_infl,N4))*M11</f>
        <v/>
      </c>
      <c r="O29" s="101">
        <f>O12-(O6-INDEX(finrate_infl,O4))*N11</f>
        <v/>
      </c>
      <c r="P29" s="86">
        <f>P12-(P6-INDEX(finrate_infl,P4))*O11</f>
        <v/>
      </c>
      <c r="Q29" s="86">
        <f>Q12-(Q6-INDEX(finrate_infl,Q4))*P11</f>
        <v/>
      </c>
      <c r="R29" s="86">
        <f>R12-(R6-INDEX(finrate_infl,R4))*Q11</f>
        <v/>
      </c>
      <c r="S29" s="86">
        <f>S12-(S6-INDEX(finrate_infl,S4))*R11</f>
        <v/>
      </c>
      <c r="T29" s="86">
        <f>T12-(T6-INDEX(finrate_infl,T4))*S11</f>
        <v/>
      </c>
      <c r="U29" s="86">
        <f>U12-(U6-INDEX(finrate_infl,U4))*T11</f>
        <v/>
      </c>
      <c r="V29" s="86">
        <f>V12-(V6-INDEX(finrate_infl,V4))*U11</f>
        <v/>
      </c>
      <c r="W29" s="86">
        <f>W12-(W6-INDEX(finrate_infl,W4))*V11</f>
        <v/>
      </c>
      <c r="X29" s="86">
        <f>X12-(X6-INDEX(finrate_infl,X4))*W11</f>
        <v/>
      </c>
      <c r="Y29" s="86">
        <f>Y12-(Y6-INDEX(finrate_infl,Y4))*X11</f>
        <v/>
      </c>
      <c r="Z29" s="86">
        <f>Z12-(Z6-INDEX(finrate_infl,Z4))*Y11</f>
        <v/>
      </c>
      <c r="AA29" s="86">
        <f>AA12-(AA6-INDEX(finrate_infl,AA4))*Z11</f>
        <v/>
      </c>
      <c r="AB29" s="86">
        <f>AB12-(AB6-INDEX(finrate_infl,AB4))*AA11</f>
        <v/>
      </c>
      <c r="AC29" s="86">
        <f>AC12-(AC6-INDEX(finrate_infl,AC4))*AB11</f>
        <v/>
      </c>
      <c r="AD29" s="86">
        <f>AD12-(AD6-INDEX(finrate_infl,AD4))*AC11</f>
        <v/>
      </c>
      <c r="AE29" s="86">
        <f>AE12-(AE6-INDEX(finrate_infl,AE4))*AD11</f>
        <v/>
      </c>
      <c r="AF29" s="86">
        <f>AF12-(AF6-INDEX(finrate_infl,AF4))*AE11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decorative: Equity via FCFF = B37−B36 and B37:=B35+B36, so this is identically B35. Audit B62 therefore repeats B61.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>diagnostic: direct−additive at the BOOK-weighted rhoF. Cannot tie by construction — see row 48 and Audit CHECK 7.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  <row r="48">
      <c r="A48" s="61" t="inlineStr">
        <is>
          <t>★ CHECK 7 SUPPORT — value-weighted enterprise rate. rho_F on row 14 is BOOK-weighted, which makes ReOI identical to RI; the enterprise identity needs VALUE weights.</t>
        </is>
      </c>
    </row>
    <row r="49">
      <c r="A49" s="61" t="inlineStr">
        <is>
          <t>V_E(t) — equity value at end of t  [P5 value-weighted enterprise rate]</t>
        </is>
      </c>
      <c r="B49" s="61">
        <f>B35</f>
        <v/>
      </c>
      <c r="C49" s="61">
        <f>B49*(1+C5)-C24</f>
        <v/>
      </c>
      <c r="D49" s="61">
        <f>C49*(1+D5)-D24</f>
        <v/>
      </c>
      <c r="E49" s="61">
        <f>D49*(1+E5)-E24</f>
        <v/>
      </c>
      <c r="F49" s="61">
        <f>E49*(1+F5)-F24</f>
        <v/>
      </c>
      <c r="G49" s="61">
        <f>F49*(1+G5)-G24</f>
        <v/>
      </c>
      <c r="H49" s="61">
        <f>G49*(1+H5)-H24</f>
        <v/>
      </c>
      <c r="I49" s="61">
        <f>H49*(1+I5)-I24</f>
        <v/>
      </c>
      <c r="J49" s="61">
        <f>I49*(1+J5)-J24</f>
        <v/>
      </c>
      <c r="K49" s="61">
        <f>J49*(1+K5)-K24</f>
        <v/>
      </c>
      <c r="L49" s="61">
        <f>K49*(1+L5)-L24</f>
        <v/>
      </c>
      <c r="M49" s="61">
        <f>L49*(1+M5)-M24</f>
        <v/>
      </c>
      <c r="N49" s="61">
        <f>M49*(1+N5)-N24</f>
        <v/>
      </c>
      <c r="O49" s="61">
        <f>N49*(1+O5)-O24</f>
        <v/>
      </c>
      <c r="P49" s="61">
        <f>O49*(1+P5)-P24</f>
        <v/>
      </c>
      <c r="Q49" s="61">
        <f>P49*(1+Q5)-Q24</f>
        <v/>
      </c>
      <c r="R49" s="61">
        <f>Q49*(1+R5)-R24</f>
        <v/>
      </c>
      <c r="S49" s="61">
        <f>R49*(1+S5)-S24</f>
        <v/>
      </c>
      <c r="T49" s="61">
        <f>S49*(1+T5)-T24</f>
        <v/>
      </c>
      <c r="U49" s="61">
        <f>T49*(1+U5)-U24</f>
        <v/>
      </c>
      <c r="V49" s="61">
        <f>U49*(1+V5)-V24</f>
        <v/>
      </c>
      <c r="W49" s="61">
        <f>V49*(1+W5)-W24</f>
        <v/>
      </c>
      <c r="X49" s="61">
        <f>W49*(1+X5)-X24</f>
        <v/>
      </c>
      <c r="Y49" s="61">
        <f>X49*(1+Y5)-Y24</f>
        <v/>
      </c>
      <c r="Z49" s="61">
        <f>Y49*(1+Z5)-Z24</f>
        <v/>
      </c>
      <c r="AA49" s="61">
        <f>Z49*(1+AA5)-AA24</f>
        <v/>
      </c>
      <c r="AB49" s="61">
        <f>AA49*(1+AB5)-AB24</f>
        <v/>
      </c>
      <c r="AC49" s="61">
        <f>AB49*(1+AC5)-AC24</f>
        <v/>
      </c>
      <c r="AD49" s="61">
        <f>AC49*(1+AD5)-AD24</f>
        <v/>
      </c>
      <c r="AE49" s="61">
        <f>AD49*(1+AE5)-AE24</f>
        <v/>
      </c>
      <c r="AF49" s="61">
        <f>AE49*(1+AF5)-AF24</f>
        <v/>
      </c>
    </row>
    <row r="50">
      <c r="A50" s="61" t="inlineStr">
        <is>
          <t>V_D(t) — debt value at end of t</t>
        </is>
      </c>
      <c r="B50" s="61">
        <f>B36</f>
        <v/>
      </c>
      <c r="C50" s="61">
        <f>B50*(1+C6)-C25</f>
        <v/>
      </c>
      <c r="D50" s="61">
        <f>C50*(1+D6)-D25</f>
        <v/>
      </c>
      <c r="E50" s="61">
        <f>D50*(1+E6)-E25</f>
        <v/>
      </c>
      <c r="F50" s="61">
        <f>E50*(1+F6)-F25</f>
        <v/>
      </c>
      <c r="G50" s="61">
        <f>F50*(1+G6)-G25</f>
        <v/>
      </c>
      <c r="H50" s="61">
        <f>G50*(1+H6)-H25</f>
        <v/>
      </c>
      <c r="I50" s="61">
        <f>H50*(1+I6)-I25</f>
        <v/>
      </c>
      <c r="J50" s="61">
        <f>I50*(1+J6)-J25</f>
        <v/>
      </c>
      <c r="K50" s="61">
        <f>J50*(1+K6)-K25</f>
        <v/>
      </c>
      <c r="L50" s="61">
        <f>K50*(1+L6)-L25</f>
        <v/>
      </c>
      <c r="M50" s="61">
        <f>L50*(1+M6)-M25</f>
        <v/>
      </c>
      <c r="N50" s="61">
        <f>M50*(1+N6)-N25</f>
        <v/>
      </c>
      <c r="O50" s="61">
        <f>N50*(1+O6)-O25</f>
        <v/>
      </c>
      <c r="P50" s="61">
        <f>O50*(1+P6)-P25</f>
        <v/>
      </c>
      <c r="Q50" s="61">
        <f>P50*(1+Q6)-Q25</f>
        <v/>
      </c>
      <c r="R50" s="61">
        <f>Q50*(1+R6)-R25</f>
        <v/>
      </c>
      <c r="S50" s="61">
        <f>R50*(1+S6)-S25</f>
        <v/>
      </c>
      <c r="T50" s="61">
        <f>S50*(1+T6)-T25</f>
        <v/>
      </c>
      <c r="U50" s="61">
        <f>T50*(1+U6)-U25</f>
        <v/>
      </c>
      <c r="V50" s="61">
        <f>U50*(1+V6)-V25</f>
        <v/>
      </c>
      <c r="W50" s="61">
        <f>V50*(1+W6)-W25</f>
        <v/>
      </c>
      <c r="X50" s="61">
        <f>W50*(1+X6)-X25</f>
        <v/>
      </c>
      <c r="Y50" s="61">
        <f>X50*(1+Y6)-Y25</f>
        <v/>
      </c>
      <c r="Z50" s="61">
        <f>Y50*(1+Z6)-Z25</f>
        <v/>
      </c>
      <c r="AA50" s="61">
        <f>Z50*(1+AA6)-AA25</f>
        <v/>
      </c>
      <c r="AB50" s="61">
        <f>AA50*(1+AB6)-AB25</f>
        <v/>
      </c>
      <c r="AC50" s="61">
        <f>AB50*(1+AC6)-AC25</f>
        <v/>
      </c>
      <c r="AD50" s="61">
        <f>AC50*(1+AD6)-AD25</f>
        <v/>
      </c>
      <c r="AE50" s="61">
        <f>AD50*(1+AE6)-AE25</f>
        <v/>
      </c>
      <c r="AF50" s="61">
        <f>AE50*(1+AF6)-AF25</f>
        <v/>
      </c>
    </row>
    <row r="51">
      <c r="A51" s="61" t="inlineStr">
        <is>
          <t>rho_F*(t) — VALUE-weighted = (rhoE*V_E + rhoD*V_D)/(V_E+V_D), lagged</t>
        </is>
      </c>
      <c r="C51" s="61">
        <f>IF((B49+B50)=0,0,(C5*B49+C6*B50)/(B49+B50))</f>
        <v/>
      </c>
      <c r="D51" s="61">
        <f>IF((C49+C50)=0,0,(D5*C49+D6*C50)/(C49+C50))</f>
        <v/>
      </c>
      <c r="E51" s="61">
        <f>IF((D49+D50)=0,0,(E5*D49+E6*D50)/(D49+D50))</f>
        <v/>
      </c>
      <c r="F51" s="61">
        <f>IF((E49+E50)=0,0,(F5*E49+F6*E50)/(E49+E50))</f>
        <v/>
      </c>
      <c r="G51" s="61">
        <f>IF((F49+F50)=0,0,(G5*F49+G6*F50)/(F49+F50))</f>
        <v/>
      </c>
      <c r="H51" s="61">
        <f>IF((G49+G50)=0,0,(H5*G49+H6*G50)/(G49+G50))</f>
        <v/>
      </c>
      <c r="I51" s="61">
        <f>IF((H49+H50)=0,0,(I5*H49+I6*H50)/(H49+H50))</f>
        <v/>
      </c>
      <c r="J51" s="61">
        <f>IF((I49+I50)=0,0,(J5*I49+J6*I50)/(I49+I50))</f>
        <v/>
      </c>
      <c r="K51" s="61">
        <f>IF((J49+J50)=0,0,(K5*J49+K6*J50)/(J49+J50))</f>
        <v/>
      </c>
      <c r="L51" s="61">
        <f>IF((K49+K50)=0,0,(L5*K49+L6*K50)/(K49+K50))</f>
        <v/>
      </c>
      <c r="M51" s="61">
        <f>IF((L49+L50)=0,0,(M5*L49+M6*L50)/(L49+L50))</f>
        <v/>
      </c>
      <c r="N51" s="61">
        <f>IF((M49+M50)=0,0,(N5*M49+N6*M50)/(M49+M50))</f>
        <v/>
      </c>
      <c r="O51" s="61">
        <f>IF((N49+N50)=0,0,(O5*N49+O6*N50)/(N49+N50))</f>
        <v/>
      </c>
      <c r="P51" s="61">
        <f>IF((O49+O50)=0,0,(P5*O49+P6*O50)/(O49+O50))</f>
        <v/>
      </c>
      <c r="Q51" s="61">
        <f>IF((P49+P50)=0,0,(Q5*P49+Q6*P50)/(P49+P50))</f>
        <v/>
      </c>
      <c r="R51" s="61">
        <f>IF((Q49+Q50)=0,0,(R5*Q49+R6*Q50)/(Q49+Q50))</f>
        <v/>
      </c>
      <c r="S51" s="61">
        <f>IF((R49+R50)=0,0,(S5*R49+S6*R50)/(R49+R50))</f>
        <v/>
      </c>
      <c r="T51" s="61">
        <f>IF((S49+S50)=0,0,(T5*S49+T6*S50)/(S49+S50))</f>
        <v/>
      </c>
      <c r="U51" s="61">
        <f>IF((T49+T50)=0,0,(U5*T49+U6*T50)/(T49+T50))</f>
        <v/>
      </c>
      <c r="V51" s="61">
        <f>IF((U49+U50)=0,0,(V5*U49+V6*U50)/(U49+U50))</f>
        <v/>
      </c>
      <c r="W51" s="61">
        <f>IF((V49+V50)=0,0,(W5*V49+W6*V50)/(V49+V50))</f>
        <v/>
      </c>
      <c r="X51" s="61">
        <f>IF((W49+W50)=0,0,(X5*W49+X6*W50)/(W49+W50))</f>
        <v/>
      </c>
      <c r="Y51" s="61">
        <f>IF((X49+X50)=0,0,(Y5*X49+Y6*X50)/(X49+X50))</f>
        <v/>
      </c>
      <c r="Z51" s="61">
        <f>IF((Y49+Y50)=0,0,(Z5*Y49+Z6*Y50)/(Y49+Y50))</f>
        <v/>
      </c>
      <c r="AA51" s="61">
        <f>IF((Z49+Z50)=0,0,(AA5*Z49+AA6*Z50)/(Z49+Z50))</f>
        <v/>
      </c>
      <c r="AB51" s="61">
        <f>IF((AA49+AA50)=0,0,(AB5*AA49+AB6*AA50)/(AA49+AA50))</f>
        <v/>
      </c>
      <c r="AC51" s="61">
        <f>IF((AB49+AB50)=0,0,(AC5*AB49+AC6*AB50)/(AB49+AB50))</f>
        <v/>
      </c>
      <c r="AD51" s="61">
        <f>IF((AC49+AC50)=0,0,(AD5*AC49+AD6*AC50)/(AC49+AC50))</f>
        <v/>
      </c>
      <c r="AE51" s="61">
        <f>IF((AD49+AD50)=0,0,(AE5*AD49+AE6*AD50)/(AD49+AD50))</f>
        <v/>
      </c>
      <c r="AF51" s="61">
        <f>IF((AE49+AE50)=0,0,(AF5*AE49+AF6*AE50)/(AE49+AE50))</f>
        <v/>
      </c>
    </row>
    <row r="52">
      <c r="A52" s="61" t="inlineStr">
        <is>
          <t>DF^F*(t) cumulative at rho_F*</t>
        </is>
      </c>
      <c r="B52" s="61" t="n">
        <v>1</v>
      </c>
      <c r="C52" s="61">
        <f>B52/(1+C51)</f>
        <v/>
      </c>
      <c r="D52" s="61">
        <f>C52/(1+D51)</f>
        <v/>
      </c>
      <c r="E52" s="61">
        <f>D52/(1+E51)</f>
        <v/>
      </c>
      <c r="F52" s="61">
        <f>E52/(1+F51)</f>
        <v/>
      </c>
      <c r="G52" s="61">
        <f>F52/(1+G51)</f>
        <v/>
      </c>
      <c r="H52" s="61">
        <f>G52/(1+H51)</f>
        <v/>
      </c>
      <c r="I52" s="61">
        <f>H52/(1+I51)</f>
        <v/>
      </c>
      <c r="J52" s="61">
        <f>I52/(1+J51)</f>
        <v/>
      </c>
      <c r="K52" s="61">
        <f>J52/(1+K51)</f>
        <v/>
      </c>
      <c r="L52" s="61">
        <f>K52/(1+L51)</f>
        <v/>
      </c>
      <c r="M52" s="61">
        <f>L52/(1+M51)</f>
        <v/>
      </c>
      <c r="N52" s="61">
        <f>M52/(1+N51)</f>
        <v/>
      </c>
      <c r="O52" s="61">
        <f>N52/(1+O51)</f>
        <v/>
      </c>
      <c r="P52" s="61">
        <f>O52/(1+P51)</f>
        <v/>
      </c>
      <c r="Q52" s="61">
        <f>P52/(1+Q51)</f>
        <v/>
      </c>
      <c r="R52" s="61">
        <f>Q52/(1+R51)</f>
        <v/>
      </c>
      <c r="S52" s="61">
        <f>R52/(1+S51)</f>
        <v/>
      </c>
      <c r="T52" s="61">
        <f>S52/(1+T51)</f>
        <v/>
      </c>
      <c r="U52" s="61">
        <f>T52/(1+U51)</f>
        <v/>
      </c>
      <c r="V52" s="61">
        <f>U52/(1+V51)</f>
        <v/>
      </c>
      <c r="W52" s="61">
        <f>V52/(1+W51)</f>
        <v/>
      </c>
      <c r="X52" s="61">
        <f>W52/(1+X51)</f>
        <v/>
      </c>
      <c r="Y52" s="61">
        <f>X52/(1+Y51)</f>
        <v/>
      </c>
      <c r="Z52" s="61">
        <f>Y52/(1+Z51)</f>
        <v/>
      </c>
      <c r="AA52" s="61">
        <f>Z52/(1+AA51)</f>
        <v/>
      </c>
      <c r="AB52" s="61">
        <f>AA52/(1+AB51)</f>
        <v/>
      </c>
      <c r="AC52" s="61">
        <f>AB52/(1+AC51)</f>
        <v/>
      </c>
      <c r="AD52" s="61">
        <f>AC52/(1+AD51)</f>
        <v/>
      </c>
      <c r="AE52" s="61">
        <f>AD52/(1+AE51)</f>
        <v/>
      </c>
      <c r="AF52" s="61">
        <f>AE52/(1+AF51)</f>
        <v/>
      </c>
    </row>
    <row r="53">
      <c r="A53" s="61" t="inlineStr">
        <is>
          <t>ReOI*(t) = OI_at − (rho_F*(t) − pi_t)*NOA(t−1)   [Stage A: the capital charge is at the REAL rate, because the NOA roll is NOA_t = (1+pi)*NOA_(t−1) + OI_at − FCFF]</t>
        </is>
      </c>
      <c r="C53" s="61">
        <f>C8-(C51-INDEX(finrate_infl,C4))*B10</f>
        <v/>
      </c>
      <c r="D53" s="61">
        <f>D8-(D51-INDEX(finrate_infl,D4))*C10</f>
        <v/>
      </c>
      <c r="E53" s="61">
        <f>E8-(E51-INDEX(finrate_infl,E4))*D10</f>
        <v/>
      </c>
      <c r="F53" s="61">
        <f>F8-(F51-INDEX(finrate_infl,F4))*E10</f>
        <v/>
      </c>
      <c r="G53" s="61">
        <f>G8-(G51-INDEX(finrate_infl,G4))*F10</f>
        <v/>
      </c>
      <c r="H53" s="61">
        <f>H8-(H51-INDEX(finrate_infl,H4))*G10</f>
        <v/>
      </c>
      <c r="I53" s="61">
        <f>I8-(I51-INDEX(finrate_infl,I4))*H10</f>
        <v/>
      </c>
      <c r="J53" s="61">
        <f>J8-(J51-INDEX(finrate_infl,J4))*I10</f>
        <v/>
      </c>
      <c r="K53" s="61">
        <f>K8-(K51-INDEX(finrate_infl,K4))*J10</f>
        <v/>
      </c>
      <c r="L53" s="61">
        <f>L8-(L51-INDEX(finrate_infl,L4))*K10</f>
        <v/>
      </c>
      <c r="M53" s="61">
        <f>M8-(M51-INDEX(finrate_infl,M4))*L10</f>
        <v/>
      </c>
      <c r="N53" s="61">
        <f>N8-(N51-INDEX(finrate_infl,N4))*M10</f>
        <v/>
      </c>
      <c r="O53" s="61">
        <f>O8-(O51-INDEX(finrate_infl,O4))*N10</f>
        <v/>
      </c>
      <c r="P53" s="61">
        <f>P8-(P51-INDEX(finrate_infl,P4))*O10</f>
        <v/>
      </c>
      <c r="Q53" s="61">
        <f>Q8-(Q51-INDEX(finrate_infl,Q4))*P10</f>
        <v/>
      </c>
      <c r="R53" s="61">
        <f>R8-(R51-INDEX(finrate_infl,R4))*Q10</f>
        <v/>
      </c>
      <c r="S53" s="61">
        <f>S8-(S51-INDEX(finrate_infl,S4))*R10</f>
        <v/>
      </c>
      <c r="T53" s="61">
        <f>T8-(T51-INDEX(finrate_infl,T4))*S10</f>
        <v/>
      </c>
      <c r="U53" s="61">
        <f>U8-(U51-INDEX(finrate_infl,U4))*T10</f>
        <v/>
      </c>
      <c r="V53" s="61">
        <f>V8-(V51-INDEX(finrate_infl,V4))*U10</f>
        <v/>
      </c>
      <c r="W53" s="61">
        <f>W8-(W51-INDEX(finrate_infl,W4))*V10</f>
        <v/>
      </c>
      <c r="X53" s="61">
        <f>X8-(X51-INDEX(finrate_infl,X4))*W10</f>
        <v/>
      </c>
      <c r="Y53" s="61">
        <f>Y8-(Y51-INDEX(finrate_infl,Y4))*X10</f>
        <v/>
      </c>
      <c r="Z53" s="61">
        <f>Z8-(Z51-INDEX(finrate_infl,Z4))*Y10</f>
        <v/>
      </c>
      <c r="AA53" s="61">
        <f>AA8-(AA51-INDEX(finrate_infl,AA4))*Z10</f>
        <v/>
      </c>
      <c r="AB53" s="61">
        <f>AB8-(AB51-INDEX(finrate_infl,AB4))*AA10</f>
        <v/>
      </c>
      <c r="AC53" s="61">
        <f>AC8-(AC51-INDEX(finrate_infl,AC4))*AB10</f>
        <v/>
      </c>
      <c r="AD53" s="61">
        <f>AD8-(AD51-INDEX(finrate_infl,AD4))*AC10</f>
        <v/>
      </c>
      <c r="AE53" s="61">
        <f>AE8-(AE51-INDEX(finrate_infl,AE4))*AD10</f>
        <v/>
      </c>
      <c r="AF53" s="61">
        <f>AF8-(AF51-INDEX(finrate_infl,AF4))*AE10</f>
        <v/>
      </c>
    </row>
    <row r="54">
      <c r="A54" s="61" t="inlineStr">
        <is>
          <t>PV(ReOI*) [t&lt;=N]</t>
        </is>
      </c>
      <c r="C54" s="61">
        <f>IF(C4&lt;=cfg_N,C53*C52,0)</f>
        <v/>
      </c>
      <c r="D54" s="61">
        <f>IF(D4&lt;=cfg_N,D53*D52,0)</f>
        <v/>
      </c>
      <c r="E54" s="61">
        <f>IF(E4&lt;=cfg_N,E53*E52,0)</f>
        <v/>
      </c>
      <c r="F54" s="61">
        <f>IF(F4&lt;=cfg_N,F53*F52,0)</f>
        <v/>
      </c>
      <c r="G54" s="61">
        <f>IF(G4&lt;=cfg_N,G53*G52,0)</f>
        <v/>
      </c>
      <c r="H54" s="61">
        <f>IF(H4&lt;=cfg_N,H53*H52,0)</f>
        <v/>
      </c>
      <c r="I54" s="61">
        <f>IF(I4&lt;=cfg_N,I53*I52,0)</f>
        <v/>
      </c>
      <c r="J54" s="61">
        <f>IF(J4&lt;=cfg_N,J53*J52,0)</f>
        <v/>
      </c>
      <c r="K54" s="61">
        <f>IF(K4&lt;=cfg_N,K53*K52,0)</f>
        <v/>
      </c>
      <c r="L54" s="61">
        <f>IF(L4&lt;=cfg_N,L53*L52,0)</f>
        <v/>
      </c>
      <c r="M54" s="61">
        <f>IF(M4&lt;=cfg_N,M53*M52,0)</f>
        <v/>
      </c>
      <c r="N54" s="61">
        <f>IF(N4&lt;=cfg_N,N53*N52,0)</f>
        <v/>
      </c>
      <c r="O54" s="61">
        <f>IF(O4&lt;=cfg_N,O53*O52,0)</f>
        <v/>
      </c>
      <c r="P54" s="61">
        <f>IF(P4&lt;=cfg_N,P53*P52,0)</f>
        <v/>
      </c>
      <c r="Q54" s="61">
        <f>IF(Q4&lt;=cfg_N,Q53*Q52,0)</f>
        <v/>
      </c>
      <c r="R54" s="61">
        <f>IF(R4&lt;=cfg_N,R53*R52,0)</f>
        <v/>
      </c>
      <c r="S54" s="61">
        <f>IF(S4&lt;=cfg_N,S53*S52,0)</f>
        <v/>
      </c>
      <c r="T54" s="61">
        <f>IF(T4&lt;=cfg_N,T53*T52,0)</f>
        <v/>
      </c>
      <c r="U54" s="61">
        <f>IF(U4&lt;=cfg_N,U53*U52,0)</f>
        <v/>
      </c>
      <c r="V54" s="61">
        <f>IF(V4&lt;=cfg_N,V53*V52,0)</f>
        <v/>
      </c>
      <c r="W54" s="61">
        <f>IF(W4&lt;=cfg_N,W53*W52,0)</f>
        <v/>
      </c>
      <c r="X54" s="61">
        <f>IF(X4&lt;=cfg_N,X53*X52,0)</f>
        <v/>
      </c>
      <c r="Y54" s="61">
        <f>IF(Y4&lt;=cfg_N,Y53*Y52,0)</f>
        <v/>
      </c>
      <c r="Z54" s="61">
        <f>IF(Z4&lt;=cfg_N,Z53*Z52,0)</f>
        <v/>
      </c>
      <c r="AA54" s="61">
        <f>IF(AA4&lt;=cfg_N,AA53*AA52,0)</f>
        <v/>
      </c>
      <c r="AB54" s="61">
        <f>IF(AB4&lt;=cfg_N,AB53*AB52,0)</f>
        <v/>
      </c>
      <c r="AC54" s="61">
        <f>IF(AC4&lt;=cfg_N,AC53*AC52,0)</f>
        <v/>
      </c>
      <c r="AD54" s="61">
        <f>IF(AD4&lt;=cfg_N,AD53*AD52,0)</f>
        <v/>
      </c>
      <c r="AE54" s="61">
        <f>IF(AE4&lt;=cfg_N,AE53*AE52,0)</f>
        <v/>
      </c>
      <c r="AF54" s="61">
        <f>IF(AF4&lt;=cfg_N,AF53*AF52,0)</f>
        <v/>
      </c>
    </row>
    <row r="55">
      <c r="A55" s="61" t="inlineStr">
        <is>
          <t>V(ops) direct @ rho_F* = NOA0 + ΣPV(ReOI*) + PV_N(V_ops,N − NOA_N) — the terminal is the PREMIUM over book, not the whole value</t>
        </is>
      </c>
      <c r="B55" s="61">
        <f>B10+SUM(C54:AF54)+INDEX(C52:AF52,cfg_N)*(INDEX(C49:AF49,cfg_N)+INDEX(C50:AF50,cfg_N)-INDEX(C10:AF10,cfg_N))</f>
        <v/>
      </c>
    </row>
    <row r="56">
      <c r="A56" s="61" t="inlineStr">
        <is>
          <t>★ TIE: V(ops)@rho_F* − V(ops) additive   [GATE: Audit CHECK 7]</t>
        </is>
      </c>
      <c r="B56" s="61">
        <f>B55-B37</f>
        <v/>
      </c>
    </row>
    <row r="57">
      <c r="A57" s="61" t="inlineStr">
        <is>
          <t>Σ |FCFF − (FCFE + FCFD)|  flow additivity   [GATE: Audit CHECK 7]</t>
        </is>
      </c>
      <c r="B57" s="61">
        <f>SUMPRODUCT(ABS(C23:AF23-C24:AF24-C25:AF25))</f>
        <v/>
      </c>
    </row>
    <row r="58">
      <c r="A58" s="61" t="inlineStr">
        <is>
          <t>memo: rho_F row 14 stays BOOK-weighted — it is what zeroes residual income in the continuing period. Do not 'fix' it there.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2026-08-08T17:39:09Z</dcterms:modified>
  <cp:revision>0</cp:revision>
</cp:coreProperties>
</file>
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Market Data" sheetId="6" state="visible" r:id="rId6"/>
    <sheet xmlns:r="http://schemas.openxmlformats.org/officeDocument/2006/relationships" name="Cap Engine" sheetId="7" state="visible" r:id="rId7"/>
    <sheet xmlns:r="http://schemas.openxmlformats.org/officeDocument/2006/relationships" name="Econ Statements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Implied" sheetId="12" state="visible" r:id="rId12"/>
    <sheet xmlns:r="http://schemas.openxmlformats.org/officeDocument/2006/relationships"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capex" hidden="0" function="0" vbProcedure="0">Forecast!$G$23:$AJ$23</definedName>
    <definedName name="fc_cse" hidden="0" function="0" vbProcedure="0">Forecast!$G$27:$AJ$27</definedName>
    <definedName name="fc_dep" hidden="0" function="0" vbProcedure="0">Forecast!$G$13:$AJ$13</definedName>
    <definedName name="fc_dps" hidden="0" function="0" vbProcedure="0">Forecast!$G$29:$AJ$29</definedName>
    <definedName name="fc_eps" hidden="0" function="0" vbProcedure="0">Forecast!$G$30:$AJ$30</definedName>
    <definedName name="fc_nfo" hidden="0" function="0" vbProcedure="0">Forecast!$G$25:$AJ$25</definedName>
    <definedName name="fc_ni" hidden="0" function="0" vbProcedure="0">Forecast!$G$19:$AJ$19</definedName>
    <definedName name="fc_noa" hidden="0" function="0" vbProcedure="0">Forecast!$G$24:$AJ$24</definedName>
    <definedName name="fc_oiat" hidden="0" function="0" vbProcedure="0">Forecast!$G$16:$AJ$16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</t>
        </is>
      </c>
      <c r="B5" s="81">
        <f>B31+B44+B50+B58+B27+B28+B29+B63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Equity↔Enterprise tie (V(OI)−V(NFE)=V(EPS)) ★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Value-additivity V(OI)=V(EPS)+V(NFE)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n"/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B51*(1-B24)</f>
        <v/>
      </c>
      <c r="C52" s="101">
        <f>C51*(1-C24)</f>
        <v/>
      </c>
      <c r="D52" s="101">
        <f>D51*(1-D24)</f>
        <v/>
      </c>
      <c r="E52" s="101">
        <f>E51*(1-E24)</f>
        <v/>
      </c>
      <c r="F52" s="101">
        <f>F51*(1-F24)</f>
        <v/>
      </c>
      <c r="G52" s="101">
        <f>G51*(1-G24)</f>
        <v/>
      </c>
      <c r="H52" s="101">
        <f>H51*(1-H24)</f>
        <v/>
      </c>
      <c r="I52" s="101">
        <f>I51*(1-I24)</f>
        <v/>
      </c>
      <c r="J52" s="101">
        <f>J51*(1-J24)</f>
        <v/>
      </c>
      <c r="K52" s="101">
        <f>K51*(1-K24)</f>
        <v/>
      </c>
      <c r="L52" s="101">
        <f>L51*(1-L24)</f>
        <v/>
      </c>
      <c r="M52" s="101">
        <f>M51*(1-M24)</f>
        <v/>
      </c>
      <c r="N52" s="101">
        <f>N51*(1-N24)</f>
        <v/>
      </c>
      <c r="O52" s="101">
        <f>O51*(1-O24)</f>
        <v/>
      </c>
      <c r="P52" s="101">
        <f>P51*(1-P24)</f>
        <v/>
      </c>
      <c r="Q52" s="101">
        <f>Q51*(1-Q24)</f>
        <v/>
      </c>
      <c r="R52" s="101">
        <f>R51*(1-R24)</f>
        <v/>
      </c>
      <c r="S52" s="101">
        <f>S51*(1-S24)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price×shares</t>
        </is>
      </c>
      <c r="B94" s="101">
        <f>B93*B19</f>
        <v/>
      </c>
      <c r="C94" s="101">
        <f>C93*C19</f>
        <v/>
      </c>
      <c r="D94" s="101">
        <f>D93*D19</f>
        <v/>
      </c>
      <c r="E94" s="101">
        <f>E93*E19</f>
        <v/>
      </c>
      <c r="F94" s="101">
        <f>F93*F19</f>
        <v/>
      </c>
      <c r="G94" s="101">
        <f>G93*G19</f>
        <v/>
      </c>
      <c r="H94" s="101">
        <f>H93*H19</f>
        <v/>
      </c>
      <c r="I94" s="101">
        <f>I93*I19</f>
        <v/>
      </c>
      <c r="J94" s="101">
        <f>J93*J19</f>
        <v/>
      </c>
      <c r="K94" s="101">
        <f>K93*K19</f>
        <v/>
      </c>
      <c r="L94" s="101">
        <f>L93*L19</f>
        <v/>
      </c>
      <c r="M94" s="101">
        <f>M93*M19</f>
        <v/>
      </c>
      <c r="N94" s="101">
        <f>N93*N19</f>
        <v/>
      </c>
      <c r="O94" s="101">
        <f>O93*O19</f>
        <v/>
      </c>
      <c r="P94" s="101">
        <f>P93*P19</f>
        <v/>
      </c>
      <c r="Q94" s="101">
        <f>Q93*Q19</f>
        <v/>
      </c>
      <c r="R94" s="101">
        <f>R93*R19</f>
        <v/>
      </c>
      <c r="S94" s="101">
        <f>S93*S19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2026$)</t>
        </is>
      </c>
    </row>
    <row r="2" ht="15" customHeight="1" s="62">
      <c r="A2" s="64" t="inlineStr">
        <is>
          <t>One dual-mode tab. Period-0 = unified economic anchor; historicals = Econ Statements real; rates = finrate_*. Blue = driver surface (G.1). Equity: type payout, hold FLEV, impute NOA. Enterprise: drive NOA growth + buyback + funding.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anchor_oi_at0/(1-$F$17)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IF(G4&lt;=cfg_N,G15*(1-G17),G60*F24)</f>
        <v/>
      </c>
      <c r="H16" s="101">
        <f>IF(H4&lt;=cfg_N,H15*(1-H17),H60*G24)</f>
        <v/>
      </c>
      <c r="I16" s="101">
        <f>IF(I4&lt;=cfg_N,I15*(1-I17),I60*H24)</f>
        <v/>
      </c>
      <c r="J16" s="101">
        <f>IF(J4&lt;=cfg_N,J15*(1-J17),J60*I24)</f>
        <v/>
      </c>
      <c r="K16" s="101">
        <f>IF(K4&lt;=cfg_N,K15*(1-K17),K60*J24)</f>
        <v/>
      </c>
      <c r="L16" s="101">
        <f>IF(L4&lt;=cfg_N,L15*(1-L17),L60*K24)</f>
        <v/>
      </c>
      <c r="M16" s="101">
        <f>IF(M4&lt;=cfg_N,M15*(1-M17),M60*L24)</f>
        <v/>
      </c>
      <c r="N16" s="101">
        <f>IF(N4&lt;=cfg_N,N15*(1-N17),N60*M24)</f>
        <v/>
      </c>
      <c r="O16" s="101">
        <f>IF(O4&lt;=cfg_N,O15*(1-O17),O60*N24)</f>
        <v/>
      </c>
      <c r="P16" s="101">
        <f>IF(P4&lt;=cfg_N,P15*(1-P17),P60*O24)</f>
        <v/>
      </c>
      <c r="Q16" s="101">
        <f>IF(Q4&lt;=cfg_N,Q15*(1-Q17),Q60*P24)</f>
        <v/>
      </c>
      <c r="R16" s="101">
        <f>IF(R4&lt;=cfg_N,R15*(1-R17),R60*Q24)</f>
        <v/>
      </c>
      <c r="S16" s="101">
        <f>IF(S4&lt;=cfg_N,S15*(1-S17),S60*R24)</f>
        <v/>
      </c>
      <c r="T16" s="86">
        <f>IF(T4&lt;=cfg_N,T15*(1-T17),T60*S24)</f>
        <v/>
      </c>
      <c r="U16" s="86">
        <f>IF(U4&lt;=cfg_N,U15*(1-U17),U60*T24)</f>
        <v/>
      </c>
      <c r="V16" s="86">
        <f>IF(V4&lt;=cfg_N,V15*(1-V17),V60*U24)</f>
        <v/>
      </c>
      <c r="W16" s="86">
        <f>IF(W4&lt;=cfg_N,W15*(1-W17),W60*V24)</f>
        <v/>
      </c>
      <c r="X16" s="86">
        <f>IF(X4&lt;=cfg_N,X15*(1-X17),X60*W24)</f>
        <v/>
      </c>
      <c r="Y16" s="86">
        <f>IF(Y4&lt;=cfg_N,Y15*(1-Y17),Y60*X24)</f>
        <v/>
      </c>
      <c r="Z16" s="86">
        <f>IF(Z4&lt;=cfg_N,Z15*(1-Z17),Z60*Y24)</f>
        <v/>
      </c>
      <c r="AA16" s="86">
        <f>IF(AA4&lt;=cfg_N,AA15*(1-AA17),AA60*Z24)</f>
        <v/>
      </c>
      <c r="AB16" s="86">
        <f>IF(AB4&lt;=cfg_N,AB15*(1-AB17),AB60*AA24)</f>
        <v/>
      </c>
      <c r="AC16" s="86">
        <f>IF(AC4&lt;=cfg_N,AC15*(1-AC17),AC60*AB24)</f>
        <v/>
      </c>
      <c r="AD16" s="86">
        <f>IF(AD4&lt;=cfg_N,AD15*(1-AD17),AD60*AC24)</f>
        <v/>
      </c>
      <c r="AE16" s="86">
        <f>IF(AE4&lt;=cfg_N,AE15*(1-AE17),AE60*AD24)</f>
        <v/>
      </c>
      <c r="AF16" s="86">
        <f>IF(AF4&lt;=cfg_N,AF15*(1-AF17),AF60*AE24)</f>
        <v/>
      </c>
      <c r="AG16" s="86">
        <f>IF(AG4&lt;=cfg_N,AG15*(1-AG17),AG60*AF24)</f>
        <v/>
      </c>
      <c r="AH16" s="86">
        <f>IF(AH4&lt;=cfg_N,AH15*(1-AH17),AH60*AG24)</f>
        <v/>
      </c>
      <c r="AI16" s="86">
        <f>IF(AI4&lt;=cfg_N,AI15*(1-AI17),AI60*AH24)</f>
        <v/>
      </c>
      <c r="AJ16" s="86">
        <f>IF(AJ4&lt;=cfg_N,AJ15*(1-AJ17),AJ60*AI24)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value-additive bridge (real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 (finrate_coe, per-year)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 (finrate_cod, per-year)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EPS/sh (real)</t>
        </is>
      </c>
      <c r="B7" s="106">
        <f>anchor_ni0/anchor_shares0</f>
        <v/>
      </c>
      <c r="C7" s="106">
        <f>INDEX(fc_eps,C4)</f>
        <v/>
      </c>
      <c r="D7" s="106">
        <f>INDEX(fc_eps,D4)</f>
        <v/>
      </c>
      <c r="E7" s="106">
        <f>INDEX(fc_eps,E4)</f>
        <v/>
      </c>
      <c r="F7" s="106">
        <f>INDEX(fc_eps,F4)</f>
        <v/>
      </c>
      <c r="G7" s="106">
        <f>INDEX(fc_eps,G4)</f>
        <v/>
      </c>
      <c r="H7" s="106">
        <f>INDEX(fc_eps,H4)</f>
        <v/>
      </c>
      <c r="I7" s="106">
        <f>INDEX(fc_eps,I4)</f>
        <v/>
      </c>
      <c r="J7" s="106">
        <f>INDEX(fc_eps,J4)</f>
        <v/>
      </c>
      <c r="K7" s="106">
        <f>INDEX(fc_eps,K4)</f>
        <v/>
      </c>
      <c r="L7" s="106">
        <f>INDEX(fc_eps,L4)</f>
        <v/>
      </c>
      <c r="M7" s="106">
        <f>INDEX(fc_eps,M4)</f>
        <v/>
      </c>
      <c r="N7" s="106">
        <f>INDEX(fc_eps,N4)</f>
        <v/>
      </c>
      <c r="O7" s="106">
        <f>INDEX(fc_eps,O4)</f>
        <v/>
      </c>
      <c r="P7" s="86">
        <f>INDEX(fc_eps,P4)</f>
        <v/>
      </c>
      <c r="Q7" s="86">
        <f>INDEX(fc_eps,Q4)</f>
        <v/>
      </c>
      <c r="R7" s="86">
        <f>INDEX(fc_eps,R4)</f>
        <v/>
      </c>
      <c r="S7" s="86">
        <f>INDEX(fc_eps,S4)</f>
        <v/>
      </c>
      <c r="T7" s="86">
        <f>INDEX(fc_eps,T4)</f>
        <v/>
      </c>
      <c r="U7" s="86">
        <f>INDEX(fc_eps,U4)</f>
        <v/>
      </c>
      <c r="V7" s="86">
        <f>INDEX(fc_eps,V4)</f>
        <v/>
      </c>
      <c r="W7" s="86">
        <f>INDEX(fc_eps,W4)</f>
        <v/>
      </c>
      <c r="X7" s="86">
        <f>INDEX(fc_eps,X4)</f>
        <v/>
      </c>
      <c r="Y7" s="86">
        <f>INDEX(fc_eps,Y4)</f>
        <v/>
      </c>
      <c r="Z7" s="86">
        <f>INDEX(fc_eps,Z4)</f>
        <v/>
      </c>
      <c r="AA7" s="86">
        <f>INDEX(fc_eps,AA4)</f>
        <v/>
      </c>
      <c r="AB7" s="86">
        <f>INDEX(fc_eps,AB4)</f>
        <v/>
      </c>
      <c r="AC7" s="86">
        <f>INDEX(fc_eps,AC4)</f>
        <v/>
      </c>
      <c r="AD7" s="86">
        <f>INDEX(fc_eps,AD4)</f>
        <v/>
      </c>
      <c r="AE7" s="86">
        <f>INDEX(fc_eps,AE4)</f>
        <v/>
      </c>
      <c r="AF7" s="86">
        <f>INDEX(fc_eps,AF4)</f>
        <v/>
      </c>
    </row>
    <row r="8" ht="15" customHeight="1" s="62">
      <c r="A8" s="86" t="inlineStr">
        <is>
          <t>DPS/sh (real)</t>
        </is>
      </c>
      <c r="B8" s="106">
        <f>anchor_dps0*INDEX(md_deflator,MATCH(in_anchor_year&amp;"",md_years,0))</f>
        <v/>
      </c>
      <c r="C8" s="106">
        <f>INDEX(fc_dps,C4)</f>
        <v/>
      </c>
      <c r="D8" s="106">
        <f>INDEX(fc_dps,D4)</f>
        <v/>
      </c>
      <c r="E8" s="106">
        <f>INDEX(fc_dps,E4)</f>
        <v/>
      </c>
      <c r="F8" s="106">
        <f>INDEX(fc_dps,F4)</f>
        <v/>
      </c>
      <c r="G8" s="106">
        <f>INDEX(fc_dps,G4)</f>
        <v/>
      </c>
      <c r="H8" s="106">
        <f>INDEX(fc_dps,H4)</f>
        <v/>
      </c>
      <c r="I8" s="106">
        <f>INDEX(fc_dps,I4)</f>
        <v/>
      </c>
      <c r="J8" s="106">
        <f>INDEX(fc_dps,J4)</f>
        <v/>
      </c>
      <c r="K8" s="106">
        <f>INDEX(fc_dps,K4)</f>
        <v/>
      </c>
      <c r="L8" s="106">
        <f>INDEX(fc_dps,L4)</f>
        <v/>
      </c>
      <c r="M8" s="106">
        <f>INDEX(fc_dps,M4)</f>
        <v/>
      </c>
      <c r="N8" s="106">
        <f>INDEX(fc_dps,N4)</f>
        <v/>
      </c>
      <c r="O8" s="106">
        <f>INDEX(fc_dps,O4)</f>
        <v/>
      </c>
      <c r="P8" s="86">
        <f>INDEX(fc_dps,P4)</f>
        <v/>
      </c>
      <c r="Q8" s="86">
        <f>INDEX(fc_dps,Q4)</f>
        <v/>
      </c>
      <c r="R8" s="86">
        <f>INDEX(fc_dps,R4)</f>
        <v/>
      </c>
      <c r="S8" s="86">
        <f>INDEX(fc_dps,S4)</f>
        <v/>
      </c>
      <c r="T8" s="86">
        <f>INDEX(fc_dps,T4)</f>
        <v/>
      </c>
      <c r="U8" s="86">
        <f>INDEX(fc_dps,U4)</f>
        <v/>
      </c>
      <c r="V8" s="86">
        <f>INDEX(fc_dps,V4)</f>
        <v/>
      </c>
      <c r="W8" s="86">
        <f>INDEX(fc_dps,W4)</f>
        <v/>
      </c>
      <c r="X8" s="86">
        <f>INDEX(fc_dps,X4)</f>
        <v/>
      </c>
      <c r="Y8" s="86">
        <f>INDEX(fc_dps,Y4)</f>
        <v/>
      </c>
      <c r="Z8" s="86">
        <f>INDEX(fc_dps,Z4)</f>
        <v/>
      </c>
      <c r="AA8" s="86">
        <f>INDEX(fc_dps,AA4)</f>
        <v/>
      </c>
      <c r="AB8" s="86">
        <f>INDEX(fc_dps,AB4)</f>
        <v/>
      </c>
      <c r="AC8" s="86">
        <f>INDEX(fc_dps,AC4)</f>
        <v/>
      </c>
      <c r="AD8" s="86">
        <f>INDEX(fc_dps,AD4)</f>
        <v/>
      </c>
      <c r="AE8" s="86">
        <f>INDEX(fc_dps,AE4)</f>
        <v/>
      </c>
      <c r="AF8" s="86">
        <f>INDEX(fc_dps,AF4)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</t>
        </is>
      </c>
      <c r="B10" s="106">
        <f>anchor_real_cse0/anchor_shares0</f>
        <v/>
      </c>
      <c r="C10" s="106">
        <f>B10+C9</f>
        <v/>
      </c>
      <c r="D10" s="106">
        <f>C10+D9</f>
        <v/>
      </c>
      <c r="E10" s="106">
        <f>D10+E9</f>
        <v/>
      </c>
      <c r="F10" s="106">
        <f>E10+F9</f>
        <v/>
      </c>
      <c r="G10" s="106">
        <f>F10+G9</f>
        <v/>
      </c>
      <c r="H10" s="106">
        <f>G10+H9</f>
        <v/>
      </c>
      <c r="I10" s="106">
        <f>H10+I9</f>
        <v/>
      </c>
      <c r="J10" s="106">
        <f>I10+J9</f>
        <v/>
      </c>
      <c r="K10" s="106">
        <f>J10+K9</f>
        <v/>
      </c>
      <c r="L10" s="106">
        <f>K10+L9</f>
        <v/>
      </c>
      <c r="M10" s="106">
        <f>L10+M9</f>
        <v/>
      </c>
      <c r="N10" s="106">
        <f>M10+N9</f>
        <v/>
      </c>
      <c r="O10" s="106">
        <f>N10+O9</f>
        <v/>
      </c>
      <c r="P10" s="86">
        <f>O10+P9</f>
        <v/>
      </c>
      <c r="Q10" s="86">
        <f>P10+Q9</f>
        <v/>
      </c>
      <c r="R10" s="86">
        <f>Q10+R9</f>
        <v/>
      </c>
      <c r="S10" s="86">
        <f>R10+S9</f>
        <v/>
      </c>
      <c r="T10" s="86">
        <f>S10+T9</f>
        <v/>
      </c>
      <c r="U10" s="86">
        <f>T10+U9</f>
        <v/>
      </c>
      <c r="V10" s="86">
        <f>U10+V9</f>
        <v/>
      </c>
      <c r="W10" s="86">
        <f>V10+W9</f>
        <v/>
      </c>
      <c r="X10" s="86">
        <f>W10+X9</f>
        <v/>
      </c>
      <c r="Y10" s="86">
        <f>X10+Y9</f>
        <v/>
      </c>
      <c r="Z10" s="86">
        <f>Y10+Z9</f>
        <v/>
      </c>
      <c r="AA10" s="86">
        <f>Z10+AA9</f>
        <v/>
      </c>
      <c r="AB10" s="86">
        <f>AA10+AB9</f>
        <v/>
      </c>
      <c r="AC10" s="86">
        <f>AB10+AC9</f>
        <v/>
      </c>
      <c r="AD10" s="86">
        <f>AC10+AD9</f>
        <v/>
      </c>
      <c r="AE10" s="86">
        <f>AD10+AE9</f>
        <v/>
      </c>
      <c r="AF10" s="86">
        <f>AE10+AF9</f>
        <v/>
      </c>
    </row>
    <row r="11" ht="15" customHeight="1" s="62">
      <c r="A11" s="86" t="inlineStr">
        <is>
          <t>NFO/sh (constant structure)</t>
        </is>
      </c>
      <c r="B11" s="106">
        <f>anchor_real_nfo0/anchor_shares0</f>
        <v/>
      </c>
      <c r="C11" s="106">
        <f>anchor_real_nfo0/anchor_shares0</f>
        <v/>
      </c>
      <c r="D11" s="106">
        <f>anchor_real_nfo0/anchor_shares0</f>
        <v/>
      </c>
      <c r="E11" s="106">
        <f>anchor_real_nfo0/anchor_shares0</f>
        <v/>
      </c>
      <c r="F11" s="106">
        <f>anchor_real_nfo0/anchor_shares0</f>
        <v/>
      </c>
      <c r="G11" s="106">
        <f>anchor_real_nfo0/anchor_shares0</f>
        <v/>
      </c>
      <c r="H11" s="106">
        <f>anchor_real_nfo0/anchor_shares0</f>
        <v/>
      </c>
      <c r="I11" s="106">
        <f>anchor_real_nfo0/anchor_shares0</f>
        <v/>
      </c>
      <c r="J11" s="106">
        <f>anchor_real_nfo0/anchor_shares0</f>
        <v/>
      </c>
      <c r="K11" s="106">
        <f>anchor_real_nfo0/anchor_shares0</f>
        <v/>
      </c>
      <c r="L11" s="106">
        <f>anchor_real_nfo0/anchor_shares0</f>
        <v/>
      </c>
      <c r="M11" s="106">
        <f>anchor_real_nfo0/anchor_shares0</f>
        <v/>
      </c>
      <c r="N11" s="106">
        <f>anchor_real_nfo0/anchor_shares0</f>
        <v/>
      </c>
      <c r="O11" s="106">
        <f>anchor_real_nfo0/anchor_shares0</f>
        <v/>
      </c>
      <c r="P11" s="86">
        <f>anchor_real_nfo0/anchor_shares0</f>
        <v/>
      </c>
      <c r="Q11" s="86">
        <f>anchor_real_nfo0/anchor_shares0</f>
        <v/>
      </c>
      <c r="R11" s="86">
        <f>anchor_real_nfo0/anchor_shares0</f>
        <v/>
      </c>
      <c r="S11" s="86">
        <f>anchor_real_nfo0/anchor_shares0</f>
        <v/>
      </c>
      <c r="T11" s="86">
        <f>anchor_real_nfo0/anchor_shares0</f>
        <v/>
      </c>
      <c r="U11" s="86">
        <f>anchor_real_nfo0/anchor_shares0</f>
        <v/>
      </c>
      <c r="V11" s="86">
        <f>anchor_real_nfo0/anchor_shares0</f>
        <v/>
      </c>
      <c r="W11" s="86">
        <f>anchor_real_nfo0/anchor_shares0</f>
        <v/>
      </c>
      <c r="X11" s="86">
        <f>anchor_real_nfo0/anchor_shares0</f>
        <v/>
      </c>
      <c r="Y11" s="86">
        <f>anchor_real_nfo0/anchor_shares0</f>
        <v/>
      </c>
      <c r="Z11" s="86">
        <f>anchor_real_nfo0/anchor_shares0</f>
        <v/>
      </c>
      <c r="AA11" s="86">
        <f>anchor_real_nfo0/anchor_shares0</f>
        <v/>
      </c>
      <c r="AB11" s="86">
        <f>anchor_real_nfo0/anchor_shares0</f>
        <v/>
      </c>
      <c r="AC11" s="86">
        <f>anchor_real_nfo0/anchor_shares0</f>
        <v/>
      </c>
      <c r="AD11" s="86">
        <f>anchor_real_nfo0/anchor_shares0</f>
        <v/>
      </c>
      <c r="AE11" s="86">
        <f>anchor_real_nfo0/anchor_shares0</f>
        <v/>
      </c>
      <c r="AF11" s="86">
        <f>anchor_real_nfo0/anchor_shares0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IF(cfg_rf_mode="Single",in_rf_single,(C5+C14*C6)/(1+C14))</f>
        <v/>
      </c>
      <c r="D15" s="112">
        <f>IF(cfg_rf_mode="Single",in_rf_single,(D5+D14*D6)/(1+D14))</f>
        <v/>
      </c>
      <c r="E15" s="112">
        <f>IF(cfg_rf_mode="Single",in_rf_single,(E5+E14*E6)/(1+E14))</f>
        <v/>
      </c>
      <c r="F15" s="112">
        <f>IF(cfg_rf_mode="Single",in_rf_single,(F5+F14*F6)/(1+F14))</f>
        <v/>
      </c>
      <c r="G15" s="112">
        <f>IF(cfg_rf_mode="Single",in_rf_single,(G5+G14*G6)/(1+G14))</f>
        <v/>
      </c>
      <c r="H15" s="112">
        <f>IF(cfg_rf_mode="Single",in_rf_single,(H5+H14*H6)/(1+H14))</f>
        <v/>
      </c>
      <c r="I15" s="112">
        <f>IF(cfg_rf_mode="Single",in_rf_single,(I5+I14*I6)/(1+I14))</f>
        <v/>
      </c>
      <c r="J15" s="112">
        <f>IF(cfg_rf_mode="Single",in_rf_single,(J5+J14*J6)/(1+J14))</f>
        <v/>
      </c>
      <c r="K15" s="112">
        <f>IF(cfg_rf_mode="Single",in_rf_single,(K5+K14*K6)/(1+K14))</f>
        <v/>
      </c>
      <c r="L15" s="112">
        <f>IF(cfg_rf_mode="Single",in_rf_single,(L5+L14*L6)/(1+L14))</f>
        <v/>
      </c>
      <c r="M15" s="112">
        <f>IF(cfg_rf_mode="Single",in_rf_single,(M5+M14*M6)/(1+M14))</f>
        <v/>
      </c>
      <c r="N15" s="112">
        <f>IF(cfg_rf_mode="Single",in_rf_single,(N5+N14*N6)/(1+N14))</f>
        <v/>
      </c>
      <c r="O15" s="112">
        <f>IF(cfg_rf_mode="Single",in_rf_single,(O5+O14*O6)/(1+O14))</f>
        <v/>
      </c>
      <c r="P15" s="86">
        <f>IF(cfg_rf_mode="Single",in_rf_single,(P5+P14*P6)/(1+P14))</f>
        <v/>
      </c>
      <c r="Q15" s="86">
        <f>IF(cfg_rf_mode="Single",in_rf_single,(Q5+Q14*Q6)/(1+Q14))</f>
        <v/>
      </c>
      <c r="R15" s="86">
        <f>IF(cfg_rf_mode="Single",in_rf_single,(R5+R14*R6)/(1+R14))</f>
        <v/>
      </c>
      <c r="S15" s="86">
        <f>IF(cfg_rf_mode="Single",in_rf_single,(S5+S14*S6)/(1+S14))</f>
        <v/>
      </c>
      <c r="T15" s="86">
        <f>IF(cfg_rf_mode="Single",in_rf_single,(T5+T14*T6)/(1+T14))</f>
        <v/>
      </c>
      <c r="U15" s="86">
        <f>IF(cfg_rf_mode="Single",in_rf_single,(U5+U14*U6)/(1+U14))</f>
        <v/>
      </c>
      <c r="V15" s="86">
        <f>IF(cfg_rf_mode="Single",in_rf_single,(V5+V14*V6)/(1+V14))</f>
        <v/>
      </c>
      <c r="W15" s="86">
        <f>IF(cfg_rf_mode="Single",in_rf_single,(W5+W14*W6)/(1+W14))</f>
        <v/>
      </c>
      <c r="X15" s="86">
        <f>IF(cfg_rf_mode="Single",in_rf_single,(X5+X14*X6)/(1+X14))</f>
        <v/>
      </c>
      <c r="Y15" s="86">
        <f>IF(cfg_rf_mode="Single",in_rf_single,(Y5+Y14*Y6)/(1+Y14))</f>
        <v/>
      </c>
      <c r="Z15" s="86">
        <f>IF(cfg_rf_mode="Single",in_rf_single,(Z5+Z14*Z6)/(1+Z14))</f>
        <v/>
      </c>
      <c r="AA15" s="86">
        <f>IF(cfg_rf_mode="Single",in_rf_single,(AA5+AA14*AA6)/(1+AA14))</f>
        <v/>
      </c>
      <c r="AB15" s="86">
        <f>IF(cfg_rf_mode="Single",in_rf_single,(AB5+AB14*AB6)/(1+AB14))</f>
        <v/>
      </c>
      <c r="AC15" s="86">
        <f>IF(cfg_rf_mode="Single",in_rf_single,(AC5+AC14*AC6)/(1+AC14))</f>
        <v/>
      </c>
      <c r="AD15" s="86">
        <f>IF(cfg_rf_mode="Single",in_rf_single,(AD5+AD14*AD6)/(1+AD14))</f>
        <v/>
      </c>
      <c r="AE15" s="86">
        <f>IF(cfg_rf_mode="Single",in_rf_single,(AE5+AE14*AE6)/(1+AE14))</f>
        <v/>
      </c>
      <c r="AF15" s="86">
        <f>IF(cfg_rf_mode="Single",in_rf_single,(AF5+AF14*AF6)/(1+AF14))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rates (last tenor)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</t>
        </is>
      </c>
      <c r="C22" s="106">
        <f>B7+C5*B9</f>
        <v/>
      </c>
      <c r="D22" s="106">
        <f>C7+D5*C9</f>
        <v/>
      </c>
      <c r="E22" s="106">
        <f>D7+E5*D9</f>
        <v/>
      </c>
      <c r="F22" s="106">
        <f>E7+F5*E9</f>
        <v/>
      </c>
      <c r="G22" s="106">
        <f>F7+G5*F9</f>
        <v/>
      </c>
      <c r="H22" s="106">
        <f>G7+H5*G9</f>
        <v/>
      </c>
      <c r="I22" s="106">
        <f>H7+I5*H9</f>
        <v/>
      </c>
      <c r="J22" s="106">
        <f>I7+J5*I9</f>
        <v/>
      </c>
      <c r="K22" s="106">
        <f>J7+K5*J9</f>
        <v/>
      </c>
      <c r="L22" s="106">
        <f>K7+L5*K9</f>
        <v/>
      </c>
      <c r="M22" s="106">
        <f>L7+M5*L9</f>
        <v/>
      </c>
      <c r="N22" s="106">
        <f>M7+N5*M9</f>
        <v/>
      </c>
      <c r="O22" s="106">
        <f>N7+O5*N9</f>
        <v/>
      </c>
      <c r="P22" s="86">
        <f>O7+P5*O9</f>
        <v/>
      </c>
      <c r="Q22" s="86">
        <f>P7+Q5*P9</f>
        <v/>
      </c>
      <c r="R22" s="86">
        <f>Q7+R5*Q9</f>
        <v/>
      </c>
      <c r="S22" s="86">
        <f>R7+S5*R9</f>
        <v/>
      </c>
      <c r="T22" s="86">
        <f>S7+T5*S9</f>
        <v/>
      </c>
      <c r="U22" s="86">
        <f>T7+U5*T9</f>
        <v/>
      </c>
      <c r="V22" s="86">
        <f>U7+V5*U9</f>
        <v/>
      </c>
      <c r="W22" s="86">
        <f>V7+W5*V9</f>
        <v/>
      </c>
      <c r="X22" s="86">
        <f>W7+X5*W9</f>
        <v/>
      </c>
      <c r="Y22" s="86">
        <f>X7+Y5*X9</f>
        <v/>
      </c>
      <c r="Z22" s="86">
        <f>Y7+Z5*Y9</f>
        <v/>
      </c>
      <c r="AA22" s="86">
        <f>Z7+AA5*Z9</f>
        <v/>
      </c>
      <c r="AB22" s="86">
        <f>AA7+AB5*AA9</f>
        <v/>
      </c>
      <c r="AC22" s="86">
        <f>AB7+AC5*AB9</f>
        <v/>
      </c>
      <c r="AD22" s="86">
        <f>AC7+AD5*AC9</f>
        <v/>
      </c>
      <c r="AE22" s="86">
        <f>AD7+AE5*AD9</f>
        <v/>
      </c>
      <c r="AF22" s="86">
        <f>AE7+AF5*AE9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[t≤N]</t>
        </is>
      </c>
      <c r="C24" s="106">
        <f>IF(C4&lt;=cfg_N,C23*B16/$B$20,0)</f>
        <v/>
      </c>
      <c r="D24" s="106">
        <f>IF(D4&lt;=cfg_N,D23*C16/$B$20,0)</f>
        <v/>
      </c>
      <c r="E24" s="106">
        <f>IF(E4&lt;=cfg_N,E23*D16/$B$20,0)</f>
        <v/>
      </c>
      <c r="F24" s="106">
        <f>IF(F4&lt;=cfg_N,F23*E16/$B$20,0)</f>
        <v/>
      </c>
      <c r="G24" s="106">
        <f>IF(G4&lt;=cfg_N,G23*F16/$B$20,0)</f>
        <v/>
      </c>
      <c r="H24" s="106">
        <f>IF(H4&lt;=cfg_N,H23*G16/$B$20,0)</f>
        <v/>
      </c>
      <c r="I24" s="106">
        <f>IF(I4&lt;=cfg_N,I23*H16/$B$20,0)</f>
        <v/>
      </c>
      <c r="J24" s="106">
        <f>IF(J4&lt;=cfg_N,J23*I16/$B$20,0)</f>
        <v/>
      </c>
      <c r="K24" s="106">
        <f>IF(K4&lt;=cfg_N,K23*J16/$B$20,0)</f>
        <v/>
      </c>
      <c r="L24" s="106">
        <f>IF(L4&lt;=cfg_N,L23*K16/$B$20,0)</f>
        <v/>
      </c>
      <c r="M24" s="106">
        <f>IF(M4&lt;=cfg_N,M23*L16/$B$20,0)</f>
        <v/>
      </c>
      <c r="N24" s="106">
        <f>IF(N4&lt;=cfg_N,N23*M16/$B$20,0)</f>
        <v/>
      </c>
      <c r="O24" s="106">
        <f>IF(O4&lt;=cfg_N,O23*N16/$B$20,0)</f>
        <v/>
      </c>
      <c r="P24" s="86">
        <f>IF(P4&lt;=cfg_N,P23*O16/$B$20,0)</f>
        <v/>
      </c>
      <c r="Q24" s="86">
        <f>IF(Q4&lt;=cfg_N,Q23*P16/$B$20,0)</f>
        <v/>
      </c>
      <c r="R24" s="86">
        <f>IF(R4&lt;=cfg_N,R23*Q16/$B$20,0)</f>
        <v/>
      </c>
      <c r="S24" s="86">
        <f>IF(S4&lt;=cfg_N,S23*R16/$B$20,0)</f>
        <v/>
      </c>
      <c r="T24" s="86">
        <f>IF(T4&lt;=cfg_N,T23*S16/$B$20,0)</f>
        <v/>
      </c>
      <c r="U24" s="86">
        <f>IF(U4&lt;=cfg_N,U23*T16/$B$20,0)</f>
        <v/>
      </c>
      <c r="V24" s="86">
        <f>IF(V4&lt;=cfg_N,V23*U16/$B$20,0)</f>
        <v/>
      </c>
      <c r="W24" s="86">
        <f>IF(W4&lt;=cfg_N,W23*V16/$B$20,0)</f>
        <v/>
      </c>
      <c r="X24" s="86">
        <f>IF(X4&lt;=cfg_N,X23*W16/$B$20,0)</f>
        <v/>
      </c>
      <c r="Y24" s="86">
        <f>IF(Y4&lt;=cfg_N,Y23*X16/$B$20,0)</f>
        <v/>
      </c>
      <c r="Z24" s="86">
        <f>IF(Z4&lt;=cfg_N,Z23*Y16/$B$20,0)</f>
        <v/>
      </c>
      <c r="AA24" s="86">
        <f>IF(AA4&lt;=cfg_N,AA23*Z16/$B$20,0)</f>
        <v/>
      </c>
      <c r="AB24" s="86">
        <f>IF(AB4&lt;=cfg_N,AB23*AA16/$B$20,0)</f>
        <v/>
      </c>
      <c r="AC24" s="86">
        <f>IF(AC4&lt;=cfg_N,AC23*AB16/$B$20,0)</f>
        <v/>
      </c>
      <c r="AD24" s="86">
        <f>IF(AD4&lt;=cfg_N,AD23*AC16/$B$20,0)</f>
        <v/>
      </c>
      <c r="AE24" s="86">
        <f>IF(AE4&lt;=cfg_N,AE23*AD16/$B$20,0)</f>
        <v/>
      </c>
      <c r="AF24" s="86">
        <f>IF(AF4&lt;=cfg_N,AF23*AE16/$B$20,0)</f>
        <v/>
      </c>
    </row>
    <row r="26" ht="15" customHeight="1" s="62">
      <c r="A26" s="86" t="inlineStr">
        <is>
          <t>normal NFE</t>
        </is>
      </c>
      <c r="C26" s="106">
        <f>B12+C6*0</f>
        <v/>
      </c>
      <c r="D26" s="106">
        <f>C12+D6*0</f>
        <v/>
      </c>
      <c r="E26" s="106">
        <f>D12+E6*0</f>
        <v/>
      </c>
      <c r="F26" s="106">
        <f>E12+F6*0</f>
        <v/>
      </c>
      <c r="G26" s="106">
        <f>F12+G6*0</f>
        <v/>
      </c>
      <c r="H26" s="106">
        <f>G12+H6*0</f>
        <v/>
      </c>
      <c r="I26" s="106">
        <f>H12+I6*0</f>
        <v/>
      </c>
      <c r="J26" s="106">
        <f>I12+J6*0</f>
        <v/>
      </c>
      <c r="K26" s="106">
        <f>J12+K6*0</f>
        <v/>
      </c>
      <c r="L26" s="106">
        <f>K12+L6*0</f>
        <v/>
      </c>
      <c r="M26" s="106">
        <f>L12+M6*0</f>
        <v/>
      </c>
      <c r="N26" s="106">
        <f>M12+N6*0</f>
        <v/>
      </c>
      <c r="O26" s="106">
        <f>N12+O6*0</f>
        <v/>
      </c>
      <c r="P26" s="86">
        <f>O12+P6*0</f>
        <v/>
      </c>
      <c r="Q26" s="86">
        <f>P12+Q6*0</f>
        <v/>
      </c>
      <c r="R26" s="86">
        <f>Q12+R6*0</f>
        <v/>
      </c>
      <c r="S26" s="86">
        <f>R12+S6*0</f>
        <v/>
      </c>
      <c r="T26" s="86">
        <f>S12+T6*0</f>
        <v/>
      </c>
      <c r="U26" s="86">
        <f>T12+U6*0</f>
        <v/>
      </c>
      <c r="V26" s="86">
        <f>U12+V6*0</f>
        <v/>
      </c>
      <c r="W26" s="86">
        <f>V12+W6*0</f>
        <v/>
      </c>
      <c r="X26" s="86">
        <f>W12+X6*0</f>
        <v/>
      </c>
      <c r="Y26" s="86">
        <f>X12+Y6*0</f>
        <v/>
      </c>
      <c r="Z26" s="86">
        <f>Y12+Z6*0</f>
        <v/>
      </c>
      <c r="AA26" s="86">
        <f>Z12+AA6*0</f>
        <v/>
      </c>
      <c r="AB26" s="86">
        <f>AA12+AB6*0</f>
        <v/>
      </c>
      <c r="AC26" s="86">
        <f>AB12+AC6*0</f>
        <v/>
      </c>
      <c r="AD26" s="86">
        <f>AC12+AD6*0</f>
        <v/>
      </c>
      <c r="AE26" s="86">
        <f>AD12+AE6*0</f>
        <v/>
      </c>
      <c r="AF26" s="86">
        <f>AE12+AF6*0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[t≤N]</t>
        </is>
      </c>
      <c r="C28" s="106">
        <f>IF(C4&lt;=cfg_N,C27*B17/$C$20,0)</f>
        <v/>
      </c>
      <c r="D28" s="106">
        <f>IF(D4&lt;=cfg_N,D27*C17/$C$20,0)</f>
        <v/>
      </c>
      <c r="E28" s="106">
        <f>IF(E4&lt;=cfg_N,E27*D17/$C$20,0)</f>
        <v/>
      </c>
      <c r="F28" s="106">
        <f>IF(F4&lt;=cfg_N,F27*E17/$C$20,0)</f>
        <v/>
      </c>
      <c r="G28" s="106">
        <f>IF(G4&lt;=cfg_N,G27*F17/$C$20,0)</f>
        <v/>
      </c>
      <c r="H28" s="106">
        <f>IF(H4&lt;=cfg_N,H27*G17/$C$20,0)</f>
        <v/>
      </c>
      <c r="I28" s="106">
        <f>IF(I4&lt;=cfg_N,I27*H17/$C$20,0)</f>
        <v/>
      </c>
      <c r="J28" s="106">
        <f>IF(J4&lt;=cfg_N,J27*I17/$C$20,0)</f>
        <v/>
      </c>
      <c r="K28" s="106">
        <f>IF(K4&lt;=cfg_N,K27*J17/$C$20,0)</f>
        <v/>
      </c>
      <c r="L28" s="106">
        <f>IF(L4&lt;=cfg_N,L27*K17/$C$20,0)</f>
        <v/>
      </c>
      <c r="M28" s="106">
        <f>IF(M4&lt;=cfg_N,M27*L17/$C$20,0)</f>
        <v/>
      </c>
      <c r="N28" s="106">
        <f>IF(N4&lt;=cfg_N,N27*M17/$C$20,0)</f>
        <v/>
      </c>
      <c r="O28" s="106">
        <f>IF(O4&lt;=cfg_N,O27*N17/$C$20,0)</f>
        <v/>
      </c>
      <c r="P28" s="86">
        <f>IF(P4&lt;=cfg_N,P27*O17/$C$20,0)</f>
        <v/>
      </c>
      <c r="Q28" s="86">
        <f>IF(Q4&lt;=cfg_N,Q27*P17/$C$20,0)</f>
        <v/>
      </c>
      <c r="R28" s="86">
        <f>IF(R4&lt;=cfg_N,R27*Q17/$C$20,0)</f>
        <v/>
      </c>
      <c r="S28" s="86">
        <f>IF(S4&lt;=cfg_N,S27*R17/$C$20,0)</f>
        <v/>
      </c>
      <c r="T28" s="86">
        <f>IF(T4&lt;=cfg_N,T27*S17/$C$20,0)</f>
        <v/>
      </c>
      <c r="U28" s="86">
        <f>IF(U4&lt;=cfg_N,U27*T17/$C$20,0)</f>
        <v/>
      </c>
      <c r="V28" s="86">
        <f>IF(V4&lt;=cfg_N,V27*U17/$C$20,0)</f>
        <v/>
      </c>
      <c r="W28" s="86">
        <f>IF(W4&lt;=cfg_N,W27*V17/$C$20,0)</f>
        <v/>
      </c>
      <c r="X28" s="86">
        <f>IF(X4&lt;=cfg_N,X27*W17/$C$20,0)</f>
        <v/>
      </c>
      <c r="Y28" s="86">
        <f>IF(Y4&lt;=cfg_N,Y27*X17/$C$20,0)</f>
        <v/>
      </c>
      <c r="Z28" s="86">
        <f>IF(Z4&lt;=cfg_N,Z27*Y17/$C$20,0)</f>
        <v/>
      </c>
      <c r="AA28" s="86">
        <f>IF(AA4&lt;=cfg_N,AA27*Z17/$C$20,0)</f>
        <v/>
      </c>
      <c r="AB28" s="86">
        <f>IF(AB4&lt;=cfg_N,AB27*AA17/$C$20,0)</f>
        <v/>
      </c>
      <c r="AC28" s="86">
        <f>IF(AC4&lt;=cfg_N,AC27*AB17/$C$20,0)</f>
        <v/>
      </c>
      <c r="AD28" s="86">
        <f>IF(AD4&lt;=cfg_N,AD27*AC17/$C$20,0)</f>
        <v/>
      </c>
      <c r="AE28" s="86">
        <f>IF(AE4&lt;=cfg_N,AE27*AD17/$C$20,0)</f>
        <v/>
      </c>
      <c r="AF28" s="86">
        <f>IF(AF4&lt;=cfg_N,AF27*AE17/$C$20,0)</f>
        <v/>
      </c>
    </row>
    <row r="30" ht="15" customHeight="1" s="62">
      <c r="A30" s="86" t="inlineStr">
        <is>
          <t>normal OI</t>
        </is>
      </c>
      <c r="C30" s="106">
        <f>B13+C15*B9</f>
        <v/>
      </c>
      <c r="D30" s="106">
        <f>C13+D15*C9</f>
        <v/>
      </c>
      <c r="E30" s="106">
        <f>D13+E15*D9</f>
        <v/>
      </c>
      <c r="F30" s="106">
        <f>E13+F15*E9</f>
        <v/>
      </c>
      <c r="G30" s="106">
        <f>F13+G15*F9</f>
        <v/>
      </c>
      <c r="H30" s="106">
        <f>G13+H15*G9</f>
        <v/>
      </c>
      <c r="I30" s="106">
        <f>H13+I15*H9</f>
        <v/>
      </c>
      <c r="J30" s="106">
        <f>I13+J15*I9</f>
        <v/>
      </c>
      <c r="K30" s="106">
        <f>J13+K15*J9</f>
        <v/>
      </c>
      <c r="L30" s="106">
        <f>K13+L15*K9</f>
        <v/>
      </c>
      <c r="M30" s="106">
        <f>L13+M15*L9</f>
        <v/>
      </c>
      <c r="N30" s="106">
        <f>M13+N15*M9</f>
        <v/>
      </c>
      <c r="O30" s="106">
        <f>N13+O15*N9</f>
        <v/>
      </c>
      <c r="P30" s="86">
        <f>O13+P15*O9</f>
        <v/>
      </c>
      <c r="Q30" s="86">
        <f>P13+Q15*P9</f>
        <v/>
      </c>
      <c r="R30" s="86">
        <f>Q13+R15*Q9</f>
        <v/>
      </c>
      <c r="S30" s="86">
        <f>R13+S15*R9</f>
        <v/>
      </c>
      <c r="T30" s="86">
        <f>S13+T15*S9</f>
        <v/>
      </c>
      <c r="U30" s="86">
        <f>T13+U15*T9</f>
        <v/>
      </c>
      <c r="V30" s="86">
        <f>U13+V15*U9</f>
        <v/>
      </c>
      <c r="W30" s="86">
        <f>V13+W15*V9</f>
        <v/>
      </c>
      <c r="X30" s="86">
        <f>W13+X15*W9</f>
        <v/>
      </c>
      <c r="Y30" s="86">
        <f>X13+Y15*X9</f>
        <v/>
      </c>
      <c r="Z30" s="86">
        <f>Y13+Z15*Y9</f>
        <v/>
      </c>
      <c r="AA30" s="86">
        <f>Z13+AA15*Z9</f>
        <v/>
      </c>
      <c r="AB30" s="86">
        <f>AA13+AB15*AA9</f>
        <v/>
      </c>
      <c r="AC30" s="86">
        <f>AB13+AC15*AB9</f>
        <v/>
      </c>
      <c r="AD30" s="86">
        <f>AC13+AD15*AC9</f>
        <v/>
      </c>
      <c r="AE30" s="86">
        <f>AD13+AE15*AD9</f>
        <v/>
      </c>
      <c r="AF30" s="86">
        <f>AE13+AF15*AE9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[t≤N]</t>
        </is>
      </c>
      <c r="C32" s="106">
        <f>IF(C4&lt;=cfg_N,C31*B18/$D$20,0)</f>
        <v/>
      </c>
      <c r="D32" s="106">
        <f>IF(D4&lt;=cfg_N,D31*C18/$D$20,0)</f>
        <v/>
      </c>
      <c r="E32" s="106">
        <f>IF(E4&lt;=cfg_N,E31*D18/$D$20,0)</f>
        <v/>
      </c>
      <c r="F32" s="106">
        <f>IF(F4&lt;=cfg_N,F31*E18/$D$20,0)</f>
        <v/>
      </c>
      <c r="G32" s="106">
        <f>IF(G4&lt;=cfg_N,G31*F18/$D$20,0)</f>
        <v/>
      </c>
      <c r="H32" s="106">
        <f>IF(H4&lt;=cfg_N,H31*G18/$D$20,0)</f>
        <v/>
      </c>
      <c r="I32" s="106">
        <f>IF(I4&lt;=cfg_N,I31*H18/$D$20,0)</f>
        <v/>
      </c>
      <c r="J32" s="106">
        <f>IF(J4&lt;=cfg_N,J31*I18/$D$20,0)</f>
        <v/>
      </c>
      <c r="K32" s="106">
        <f>IF(K4&lt;=cfg_N,K31*J18/$D$20,0)</f>
        <v/>
      </c>
      <c r="L32" s="106">
        <f>IF(L4&lt;=cfg_N,L31*K18/$D$20,0)</f>
        <v/>
      </c>
      <c r="M32" s="106">
        <f>IF(M4&lt;=cfg_N,M31*L18/$D$20,0)</f>
        <v/>
      </c>
      <c r="N32" s="106">
        <f>IF(N4&lt;=cfg_N,N31*M18/$D$20,0)</f>
        <v/>
      </c>
      <c r="O32" s="106">
        <f>IF(O4&lt;=cfg_N,O31*N18/$D$20,0)</f>
        <v/>
      </c>
      <c r="P32" s="86">
        <f>IF(P4&lt;=cfg_N,P31*O18/$D$20,0)</f>
        <v/>
      </c>
      <c r="Q32" s="86">
        <f>IF(Q4&lt;=cfg_N,Q31*P18/$D$20,0)</f>
        <v/>
      </c>
      <c r="R32" s="86">
        <f>IF(R4&lt;=cfg_N,R31*Q18/$D$20,0)</f>
        <v/>
      </c>
      <c r="S32" s="86">
        <f>IF(S4&lt;=cfg_N,S31*R18/$D$20,0)</f>
        <v/>
      </c>
      <c r="T32" s="86">
        <f>IF(T4&lt;=cfg_N,T31*S18/$D$20,0)</f>
        <v/>
      </c>
      <c r="U32" s="86">
        <f>IF(U4&lt;=cfg_N,U31*T18/$D$20,0)</f>
        <v/>
      </c>
      <c r="V32" s="86">
        <f>IF(V4&lt;=cfg_N,V31*U18/$D$20,0)</f>
        <v/>
      </c>
      <c r="W32" s="86">
        <f>IF(W4&lt;=cfg_N,W31*V18/$D$20,0)</f>
        <v/>
      </c>
      <c r="X32" s="86">
        <f>IF(X4&lt;=cfg_N,X31*W18/$D$20,0)</f>
        <v/>
      </c>
      <c r="Y32" s="86">
        <f>IF(Y4&lt;=cfg_N,Y31*X18/$D$20,0)</f>
        <v/>
      </c>
      <c r="Z32" s="86">
        <f>IF(Z4&lt;=cfg_N,Z31*Y18/$D$20,0)</f>
        <v/>
      </c>
      <c r="AA32" s="86">
        <f>IF(AA4&lt;=cfg_N,AA31*Z18/$D$20,0)</f>
        <v/>
      </c>
      <c r="AB32" s="86">
        <f>IF(AB4&lt;=cfg_N,AB31*AA18/$D$20,0)</f>
        <v/>
      </c>
      <c r="AC32" s="86">
        <f>IF(AC4&lt;=cfg_N,AC31*AB18/$D$20,0)</f>
        <v/>
      </c>
      <c r="AD32" s="86">
        <f>IF(AD4&lt;=cfg_N,AD31*AC18/$D$20,0)</f>
        <v/>
      </c>
      <c r="AE32" s="86">
        <f>IF(AE4&lt;=cfg_N,AE31*AD18/$D$20,0)</f>
        <v/>
      </c>
      <c r="AF32" s="86">
        <f>IF(AF4&lt;=cfg_N,AF31*AE18/$D$20,0)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normal EPS₁/ρE_LR + Σ contrib</t>
        </is>
      </c>
      <c r="B36" s="106">
        <f>(C22)/$B$20+SUM(C24:AF24)</f>
        <v/>
      </c>
    </row>
    <row r="37" ht="15" customHeight="1" s="62">
      <c r="A37" s="86" t="inlineStr">
        <is>
          <t>V(NFE) = financing = normal NFE₁/ρD_LR + Σ contrib</t>
        </is>
      </c>
      <c r="B37" s="106">
        <f>(C26)/$C$20+SUM(C28:AF28)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★ TIE:  V(OI)−V(NFE) − V(EPS)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blended ρF (curve/leverage effect)</t>
        </is>
      </c>
      <c r="B41" s="113">
        <f>(C30)/$D$20+SUM(C32:AF32)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normal EPS₁ ÷ ρE_LR</t>
        </is>
      </c>
      <c r="B43" s="106">
        <f>(C22)/$B$20</f>
        <v/>
      </c>
    </row>
    <row r="44" ht="15" customHeight="1" s="62">
      <c r="A44" s="86" t="inlineStr">
        <is>
          <t>Intrinsic value (= V(EPS))</t>
        </is>
      </c>
      <c r="B44" s="106">
        <f>B36</f>
        <v/>
      </c>
    </row>
    <row r="45" ht="15" customHeight="1" s="62">
      <c r="A45" s="86" t="inlineStr">
        <is>
          <t>Real price = in_price ×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÷ EPS₁</t>
        </is>
      </c>
      <c r="B47" s="105">
        <f>B44/C7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0.005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0.01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0.019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(real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(finrate_cod)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IF(cfg_rf_mode="Single",in_rf_single,(C5+C13*C6)/(1+C13))</f>
        <v/>
      </c>
      <c r="D14" s="112">
        <f>IF(cfg_rf_mode="Single",in_rf_single,(D5+D13*D6)/(1+D13))</f>
        <v/>
      </c>
      <c r="E14" s="112">
        <f>IF(cfg_rf_mode="Single",in_rf_single,(E5+E13*E6)/(1+E13))</f>
        <v/>
      </c>
      <c r="F14" s="112">
        <f>IF(cfg_rf_mode="Single",in_rf_single,(F5+F13*F6)/(1+F13))</f>
        <v/>
      </c>
      <c r="G14" s="112">
        <f>IF(cfg_rf_mode="Single",in_rf_single,(G5+G13*G6)/(1+G13))</f>
        <v/>
      </c>
      <c r="H14" s="112">
        <f>IF(cfg_rf_mode="Single",in_rf_single,(H5+H13*H6)/(1+H13))</f>
        <v/>
      </c>
      <c r="I14" s="112">
        <f>IF(cfg_rf_mode="Single",in_rf_single,(I5+I13*I6)/(1+I13))</f>
        <v/>
      </c>
      <c r="J14" s="112">
        <f>IF(cfg_rf_mode="Single",in_rf_single,(J5+J13*J6)/(1+J13))</f>
        <v/>
      </c>
      <c r="K14" s="112">
        <f>IF(cfg_rf_mode="Single",in_rf_single,(K5+K13*K6)/(1+K13))</f>
        <v/>
      </c>
      <c r="L14" s="112">
        <f>IF(cfg_rf_mode="Single",in_rf_single,(L5+L13*L6)/(1+L13))</f>
        <v/>
      </c>
      <c r="M14" s="112">
        <f>IF(cfg_rf_mode="Single",in_rf_single,(M5+M13*M6)/(1+M13))</f>
        <v/>
      </c>
      <c r="N14" s="112">
        <f>IF(cfg_rf_mode="Single",in_rf_single,(N5+N13*N6)/(1+N13))</f>
        <v/>
      </c>
      <c r="O14" s="112">
        <f>IF(cfg_rf_mode="Single",in_rf_single,(O5+O13*O6)/(1+O13))</f>
        <v/>
      </c>
      <c r="P14" s="86">
        <f>IF(cfg_rf_mode="Single",in_rf_single,(P5+P13*P6)/(1+P13))</f>
        <v/>
      </c>
      <c r="Q14" s="86">
        <f>IF(cfg_rf_mode="Single",in_rf_single,(Q5+Q13*Q6)/(1+Q13))</f>
        <v/>
      </c>
      <c r="R14" s="86">
        <f>IF(cfg_rf_mode="Single",in_rf_single,(R5+R13*R6)/(1+R13))</f>
        <v/>
      </c>
      <c r="S14" s="86">
        <f>IF(cfg_rf_mode="Single",in_rf_single,(S5+S13*S6)/(1+S13))</f>
        <v/>
      </c>
      <c r="T14" s="86">
        <f>IF(cfg_rf_mode="Single",in_rf_single,(T5+T13*T6)/(1+T13))</f>
        <v/>
      </c>
      <c r="U14" s="86">
        <f>IF(cfg_rf_mode="Single",in_rf_single,(U5+U13*U6)/(1+U13))</f>
        <v/>
      </c>
      <c r="V14" s="86">
        <f>IF(cfg_rf_mode="Single",in_rf_single,(V5+V13*V6)/(1+V13))</f>
        <v/>
      </c>
      <c r="W14" s="86">
        <f>IF(cfg_rf_mode="Single",in_rf_single,(W5+W13*W6)/(1+W13))</f>
        <v/>
      </c>
      <c r="X14" s="86">
        <f>IF(cfg_rf_mode="Single",in_rf_single,(X5+X13*X6)/(1+X13))</f>
        <v/>
      </c>
      <c r="Y14" s="86">
        <f>IF(cfg_rf_mode="Single",in_rf_single,(Y5+Y13*Y6)/(1+Y13))</f>
        <v/>
      </c>
      <c r="Z14" s="86">
        <f>IF(cfg_rf_mode="Single",in_rf_single,(Z5+Z13*Z6)/(1+Z13))</f>
        <v/>
      </c>
      <c r="AA14" s="86">
        <f>IF(cfg_rf_mode="Single",in_rf_single,(AA5+AA13*AA6)/(1+AA13))</f>
        <v/>
      </c>
      <c r="AB14" s="86">
        <f>IF(cfg_rf_mode="Single",in_rf_single,(AB5+AB13*AB6)/(1+AB13))</f>
        <v/>
      </c>
      <c r="AC14" s="86">
        <f>IF(cfg_rf_mode="Single",in_rf_single,(AC5+AC13*AC6)/(1+AC13))</f>
        <v/>
      </c>
      <c r="AD14" s="86">
        <f>IF(cfg_rf_mode="Single",in_rf_single,(AD5+AD13*AD6)/(1+AD13))</f>
        <v/>
      </c>
      <c r="AE14" s="86">
        <f>IF(cfg_rf_mode="Single",in_rf_single,(AE5+AE13*AE6)/(1+AE13))</f>
        <v/>
      </c>
      <c r="AF14" s="86">
        <f>IF(cfg_rf_mode="Single",in_rf_single,(AF5+AF13*AF6)/(1+AF13))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(C10-B10)-(C21-C20)</f>
        <v/>
      </c>
      <c r="D22" s="101">
        <f>(D10-C10)-(D21-D20)</f>
        <v/>
      </c>
      <c r="E22" s="101">
        <f>(E10-D10)-(E21-E20)</f>
        <v/>
      </c>
      <c r="F22" s="101">
        <f>(F10-E10)-(F21-F20)</f>
        <v/>
      </c>
      <c r="G22" s="101">
        <f>(G10-F10)-(G21-G20)</f>
        <v/>
      </c>
      <c r="H22" s="101">
        <f>(H10-G10)-(H21-H20)</f>
        <v/>
      </c>
      <c r="I22" s="101">
        <f>(I10-H10)-(I21-I20)</f>
        <v/>
      </c>
      <c r="J22" s="101">
        <f>(J10-I10)-(J21-J20)</f>
        <v/>
      </c>
      <c r="K22" s="101">
        <f>(K10-J10)-(K21-K20)</f>
        <v/>
      </c>
      <c r="L22" s="101">
        <f>(L10-K10)-(L21-L20)</f>
        <v/>
      </c>
      <c r="M22" s="101">
        <f>(M10-L10)-(M21-M20)</f>
        <v/>
      </c>
      <c r="N22" s="101">
        <f>(N10-M10)-(N21-N20)</f>
        <v/>
      </c>
      <c r="O22" s="101">
        <f>(O10-N10)-(O21-O20)</f>
        <v/>
      </c>
      <c r="P22" s="86">
        <f>(P10-O10)-(P21-P20)</f>
        <v/>
      </c>
      <c r="Q22" s="86">
        <f>(Q10-P10)-(Q21-Q20)</f>
        <v/>
      </c>
      <c r="R22" s="86">
        <f>(R10-Q10)-(R21-R20)</f>
        <v/>
      </c>
      <c r="S22" s="86">
        <f>(S10-R10)-(S21-S20)</f>
        <v/>
      </c>
      <c r="T22" s="86">
        <f>(T10-S10)-(T21-T20)</f>
        <v/>
      </c>
      <c r="U22" s="86">
        <f>(U10-T10)-(U21-U20)</f>
        <v/>
      </c>
      <c r="V22" s="86">
        <f>(V10-U10)-(V21-V20)</f>
        <v/>
      </c>
      <c r="W22" s="86">
        <f>(W10-V10)-(W21-W20)</f>
        <v/>
      </c>
      <c r="X22" s="86">
        <f>(X10-W10)-(X21-X20)</f>
        <v/>
      </c>
      <c r="Y22" s="86">
        <f>(Y10-X10)-(Y21-Y20)</f>
        <v/>
      </c>
      <c r="Z22" s="86">
        <f>(Z10-Y10)-(Z21-Z20)</f>
        <v/>
      </c>
      <c r="AA22" s="86">
        <f>(AA10-Z10)-(AA21-AA20)</f>
        <v/>
      </c>
      <c r="AB22" s="86">
        <f>(AB10-AA10)-(AB21-AB20)</f>
        <v/>
      </c>
      <c r="AC22" s="86">
        <f>(AC10-AB10)-(AC21-AC20)</f>
        <v/>
      </c>
      <c r="AD22" s="86">
        <f>(AD10-AC10)-(AD21-AD20)</f>
        <v/>
      </c>
      <c r="AE22" s="86">
        <f>(AE10-AD10)-(AE21-AE20)</f>
        <v/>
      </c>
      <c r="AF22" s="86">
        <f>(AF10-AE10)-(AF21-AF20)</f>
        <v/>
      </c>
    </row>
    <row r="23" ht="15" customHeight="1" s="62">
      <c r="A23" s="86" t="inlineStr">
        <is>
          <t>FCFF = OI_at − ΔNOA</t>
        </is>
      </c>
      <c r="C23" s="101">
        <f>C8-(C10-B10)</f>
        <v/>
      </c>
      <c r="D23" s="101">
        <f>D8-(D10-C10)</f>
        <v/>
      </c>
      <c r="E23" s="101">
        <f>E8-(E10-D10)</f>
        <v/>
      </c>
      <c r="F23" s="101">
        <f>F8-(F10-E10)</f>
        <v/>
      </c>
      <c r="G23" s="101">
        <f>G8-(G10-F10)</f>
        <v/>
      </c>
      <c r="H23" s="101">
        <f>H8-(H10-G10)</f>
        <v/>
      </c>
      <c r="I23" s="101">
        <f>I8-(I10-H10)</f>
        <v/>
      </c>
      <c r="J23" s="101">
        <f>J8-(J10-I10)</f>
        <v/>
      </c>
      <c r="K23" s="101">
        <f>K8-(K10-J10)</f>
        <v/>
      </c>
      <c r="L23" s="101">
        <f>L8-(L10-K10)</f>
        <v/>
      </c>
      <c r="M23" s="101">
        <f>M8-(M10-L10)</f>
        <v/>
      </c>
      <c r="N23" s="101">
        <f>N8-(N10-M10)</f>
        <v/>
      </c>
      <c r="O23" s="101">
        <f>O8-(O10-N10)</f>
        <v/>
      </c>
      <c r="P23" s="86">
        <f>P8-(P10-O10)</f>
        <v/>
      </c>
      <c r="Q23" s="86">
        <f>Q8-(Q10-P10)</f>
        <v/>
      </c>
      <c r="R23" s="86">
        <f>R8-(R10-Q10)</f>
        <v/>
      </c>
      <c r="S23" s="86">
        <f>S8-(S10-R10)</f>
        <v/>
      </c>
      <c r="T23" s="86">
        <f>T8-(T10-S10)</f>
        <v/>
      </c>
      <c r="U23" s="86">
        <f>U8-(U10-T10)</f>
        <v/>
      </c>
      <c r="V23" s="86">
        <f>V8-(V10-U10)</f>
        <v/>
      </c>
      <c r="W23" s="86">
        <f>W8-(W10-V10)</f>
        <v/>
      </c>
      <c r="X23" s="86">
        <f>X8-(X10-W10)</f>
        <v/>
      </c>
      <c r="Y23" s="86">
        <f>Y8-(Y10-X10)</f>
        <v/>
      </c>
      <c r="Z23" s="86">
        <f>Z8-(Z10-Y10)</f>
        <v/>
      </c>
      <c r="AA23" s="86">
        <f>AA8-(AA10-Z10)</f>
        <v/>
      </c>
      <c r="AB23" s="86">
        <f>AB8-(AB10-AA10)</f>
        <v/>
      </c>
      <c r="AC23" s="86">
        <f>AC8-(AC10-AB10)</f>
        <v/>
      </c>
      <c r="AD23" s="86">
        <f>AD8-(AD10-AC10)</f>
        <v/>
      </c>
      <c r="AE23" s="86">
        <f>AE8-(AE10-AD10)</f>
        <v/>
      </c>
      <c r="AF23" s="86">
        <f>AF8-(AF10-AE10)</f>
        <v/>
      </c>
    </row>
    <row r="24" ht="15" customHeight="1" s="62">
      <c r="A24" s="86" t="inlineStr">
        <is>
          <t>FCFE = NI − ΔCSE  (net distribution)</t>
        </is>
      </c>
      <c r="C24" s="101">
        <f>C7-(C9-B9)</f>
        <v/>
      </c>
      <c r="D24" s="101">
        <f>D7-(D9-C9)</f>
        <v/>
      </c>
      <c r="E24" s="101">
        <f>E7-(E9-D9)</f>
        <v/>
      </c>
      <c r="F24" s="101">
        <f>F7-(F9-E9)</f>
        <v/>
      </c>
      <c r="G24" s="101">
        <f>G7-(G9-F9)</f>
        <v/>
      </c>
      <c r="H24" s="101">
        <f>H7-(H9-G9)</f>
        <v/>
      </c>
      <c r="I24" s="101">
        <f>I7-(I9-H9)</f>
        <v/>
      </c>
      <c r="J24" s="101">
        <f>J7-(J9-I9)</f>
        <v/>
      </c>
      <c r="K24" s="101">
        <f>K7-(K9-J9)</f>
        <v/>
      </c>
      <c r="L24" s="101">
        <f>L7-(L9-K9)</f>
        <v/>
      </c>
      <c r="M24" s="101">
        <f>M7-(M9-L9)</f>
        <v/>
      </c>
      <c r="N24" s="101">
        <f>N7-(N9-M9)</f>
        <v/>
      </c>
      <c r="O24" s="101">
        <f>O7-(O9-N9)</f>
        <v/>
      </c>
      <c r="P24" s="86">
        <f>P7-(P9-O9)</f>
        <v/>
      </c>
      <c r="Q24" s="86">
        <f>Q7-(Q9-P9)</f>
        <v/>
      </c>
      <c r="R24" s="86">
        <f>R7-(R9-Q9)</f>
        <v/>
      </c>
      <c r="S24" s="86">
        <f>S7-(S9-R9)</f>
        <v/>
      </c>
      <c r="T24" s="86">
        <f>T7-(T9-S9)</f>
        <v/>
      </c>
      <c r="U24" s="86">
        <f>U7-(U9-T9)</f>
        <v/>
      </c>
      <c r="V24" s="86">
        <f>V7-(V9-U9)</f>
        <v/>
      </c>
      <c r="W24" s="86">
        <f>W7-(W9-V9)</f>
        <v/>
      </c>
      <c r="X24" s="86">
        <f>X7-(X9-W9)</f>
        <v/>
      </c>
      <c r="Y24" s="86">
        <f>Y7-(Y9-X9)</f>
        <v/>
      </c>
      <c r="Z24" s="86">
        <f>Z7-(Z9-Y9)</f>
        <v/>
      </c>
      <c r="AA24" s="86">
        <f>AA7-(AA9-Z9)</f>
        <v/>
      </c>
      <c r="AB24" s="86">
        <f>AB7-(AB9-AA9)</f>
        <v/>
      </c>
      <c r="AC24" s="86">
        <f>AC7-(AC9-AB9)</f>
        <v/>
      </c>
      <c r="AD24" s="86">
        <f>AD7-(AD9-AC9)</f>
        <v/>
      </c>
      <c r="AE24" s="86">
        <f>AE7-(AE9-AD9)</f>
        <v/>
      </c>
      <c r="AF24" s="86">
        <f>AF7-(AF9-AE9)</f>
        <v/>
      </c>
    </row>
    <row r="25" ht="15" customHeight="1" s="62">
      <c r="A25" s="86" t="inlineStr">
        <is>
          <t>FCFD = NFE − ΔNFO</t>
        </is>
      </c>
      <c r="C25" s="101">
        <f>C12-(C11-B11)</f>
        <v/>
      </c>
      <c r="D25" s="101">
        <f>D12-(D11-C11)</f>
        <v/>
      </c>
      <c r="E25" s="101">
        <f>E12-(E11-D11)</f>
        <v/>
      </c>
      <c r="F25" s="101">
        <f>F12-(F11-E11)</f>
        <v/>
      </c>
      <c r="G25" s="101">
        <f>G12-(G11-F11)</f>
        <v/>
      </c>
      <c r="H25" s="101">
        <f>H12-(H11-G11)</f>
        <v/>
      </c>
      <c r="I25" s="101">
        <f>I12-(I11-H11)</f>
        <v/>
      </c>
      <c r="J25" s="101">
        <f>J12-(J11-I11)</f>
        <v/>
      </c>
      <c r="K25" s="101">
        <f>K12-(K11-J11)</f>
        <v/>
      </c>
      <c r="L25" s="101">
        <f>L12-(L11-K11)</f>
        <v/>
      </c>
      <c r="M25" s="101">
        <f>M12-(M11-L11)</f>
        <v/>
      </c>
      <c r="N25" s="101">
        <f>N12-(N11-M11)</f>
        <v/>
      </c>
      <c r="O25" s="101">
        <f>O12-(O11-N11)</f>
        <v/>
      </c>
      <c r="P25" s="86">
        <f>P12-(P11-O11)</f>
        <v/>
      </c>
      <c r="Q25" s="86">
        <f>Q12-(Q11-P11)</f>
        <v/>
      </c>
      <c r="R25" s="86">
        <f>R12-(R11-Q11)</f>
        <v/>
      </c>
      <c r="S25" s="86">
        <f>S12-(S11-R11)</f>
        <v/>
      </c>
      <c r="T25" s="86">
        <f>T12-(T11-S11)</f>
        <v/>
      </c>
      <c r="U25" s="86">
        <f>U12-(U11-T11)</f>
        <v/>
      </c>
      <c r="V25" s="86">
        <f>V12-(V11-U11)</f>
        <v/>
      </c>
      <c r="W25" s="86">
        <f>W12-(W11-V11)</f>
        <v/>
      </c>
      <c r="X25" s="86">
        <f>X12-(X11-W11)</f>
        <v/>
      </c>
      <c r="Y25" s="86">
        <f>Y12-(Y11-X11)</f>
        <v/>
      </c>
      <c r="Z25" s="86">
        <f>Z12-(Z11-Y11)</f>
        <v/>
      </c>
      <c r="AA25" s="86">
        <f>AA12-(AA11-Z11)</f>
        <v/>
      </c>
      <c r="AB25" s="86">
        <f>AB12-(AB11-AA11)</f>
        <v/>
      </c>
      <c r="AC25" s="86">
        <f>AC12-(AC11-AB11)</f>
        <v/>
      </c>
      <c r="AD25" s="86">
        <f>AD12-(AD11-AC11)</f>
        <v/>
      </c>
      <c r="AE25" s="86">
        <f>AE12-(AE11-AD11)</f>
        <v/>
      </c>
      <c r="AF25" s="86">
        <f>AF12-(AF11-AE11)</f>
        <v/>
      </c>
    </row>
    <row r="27" ht="15" customHeight="1" s="62">
      <c r="A27" s="86" t="inlineStr">
        <is>
          <t>RI = NI − ρE·CSE(prior)</t>
        </is>
      </c>
      <c r="C27" s="101">
        <f>C7-C5*B9</f>
        <v/>
      </c>
      <c r="D27" s="101">
        <f>D7-D5*C9</f>
        <v/>
      </c>
      <c r="E27" s="101">
        <f>E7-E5*D9</f>
        <v/>
      </c>
      <c r="F27" s="101">
        <f>F7-F5*E9</f>
        <v/>
      </c>
      <c r="G27" s="101">
        <f>G7-G5*F9</f>
        <v/>
      </c>
      <c r="H27" s="101">
        <f>H7-H5*G9</f>
        <v/>
      </c>
      <c r="I27" s="101">
        <f>I7-I5*H9</f>
        <v/>
      </c>
      <c r="J27" s="101">
        <f>J7-J5*I9</f>
        <v/>
      </c>
      <c r="K27" s="101">
        <f>K7-K5*J9</f>
        <v/>
      </c>
      <c r="L27" s="101">
        <f>L7-L5*K9</f>
        <v/>
      </c>
      <c r="M27" s="101">
        <f>M7-M5*L9</f>
        <v/>
      </c>
      <c r="N27" s="101">
        <f>N7-N5*M9</f>
        <v/>
      </c>
      <c r="O27" s="101">
        <f>O7-O5*N9</f>
        <v/>
      </c>
      <c r="P27" s="86">
        <f>P7-P5*O9</f>
        <v/>
      </c>
      <c r="Q27" s="86">
        <f>Q7-Q5*P9</f>
        <v/>
      </c>
      <c r="R27" s="86">
        <f>R7-R5*Q9</f>
        <v/>
      </c>
      <c r="S27" s="86">
        <f>S7-S5*R9</f>
        <v/>
      </c>
      <c r="T27" s="86">
        <f>T7-T5*S9</f>
        <v/>
      </c>
      <c r="U27" s="86">
        <f>U7-U5*T9</f>
        <v/>
      </c>
      <c r="V27" s="86">
        <f>V7-V5*U9</f>
        <v/>
      </c>
      <c r="W27" s="86">
        <f>W7-W5*V9</f>
        <v/>
      </c>
      <c r="X27" s="86">
        <f>X7-X5*W9</f>
        <v/>
      </c>
      <c r="Y27" s="86">
        <f>Y7-Y5*X9</f>
        <v/>
      </c>
      <c r="Z27" s="86">
        <f>Z7-Z5*Y9</f>
        <v/>
      </c>
      <c r="AA27" s="86">
        <f>AA7-AA5*Z9</f>
        <v/>
      </c>
      <c r="AB27" s="86">
        <f>AB7-AB5*AA9</f>
        <v/>
      </c>
      <c r="AC27" s="86">
        <f>AC7-AC5*AB9</f>
        <v/>
      </c>
      <c r="AD27" s="86">
        <f>AD7-AD5*AC9</f>
        <v/>
      </c>
      <c r="AE27" s="86">
        <f>AE7-AE5*AD9</f>
        <v/>
      </c>
      <c r="AF27" s="86">
        <f>AF7-AF5*AE9</f>
        <v/>
      </c>
    </row>
    <row r="28" ht="15" customHeight="1" s="62">
      <c r="A28" s="86" t="inlineStr">
        <is>
          <t>ReOI = OI_at − ρF·NOA(prior)</t>
        </is>
      </c>
      <c r="C28" s="101">
        <f>C8-C14*B10</f>
        <v/>
      </c>
      <c r="D28" s="101">
        <f>D8-D14*C10</f>
        <v/>
      </c>
      <c r="E28" s="101">
        <f>E8-E14*D10</f>
        <v/>
      </c>
      <c r="F28" s="101">
        <f>F8-F14*E10</f>
        <v/>
      </c>
      <c r="G28" s="101">
        <f>G8-G14*F10</f>
        <v/>
      </c>
      <c r="H28" s="101">
        <f>H8-H14*G10</f>
        <v/>
      </c>
      <c r="I28" s="101">
        <f>I8-I14*H10</f>
        <v/>
      </c>
      <c r="J28" s="101">
        <f>J8-J14*I10</f>
        <v/>
      </c>
      <c r="K28" s="101">
        <f>K8-K14*J10</f>
        <v/>
      </c>
      <c r="L28" s="101">
        <f>L8-L14*K10</f>
        <v/>
      </c>
      <c r="M28" s="101">
        <f>M8-M14*L10</f>
        <v/>
      </c>
      <c r="N28" s="101">
        <f>N8-N14*M10</f>
        <v/>
      </c>
      <c r="O28" s="101">
        <f>O8-O14*N10</f>
        <v/>
      </c>
      <c r="P28" s="86">
        <f>P8-P14*O10</f>
        <v/>
      </c>
      <c r="Q28" s="86">
        <f>Q8-Q14*P10</f>
        <v/>
      </c>
      <c r="R28" s="86">
        <f>R8-R14*Q10</f>
        <v/>
      </c>
      <c r="S28" s="86">
        <f>S8-S14*R10</f>
        <v/>
      </c>
      <c r="T28" s="86">
        <f>T8-T14*S10</f>
        <v/>
      </c>
      <c r="U28" s="86">
        <f>U8-U14*T10</f>
        <v/>
      </c>
      <c r="V28" s="86">
        <f>V8-V14*U10</f>
        <v/>
      </c>
      <c r="W28" s="86">
        <f>W8-W14*V10</f>
        <v/>
      </c>
      <c r="X28" s="86">
        <f>X8-X14*W10</f>
        <v/>
      </c>
      <c r="Y28" s="86">
        <f>Y8-Y14*X10</f>
        <v/>
      </c>
      <c r="Z28" s="86">
        <f>Z8-Z14*Y10</f>
        <v/>
      </c>
      <c r="AA28" s="86">
        <f>AA8-AA14*Z10</f>
        <v/>
      </c>
      <c r="AB28" s="86">
        <f>AB8-AB14*AA10</f>
        <v/>
      </c>
      <c r="AC28" s="86">
        <f>AC8-AC14*AB10</f>
        <v/>
      </c>
      <c r="AD28" s="86">
        <f>AD8-AD14*AC10</f>
        <v/>
      </c>
      <c r="AE28" s="86">
        <f>AE8-AE14*AD10</f>
        <v/>
      </c>
      <c r="AF28" s="86">
        <f>AF8-AF14*AE10</f>
        <v/>
      </c>
    </row>
    <row r="29" ht="15" customHeight="1" s="62">
      <c r="A29" s="86" t="inlineStr">
        <is>
          <t>RFD = NFE − ρD·NFO(prior)</t>
        </is>
      </c>
      <c r="C29" s="101">
        <f>C12-C6*B11</f>
        <v/>
      </c>
      <c r="D29" s="101">
        <f>D12-D6*C11</f>
        <v/>
      </c>
      <c r="E29" s="101">
        <f>E12-E6*D11</f>
        <v/>
      </c>
      <c r="F29" s="101">
        <f>F12-F6*E11</f>
        <v/>
      </c>
      <c r="G29" s="101">
        <f>G12-G6*F11</f>
        <v/>
      </c>
      <c r="H29" s="101">
        <f>H12-H6*G11</f>
        <v/>
      </c>
      <c r="I29" s="101">
        <f>I12-I6*H11</f>
        <v/>
      </c>
      <c r="J29" s="101">
        <f>J12-J6*I11</f>
        <v/>
      </c>
      <c r="K29" s="101">
        <f>K12-K6*J11</f>
        <v/>
      </c>
      <c r="L29" s="101">
        <f>L12-L6*K11</f>
        <v/>
      </c>
      <c r="M29" s="101">
        <f>M12-M6*L11</f>
        <v/>
      </c>
      <c r="N29" s="101">
        <f>N12-N6*M11</f>
        <v/>
      </c>
      <c r="O29" s="101">
        <f>O12-O6*N11</f>
        <v/>
      </c>
      <c r="P29" s="86">
        <f>P12-P6*O11</f>
        <v/>
      </c>
      <c r="Q29" s="86">
        <f>Q12-Q6*P11</f>
        <v/>
      </c>
      <c r="R29" s="86">
        <f>R12-R6*Q11</f>
        <v/>
      </c>
      <c r="S29" s="86">
        <f>S12-S6*R11</f>
        <v/>
      </c>
      <c r="T29" s="86">
        <f>T12-T6*S11</f>
        <v/>
      </c>
      <c r="U29" s="86">
        <f>U12-U6*T11</f>
        <v/>
      </c>
      <c r="V29" s="86">
        <f>V12-V6*U11</f>
        <v/>
      </c>
      <c r="W29" s="86">
        <f>W12-W6*V11</f>
        <v/>
      </c>
      <c r="X29" s="86">
        <f>X12-X6*W11</f>
        <v/>
      </c>
      <c r="Y29" s="86">
        <f>Y12-Y6*X11</f>
        <v/>
      </c>
      <c r="Z29" s="86">
        <f>Z12-Z6*Y11</f>
        <v/>
      </c>
      <c r="AA29" s="86">
        <f>AA12-AA6*Z11</f>
        <v/>
      </c>
      <c r="AB29" s="86">
        <f>AB12-AB6*AA11</f>
        <v/>
      </c>
      <c r="AC29" s="86">
        <f>AC12-AC6*AB11</f>
        <v/>
      </c>
      <c r="AD29" s="86">
        <f>AD12-AD6*AC11</f>
        <v/>
      </c>
      <c r="AE29" s="86">
        <f>AE12-AE6*AD11</f>
        <v/>
      </c>
      <c r="AF29" s="86">
        <f>AF12-AF6*AE11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Equity via FCFF = V(ops) − V(net debt)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 xml:space="preserve">  diagnostic equity (direct) − additive equity  [WACC-weight wedge]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2026-07-10T07:00:08Z</dcterms:created>
  <dcterms:modified xmlns:dcterms="http://purl.org/dc/terms/" xmlns:xsi="http://www.w3.org/2001/XMLSchema-instance" xsi:type="dcterms:W3CDTF">2026-07-13T19:38:16Z</dcterms:modified>
  <cp:revision>0</cp:revision>
</cp:coreProperties>
</file>
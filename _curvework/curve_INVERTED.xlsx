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<sst xmlns="http://schemas.openxmlformats.org/spreadsheetml/2006/main" count="1040" uniqueCount="816">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</sst>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1.00700697780454E-015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1.67400815431762E-016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1.67400815431762E-016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146.516804406607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146.516804406607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v>0.0886666666666667</v>
      </c>
      <c r="C26" s="36" t="n">
        <v>0.0873333333333333</v>
      </c>
      <c r="D26" s="36" t="n">
        <v>0.086</v>
      </c>
      <c r="E26" s="36" t="n">
        <v>0.0846666666666667</v>
      </c>
      <c r="F26" s="36" t="n">
        <v>0.0833333333333333</v>
      </c>
      <c r="G26" s="36" t="n">
        <v>0.082</v>
      </c>
      <c r="H26" s="36" t="n">
        <v>0.0806666666666667</v>
      </c>
      <c r="I26" s="36" t="n">
        <v>0.0793333333333333</v>
      </c>
      <c r="J26" s="36" t="n">
        <v>0.078</v>
      </c>
      <c r="K26" s="36" t="n">
        <v>0.0766666666666667</v>
      </c>
      <c r="L26" s="36" t="n">
        <v>0.0753333333333333</v>
      </c>
      <c r="M26" s="36" t="n">
        <v>0.074</v>
      </c>
      <c r="N26" s="36" t="n">
        <v>0.0726666666666667</v>
      </c>
      <c r="O26" s="36" t="n">
        <v>0.0713333333333333</v>
      </c>
      <c r="P26" s="36" t="n">
        <v>0.07</v>
      </c>
      <c r="Q26" s="36" t="n">
        <v>0.0686666666666667</v>
      </c>
      <c r="R26" s="36" t="n">
        <v>0.0673333333333333</v>
      </c>
      <c r="S26" s="36" t="n">
        <v>0.066</v>
      </c>
      <c r="T26" s="36" t="n">
        <v>0.0646666666666667</v>
      </c>
      <c r="U26" s="36" t="n">
        <v>0.0633333333333333</v>
      </c>
      <c r="V26" s="36" t="n">
        <v>0.062</v>
      </c>
      <c r="W26" s="36" t="n">
        <v>0.0606666666666667</v>
      </c>
      <c r="X26" s="36" t="n">
        <v>0.0593333333333333</v>
      </c>
      <c r="Y26" s="36" t="n">
        <v>0.058</v>
      </c>
      <c r="Z26" s="36" t="n">
        <v>0.0566666666666667</v>
      </c>
      <c r="AA26" s="36" t="n">
        <v>0.0553333333333333</v>
      </c>
      <c r="AB26" s="36" t="n">
        <v>0.054</v>
      </c>
      <c r="AC26" s="36" t="n">
        <v>0.0526666666666667</v>
      </c>
      <c r="AD26" s="36" t="n">
        <v>0.0513333333333333</v>
      </c>
      <c r="AE26" s="36" t="n">
        <v>0.05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0.05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0.952380952380952</v>
      </c>
      <c r="D108" s="48" t="n">
        <f aca="false">1/(1+$B$107)^(D5-$B$5)</f>
        <v>0.90702947845805</v>
      </c>
      <c r="E108" s="48" t="n">
        <f aca="false">1/(1+$B$107)^(E5-$B$5)</f>
        <v>0.863837598531476</v>
      </c>
      <c r="F108" s="48" t="n">
        <f aca="false">1/(1+$B$107)^(F5-$B$5)</f>
        <v>0.822702474791882</v>
      </c>
      <c r="G108" s="48" t="n">
        <f aca="false">1/(1+$B$107)^(G5-$B$5)</f>
        <v>0.783526166468459</v>
      </c>
      <c r="H108" s="48" t="n">
        <f aca="false">1/(1+$B$107)^(H5-$B$5)</f>
        <v>0.746215396636627</v>
      </c>
      <c r="I108" s="48" t="n">
        <f aca="false">1/(1+$B$107)^(I5-$B$5)</f>
        <v>0.710681330130121</v>
      </c>
      <c r="J108" s="48" t="n">
        <f aca="false">1/(1+$B$107)^(J5-$B$5)</f>
        <v>0.676839362028687</v>
      </c>
      <c r="K108" s="48" t="n">
        <f aca="false">1/(1+$B$107)^(K5-$B$5)</f>
        <v>0.644608916217797</v>
      </c>
      <c r="L108" s="48" t="n">
        <f aca="false">1/(1+$B$107)^(L5-$B$5)</f>
        <v>0.613913253540759</v>
      </c>
      <c r="M108" s="48" t="n">
        <f aca="false">1/(1+$B$107)^(M5-$B$5)</f>
        <v>0.584679289086437</v>
      </c>
      <c r="N108" s="48" t="n">
        <f aca="false">1/(1+$B$107)^(N5-$B$5)</f>
        <v>0.556837418177559</v>
      </c>
      <c r="O108" s="48" t="n">
        <f aca="false">1/(1+$B$107)^(O5-$B$5)</f>
        <v>0.530321350645295</v>
      </c>
      <c r="P108" s="48" t="n">
        <f aca="false">1/(1+$B$107)^(P5-$B$5)</f>
        <v>0.505067952995519</v>
      </c>
      <c r="Q108" s="48" t="n">
        <f aca="false">1/(1+$B$107)^(Q5-$B$5)</f>
        <v>0.48101709809097</v>
      </c>
      <c r="R108" s="48" t="n">
        <f aca="false">1/(1+$B$107)^(R5-$B$5)</f>
        <v>0.4581115219914</v>
      </c>
      <c r="S108" s="48" t="n">
        <f aca="false">1/(1+$B$107)^(S5-$B$5)</f>
        <v>0.436296687610857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0.00988084217567416</v>
      </c>
      <c r="D109" s="42" t="n">
        <f aca="false">D102-$B$107*C100</f>
        <v>0.0183195272287688</v>
      </c>
      <c r="E109" s="42" t="n">
        <f aca="false">E102-$B$107*D100</f>
        <v>0.033719076622675</v>
      </c>
      <c r="F109" s="42" t="n">
        <f aca="false">F102-$B$107*E100</f>
        <v>0.0531332130981637</v>
      </c>
      <c r="G109" s="42" t="n">
        <f aca="false">G102-$B$107*F100</f>
        <v>0.0403752160414962</v>
      </c>
      <c r="H109" s="42" t="n">
        <f aca="false">H102-$B$107*G100</f>
        <v>0.0437910893551827</v>
      </c>
      <c r="I109" s="42" t="n">
        <f aca="false">I102-$B$107*H100</f>
        <v>0.0605592590161328</v>
      </c>
      <c r="J109" s="42" t="n">
        <f aca="false">J102-$B$107*I100</f>
        <v>0.0474078745666489</v>
      </c>
      <c r="K109" s="42" t="n">
        <f aca="false">K102-$B$107*J100</f>
        <v>0.0549804609393061</v>
      </c>
      <c r="L109" s="42" t="n">
        <f aca="false">L102-$B$107*K100</f>
        <v>0.0630130754784378</v>
      </c>
      <c r="M109" s="42" t="n">
        <f aca="false">M102-$B$107*L100</f>
        <v>0.0625435457305913</v>
      </c>
      <c r="N109" s="42" t="n">
        <f aca="false">N102-$B$107*M100</f>
        <v>0.0650141984382406</v>
      </c>
      <c r="O109" s="42" t="n">
        <f aca="false">O102-$B$107*N100</f>
        <v>0.110060962154741</v>
      </c>
      <c r="P109" s="42" t="n">
        <f aca="false">P102-$B$107*O100</f>
        <v>0.0936074538196487</v>
      </c>
      <c r="Q109" s="42" t="n">
        <f aca="false">Q102-$B$107*P100</f>
        <v>0.086300490546481</v>
      </c>
      <c r="R109" s="42" t="n">
        <f aca="false">R102-$B$107*Q100</f>
        <v>0.0867251481943193</v>
      </c>
      <c r="S109" s="42" t="n">
        <f aca="false">S102-$B$107*R100</f>
        <v>0.105961128164466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0.0106088274625804</v>
      </c>
      <c r="D110" s="42" t="n">
        <f aca="false">(D102+(D99-C99))-$B$107*C101</f>
        <v>0.0196612255392404</v>
      </c>
      <c r="E110" s="42" t="n">
        <f aca="false">(E102+(E99-D99))-$B$107*D101</f>
        <v>0.0348231554953504</v>
      </c>
      <c r="F110" s="42" t="n">
        <f aca="false">(F102+(F99-E99))-$B$107*E101</f>
        <v>0.0539060862141965</v>
      </c>
      <c r="G110" s="42" t="n">
        <f aca="false">(G102+(G99-F99))-$B$107*F101</f>
        <v>0.0723119491884482</v>
      </c>
      <c r="H110" s="42" t="n">
        <f aca="false">(H102+(H99-G99))-$B$107*G101</f>
        <v>0.104356572754758</v>
      </c>
      <c r="I110" s="42" t="n">
        <f aca="false">(I102+(I99-H99))-$B$107*H101</f>
        <v>0.104335564833601</v>
      </c>
      <c r="J110" s="42" t="n">
        <f aca="false">(J102+(J99-I99))-$B$107*I101</f>
        <v>0.0805014844661591</v>
      </c>
      <c r="K110" s="42" t="n">
        <f aca="false">(K102+(K99-J99))-$B$107*J101</f>
        <v>0.0886372399607207</v>
      </c>
      <c r="L110" s="42" t="n">
        <f aca="false">(L102+(L99-K99))-$B$107*K101</f>
        <v>0.14646190955065</v>
      </c>
      <c r="M110" s="42" t="n">
        <f aca="false">(M102+(M99-L99))-$B$107*L101</f>
        <v>0.132275887934627</v>
      </c>
      <c r="N110" s="42" t="n">
        <f aca="false">(N102+(N99-M99))-$B$107*M101</f>
        <v>0.136782153125328</v>
      </c>
      <c r="O110" s="42" t="n">
        <f aca="false">(O102+(O99-N99))-$B$107*N101</f>
        <v>0.189700529302278</v>
      </c>
      <c r="P110" s="42" t="n">
        <f aca="false">(P102+(P99-O99))-$B$107*O101</f>
        <v>0.164375153848111</v>
      </c>
      <c r="Q110" s="42" t="n">
        <f aca="false">(Q102+(Q99-P99))-$B$107*P101</f>
        <v>0.134891656815268</v>
      </c>
      <c r="R110" s="42" t="n">
        <f aca="false">(R102+(R99-Q99))-$B$107*Q101</f>
        <v>0.147149389323796</v>
      </c>
      <c r="S110" s="42" t="n">
        <f aca="false">(S102+(S99-R99))-$B$107*R101</f>
        <v>0.154103361417475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0.61041682505617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0.61041682505617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0.0104074258831526</v>
      </c>
      <c r="L16" s="42" t="n">
        <f aca="false">IF(L4&lt;=cfg_N,(L15*(1-L17))-L35,L60*K24)</f>
        <v>0.010554728574382</v>
      </c>
      <c r="M16" s="42" t="n">
        <f aca="false">IF(M4&lt;=cfg_N,(M15*(1-M17))-M35,M60*L24)</f>
        <v>0.0106800161350632</v>
      </c>
      <c r="N16" s="42" t="n">
        <f aca="false">IF(N4&lt;=cfg_N,(N15*(1-N17))-N35,N60*M24)</f>
        <v>0.010789266176489</v>
      </c>
      <c r="O16" s="42" t="n">
        <f aca="false">IF(O4&lt;=cfg_N,(O15*(1-O17))-O35,O60*N24)</f>
        <v>0.0108886529438292</v>
      </c>
      <c r="P16" s="42" t="n">
        <f aca="false">IF(P4&lt;=cfg_N,(P15*(1-P17))-P35,P60*O24)</f>
        <v>0.0109801324810639</v>
      </c>
      <c r="Q16" s="42" t="n">
        <f aca="false">IF(Q4&lt;=cfg_N,(Q15*(1-Q17))-Q35,Q60*P24)</f>
        <v>0.0110671300017907</v>
      </c>
      <c r="R16" s="42" t="n">
        <f aca="false">IF(R4&lt;=cfg_N,(R15*(1-R17))-R35,R60*Q24)</f>
        <v>0.0111509031698288</v>
      </c>
      <c r="S16" s="42" t="n">
        <f aca="false">IF(S4&lt;=cfg_N,(S15*(1-S17))-S35,S60*R24)</f>
        <v>0.011232929855552</v>
      </c>
      <c r="T16" s="26" t="n">
        <f aca="false">IF(T4&lt;=cfg_N,(T15*(1-T17))-T35,T60*S24)</f>
        <v>0.0113159252961875</v>
      </c>
      <c r="U16" s="26" t="n">
        <f aca="false">IF(U4&lt;=cfg_N,(U15*(1-U17))-U35,U60*T24)</f>
        <v>0.0113973390863896</v>
      </c>
      <c r="V16" s="26" t="n">
        <f aca="false">IF(V4&lt;=cfg_N,(V15*(1-V17))-V35,V60*U24)</f>
        <v>0.0114791679498368</v>
      </c>
      <c r="W16" s="26" t="n">
        <f aca="false">IF(W4&lt;=cfg_N,(W15*(1-W17))-W35,W60*V24)</f>
        <v>0.0115605696580511</v>
      </c>
      <c r="X16" s="26" t="n">
        <f aca="false">IF(X4&lt;=cfg_N,(X15*(1-X17))-X35,X60*W24)</f>
        <v>0.0116463021134814</v>
      </c>
      <c r="Y16" s="26" t="n">
        <f aca="false">IF(Y4&lt;=cfg_N,(Y15*(1-Y17))-Y35,Y60*X24)</f>
        <v>0.0117300400991077</v>
      </c>
      <c r="Z16" s="26" t="n">
        <f aca="false">IF(Z4&lt;=cfg_N,(Z15*(1-Z17))-Z35,Z60*Y24)</f>
        <v>0.011815889832111</v>
      </c>
      <c r="AA16" s="26" t="n">
        <f aca="false">IF(AA4&lt;=cfg_N,(AA15*(1-AA17))-AA35,AA60*Z24)</f>
        <v>0.011901071121598</v>
      </c>
      <c r="AB16" s="26" t="n">
        <f aca="false">IF(AB4&lt;=cfg_N,(AB15*(1-AB17))-AB35,AB60*AA24)</f>
        <v>0.0119904096368787</v>
      </c>
      <c r="AC16" s="26" t="n">
        <f aca="false">IF(AC4&lt;=cfg_N,(AC15*(1-AC17))-AC35,AC60*AB24)</f>
        <v>0.0120783311401927</v>
      </c>
      <c r="AD16" s="26" t="n">
        <f aca="false">IF(AD4&lt;=cfg_N,(AD15*(1-AD17))-AD35,AD60*AC24)</f>
        <v>0.0121672977476523</v>
      </c>
      <c r="AE16" s="26" t="n">
        <f aca="false">IF(AE4&lt;=cfg_N,(AE15*(1-AE17))-AE35,AE60*AD24)</f>
        <v>0.0122578459582436</v>
      </c>
      <c r="AF16" s="26" t="n">
        <f aca="false">IF(AF4&lt;=cfg_N,(AF15*(1-AF17))-AF35,AF60*AE24)</f>
        <v>0.0123476607838025</v>
      </c>
      <c r="AG16" s="26" t="n">
        <f aca="false">IF(AG4&lt;=cfg_N,(AG15*(1-AG17))-AG35,AG60*AF24)</f>
        <v>0.0124397985642423</v>
      </c>
      <c r="AH16" s="26" t="n">
        <f aca="false">IF(AH4&lt;=cfg_N,(AH15*(1-AH17))-AH35,AH60*AG24)</f>
        <v>0.0125316430904873</v>
      </c>
      <c r="AI16" s="26" t="n">
        <f aca="false">IF(AI4&lt;=cfg_N,(AI15*(1-AI17))-AI35,AI60*AH24)</f>
        <v>0.0665837944525211</v>
      </c>
      <c r="AJ16" s="26" t="n">
        <f aca="false">IF(AJ4&lt;=cfg_N,(AJ15*(1-AJ17))-AJ35,AJ60*AI24)</f>
        <v>0.0150326807622658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0.00849340533528254</v>
      </c>
      <c r="L19" s="42" t="n">
        <f aca="false">L16-L18</f>
        <v>0.00856644862116597</v>
      </c>
      <c r="M19" s="42" t="n">
        <f aca="false">M16-M18</f>
        <v>0.00863783569300902</v>
      </c>
      <c r="N19" s="42" t="n">
        <f aca="false">N16-N18</f>
        <v>0.00870743808805599</v>
      </c>
      <c r="O19" s="42" t="n">
        <f aca="false">O16-O18</f>
        <v>0.00877512195554718</v>
      </c>
      <c r="P19" s="42" t="n">
        <f aca="false">P16-P18</f>
        <v>0.0088407478676079</v>
      </c>
      <c r="Q19" s="42" t="n">
        <f aca="false">Q16-Q18</f>
        <v>0.00890417062404943</v>
      </c>
      <c r="R19" s="42" t="n">
        <f aca="false">R16-R18</f>
        <v>0.00896523905089579</v>
      </c>
      <c r="S19" s="42" t="n">
        <f aca="false">S16-S18</f>
        <v>0.00902379579244443</v>
      </c>
      <c r="T19" s="26" t="n">
        <f aca="false">T16-T18</f>
        <v>0.00907967709666369</v>
      </c>
      <c r="U19" s="26" t="n">
        <f aca="false">U16-U18</f>
        <v>0.00913271259372365</v>
      </c>
      <c r="V19" s="26" t="n">
        <f aca="false">V16-V18</f>
        <v>0.00918272506745118</v>
      </c>
      <c r="W19" s="26" t="n">
        <f aca="false">W16-W18</f>
        <v>0.00922953021949401</v>
      </c>
      <c r="X19" s="26" t="n">
        <f aca="false">X16-X18</f>
        <v>0.00927293642597183</v>
      </c>
      <c r="Y19" s="26" t="n">
        <f aca="false">Y16-Y18</f>
        <v>0.00931274448638636</v>
      </c>
      <c r="Z19" s="26" t="n">
        <f aca="false">Z16-Z18</f>
        <v>0.00934874736455537</v>
      </c>
      <c r="AA19" s="26" t="n">
        <f aca="false">AA16-AA18</f>
        <v>0.00938072992132885</v>
      </c>
      <c r="AB19" s="26" t="n">
        <f aca="false">AB16-AB18</f>
        <v>0.00940846863883816</v>
      </c>
      <c r="AC19" s="26" t="n">
        <f aca="false">AC16-AC18</f>
        <v>0.0094317313360221</v>
      </c>
      <c r="AD19" s="26" t="n">
        <f aca="false">AD16-AD18</f>
        <v>0.00945027687516596</v>
      </c>
      <c r="AE19" s="26" t="n">
        <f aca="false">AE16-AE18</f>
        <v>0.009463854859182</v>
      </c>
      <c r="AF19" s="26" t="n">
        <f aca="false">AF16-AF18</f>
        <v>0.00947220531935187</v>
      </c>
      <c r="AG19" s="26" t="n">
        <f aca="false">AG16-AG18</f>
        <v>0.00947505839324324</v>
      </c>
      <c r="AH19" s="26" t="n">
        <f aca="false">AH16-AH18</f>
        <v>0.00947213399250458</v>
      </c>
      <c r="AI19" s="26" t="n">
        <f aca="false">AI16-AI18</f>
        <v>0.00946314146023321</v>
      </c>
      <c r="AJ19" s="26" t="n">
        <f aca="false">AJ16-AJ18</f>
        <v>0.00944777921760297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-12.1828644047453</v>
      </c>
      <c r="L29" s="47" t="n">
        <f aca="false">IF(cfg_mode="Enterprise",IF(L20=0,0,(L19-(L27-K27)-L31)/L20),in_payout_seed*L30)</f>
        <v>-12.8847898429116</v>
      </c>
      <c r="M29" s="47" t="n">
        <f aca="false">IF(cfg_mode="Enterprise",IF(M20=0,0,(M19-(M27-L27)-M31)/M20),in_payout_seed*M30)</f>
        <v>-13.6271470798111</v>
      </c>
      <c r="N29" s="47" t="n">
        <f aca="false">IF(cfg_mode="Enterprise",IF(N20=0,0,(N19-(N27-M27)-N31)/N20),in_payout_seed*N30)</f>
        <v>-14.4122644696516</v>
      </c>
      <c r="O29" s="47" t="n">
        <f aca="false">IF(cfg_mode="Enterprise",IF(O20=0,0,(O19-(O27-N27)-O31)/O20),in_payout_seed*O30)</f>
        <v>-15.2426044182972</v>
      </c>
      <c r="P29" s="47" t="n">
        <f aca="false">IF(cfg_mode="Enterprise",IF(P20=0,0,(P19-(P27-O27)-P31)/P20),in_payout_seed*P30)</f>
        <v>-16.1207710993264</v>
      </c>
      <c r="Q29" s="47" t="n">
        <f aca="false">IF(cfg_mode="Enterprise",IF(Q20=0,0,(Q19-(Q27-P27)-Q31)/Q20),in_payout_seed*Q30)</f>
        <v>-17.0495186141323</v>
      </c>
      <c r="R29" s="47" t="n">
        <f aca="false">IF(cfg_mode="Enterprise",IF(R20=0,0,(R19-(R27-Q27)-R31)/R20),in_payout_seed*R30)</f>
        <v>-18.0317596216094</v>
      </c>
      <c r="S29" s="47" t="n">
        <f aca="false">IF(cfg_mode="Enterprise",IF(S20=0,0,(S19-(S27-R27)-S31)/S20),in_payout_seed*S30)</f>
        <v>-19.0705744644463</v>
      </c>
      <c r="T29" s="26" t="n">
        <f aca="false">IF(cfg_mode="Enterprise",IF(T20=0,0,(T19-(T27-S27)-T31)/T20),in_payout_seed*T30)</f>
        <v>-20.1692208205953</v>
      </c>
      <c r="U29" s="26" t="n">
        <f aca="false">IF(cfg_mode="Enterprise",IF(U20=0,0,(U19-(U27-T27)-U31)/U20),in_payout_seed*U30)</f>
        <v>-21.3311439101337</v>
      </c>
      <c r="V29" s="26" t="n">
        <f aca="false">IF(cfg_mode="Enterprise",IF(V20=0,0,(V19-(V27-U27)-V31)/V20),in_payout_seed*V30)</f>
        <v>-22.5599872894707</v>
      </c>
      <c r="W29" s="26" t="n">
        <f aca="false">IF(cfg_mode="Enterprise",IF(W20=0,0,(W19-(W27-V27)-W31)/W20),in_payout_seed*W30)</f>
        <v>-23.8596042666896</v>
      </c>
      <c r="X29" s="26" t="n">
        <f aca="false">IF(cfg_mode="Enterprise",IF(X20=0,0,(X19-(X27-W27)-X31)/X20),in_payout_seed*X30)</f>
        <v>-25.2340699737615</v>
      </c>
      <c r="Y29" s="26" t="n">
        <f aca="false">IF(cfg_mode="Enterprise",IF(Y20=0,0,(Y19-(Y27-X27)-Y31)/Y20),in_payout_seed*Y30)</f>
        <v>-26.6876941334189</v>
      </c>
      <c r="Z29" s="26" t="n">
        <f aca="false">IF(cfg_mode="Enterprise",IF(Z20=0,0,(Z19-(Z27-Y27)-Z31)/Z20),in_payout_seed*Z30)</f>
        <v>-28.2250345606551</v>
      </c>
      <c r="AA29" s="26" t="n">
        <f aca="false">IF(cfg_mode="Enterprise",IF(AA20=0,0,(AA19-(AA27-Z27)-AA31)/AA20),in_payout_seed*AA30)</f>
        <v>-29.850911441109</v>
      </c>
      <c r="AB29" s="26" t="n">
        <f aca="false">IF(cfg_mode="Enterprise",IF(AB20=0,0,(AB19-(AB27-AA27)-AB31)/AB20),in_payout_seed*AB30)</f>
        <v>-31.5704224310308</v>
      </c>
      <c r="AC29" s="26" t="n">
        <f aca="false">IF(cfg_mode="Enterprise",IF(AC20=0,0,(AC19-(AC27-AB27)-AC31)/AC20),in_payout_seed*AC30)</f>
        <v>-33.3889586260916</v>
      </c>
      <c r="AD29" s="26" t="n">
        <f aca="false">IF(cfg_mode="Enterprise",IF(AD20=0,0,(AD19-(AD27-AC27)-AD31)/AD20),in_payout_seed*AD30)</f>
        <v>-35.3122214490185</v>
      </c>
      <c r="AE29" s="26" t="n">
        <f aca="false">IF(cfg_mode="Enterprise",IF(AE20=0,0,(AE19-(AE27-AD27)-AE31)/AE20),in_payout_seed*AE30)</f>
        <v>-37.3462405089125</v>
      </c>
      <c r="AF29" s="26" t="n">
        <f aca="false">IF(cfg_mode="Enterprise",IF(AF20=0,0,(AF19-(AF27-AE27)-AF31)/AF20),in_payout_seed*AF30)</f>
        <v>-39.4973924881471</v>
      </c>
      <c r="AG29" s="26" t="n">
        <f aca="false">IF(cfg_mode="Enterprise",IF(AG20=0,0,(AG19-(AG27-AF27)-AG31)/AG20),in_payout_seed*AG30)</f>
        <v>-41.7724211159571</v>
      </c>
      <c r="AH29" s="26" t="n">
        <f aca="false">IF(cfg_mode="Enterprise",IF(AH20=0,0,(AH19-(AH27-AG27)-AH31)/AH20),in_payout_seed*AH30)</f>
        <v>-44.1784582912331</v>
      </c>
      <c r="AI29" s="26" t="n">
        <f aca="false">IF(cfg_mode="Enterprise",IF(AI20=0,0,(AI19-(AI27-AH27)-AI31)/AI20),in_payout_seed*AI30)</f>
        <v>-46.7230464206236</v>
      </c>
      <c r="AJ29" s="26" t="n">
        <f aca="false">IF(cfg_mode="Enterprise",IF(AJ20=0,0,(AJ19-(AJ27-AI27)-AJ31)/AJ20),in_payout_seed*AJ30)</f>
        <v>-49.4141620418569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0.659154436605824</v>
      </c>
      <c r="L30" s="47" t="n">
        <f aca="false">L19/L20</f>
        <v>0.685384705938798</v>
      </c>
      <c r="M30" s="47" t="n">
        <f aca="false">M19/M20</f>
        <v>0.71247035582985</v>
      </c>
      <c r="N30" s="47" t="n">
        <f aca="false">N19/N20</f>
        <v>0.740424057700826</v>
      </c>
      <c r="O30" s="47" t="n">
        <f aca="false">O19/O20</f>
        <v>0.769257169884532</v>
      </c>
      <c r="P30" s="47" t="n">
        <f aca="false">P19/P20</f>
        <v>0.798979547979022</v>
      </c>
      <c r="Q30" s="47" t="n">
        <f aca="false">Q19/Q20</f>
        <v>0.829599337917259</v>
      </c>
      <c r="R30" s="47" t="n">
        <f aca="false">R19/R20</f>
        <v>0.861122750401753</v>
      </c>
      <c r="S30" s="47" t="n">
        <f aca="false">S19/S20</f>
        <v>0.893553815256207</v>
      </c>
      <c r="T30" s="26" t="n">
        <f aca="false">T19/T20</f>
        <v>0.926894114141914</v>
      </c>
      <c r="U30" s="26" t="n">
        <f aca="false">U19/U20</f>
        <v>0.961142489975176</v>
      </c>
      <c r="V30" s="26" t="n">
        <f aca="false">V19/V20</f>
        <v>0.996294731262927</v>
      </c>
      <c r="W30" s="26" t="n">
        <f aca="false">W19/W20</f>
        <v>1.03234322944645</v>
      </c>
      <c r="X30" s="26" t="n">
        <f aca="false">X19/X20</f>
        <v>1.06927660720709</v>
      </c>
      <c r="Y30" s="26" t="n">
        <f aca="false">Y19/Y20</f>
        <v>1.10707931554269</v>
      </c>
      <c r="Z30" s="26" t="n">
        <f aca="false">Z19/Z20</f>
        <v>1.14573119726825</v>
      </c>
      <c r="AA30" s="26" t="n">
        <f aca="false">AA19/AA20</f>
        <v>1.1852070144286</v>
      </c>
      <c r="AB30" s="26" t="n">
        <f aca="false">AB19/AB20</f>
        <v>1.22547593693413</v>
      </c>
      <c r="AC30" s="26" t="n">
        <f aca="false">AC19/AC20</f>
        <v>1.26650098954136</v>
      </c>
      <c r="AD30" s="26" t="n">
        <f aca="false">AD19/AD20</f>
        <v>1.30823845409882</v>
      </c>
      <c r="AE30" s="26" t="n">
        <f aca="false">AE19/AE20</f>
        <v>1.350637223763</v>
      </c>
      <c r="AF30" s="26" t="n">
        <f aca="false">AF19/AF20</f>
        <v>1.39363810565964</v>
      </c>
      <c r="AG30" s="26" t="n">
        <f aca="false">AG19/AG20</f>
        <v>1.43717306821999</v>
      </c>
      <c r="AH30" s="26" t="n">
        <f aca="false">AH19/AH20</f>
        <v>1.48116442916016</v>
      </c>
      <c r="AI30" s="26" t="n">
        <f aca="false">AI19/AI20</f>
        <v>1.52552397979206</v>
      </c>
      <c r="AJ30" s="26" t="n">
        <f aca="false">AJ19/AJ20</f>
        <v>1.57015204105656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0.0117252169714628</v>
      </c>
      <c r="L40" s="1" t="n">
        <f aca="false">L16*L38</f>
        <v>0.0121306770857973</v>
      </c>
      <c r="M40" s="1" t="n">
        <f aca="false">M16*M38</f>
        <v>0.0125211691275696</v>
      </c>
      <c r="N40" s="1" t="n">
        <f aca="false">N16*N38</f>
        <v>0.0129052766786766</v>
      </c>
      <c r="O40" s="1" t="n">
        <f aca="false">O16*O38</f>
        <v>0.013291358404932</v>
      </c>
      <c r="P40" s="1" t="n">
        <f aca="false">P16*P38</f>
        <v>0.0136827856651472</v>
      </c>
      <c r="Q40" s="1" t="n">
        <f aca="false">Q16*Q38</f>
        <v>0.0140843898434332</v>
      </c>
      <c r="R40" s="1" t="n">
        <f aca="false">R16*R38</f>
        <v>0.0144983100746741</v>
      </c>
      <c r="S40" s="1" t="n">
        <f aca="false">S16*S38</f>
        <v>0.0149268392424181</v>
      </c>
      <c r="T40" s="1" t="n">
        <f aca="false">T16*T38</f>
        <v>0.0153736137252321</v>
      </c>
      <c r="U40" s="1" t="n">
        <f aca="false">U16*U38</f>
        <v>0.0158357151595063</v>
      </c>
      <c r="V40" s="1" t="n">
        <f aca="false">V16*V38</f>
        <v>0.0163159961039114</v>
      </c>
      <c r="W40" s="1" t="n">
        <f aca="false">W16*W38</f>
        <v>0.0168135610732752</v>
      </c>
      <c r="X40" s="1" t="n">
        <f aca="false">X16*X38</f>
        <v>0.0173348346795095</v>
      </c>
      <c r="Y40" s="1" t="n">
        <f aca="false">Y16*Y38</f>
        <v>0.0178711280937437</v>
      </c>
      <c r="Z40" s="1" t="n">
        <f aca="false">Z16*Z38</f>
        <v>0.0184283484395649</v>
      </c>
      <c r="AA40" s="1" t="n">
        <f aca="false">AA16*AA38</f>
        <v>0.0190024692945112</v>
      </c>
      <c r="AB40" s="1" t="n">
        <f aca="false">AB16*AB38</f>
        <v>0.0196005352590761</v>
      </c>
      <c r="AC40" s="1" t="n">
        <f aca="false">AC16*AC38</f>
        <v>0.0202139093287279</v>
      </c>
      <c r="AD40" s="1" t="n">
        <f aca="false">AD16*AD38</f>
        <v>0.0208463477075572</v>
      </c>
      <c r="AE40" s="1" t="n">
        <f aca="false">AE16*AE38</f>
        <v>0.0214984523320763</v>
      </c>
      <c r="AF40" s="1" t="n">
        <f aca="false">AF16*AF38</f>
        <v>0.0221661744245494</v>
      </c>
      <c r="AG40" s="1" t="n">
        <f aca="false">AG16*AG38</f>
        <v>0.0228542972363809</v>
      </c>
      <c r="AH40" s="1" t="n">
        <f aca="false">AH16*AH38</f>
        <v>0.0235578835207679</v>
      </c>
      <c r="AI40" s="1" t="n">
        <f aca="false">AI16*AI38</f>
        <v>0.128051773691901</v>
      </c>
      <c r="AJ40" s="1" t="n">
        <f aca="false">AJ16*AJ38</f>
        <v>0.0295688507776277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0.00956884262264865</v>
      </c>
      <c r="L41" s="1" t="n">
        <f aca="false">L19*L38</f>
        <v>0.0098455229107132</v>
      </c>
      <c r="M41" s="1" t="n">
        <f aca="false">M19*M38</f>
        <v>0.0101269324166319</v>
      </c>
      <c r="N41" s="1" t="n">
        <f aca="false">N19*N38</f>
        <v>0.0104151566798565</v>
      </c>
      <c r="O41" s="1" t="n">
        <f aca="false">O19*O38</f>
        <v>0.0107114526984959</v>
      </c>
      <c r="P41" s="1" t="n">
        <f aca="false">P19*P38</f>
        <v>0.0110168122653075</v>
      </c>
      <c r="Q41" s="1" t="n">
        <f aca="false">Q19*Q38</f>
        <v>0.0113317373412318</v>
      </c>
      <c r="R41" s="1" t="n">
        <f aca="false">R19*R38</f>
        <v>0.0116565280564139</v>
      </c>
      <c r="S41" s="1" t="n">
        <f aca="false">S19*S38</f>
        <v>0.0119912392298659</v>
      </c>
      <c r="T41" s="1" t="n">
        <f aca="false">T19*T38</f>
        <v>0.0123354869160346</v>
      </c>
      <c r="U41" s="1" t="n">
        <f aca="false">U19*U38</f>
        <v>0.0126891929924722</v>
      </c>
      <c r="V41" s="1" t="n">
        <f aca="false">V19*V38</f>
        <v>0.013051930861065</v>
      </c>
      <c r="W41" s="1" t="n">
        <f aca="false">W19*W38</f>
        <v>0.0134233238164894</v>
      </c>
      <c r="X41" s="1" t="n">
        <f aca="false">X19*X38</f>
        <v>0.0138022196549195</v>
      </c>
      <c r="Y41" s="1" t="n">
        <f aca="false">Y19*Y38</f>
        <v>0.014188293323326</v>
      </c>
      <c r="Z41" s="1" t="n">
        <f aca="false">Z19*Z38</f>
        <v>0.014580533193471</v>
      </c>
      <c r="AA41" s="1" t="n">
        <f aca="false">AA19*AA38</f>
        <v>0.0149782343512472</v>
      </c>
      <c r="AB41" s="1" t="n">
        <f aca="false">AB19*AB38</f>
        <v>0.0153798766576139</v>
      </c>
      <c r="AC41" s="1" t="n">
        <f aca="false">AC19*AC38</f>
        <v>0.0157846444037989</v>
      </c>
      <c r="AD41" s="1" t="n">
        <f aca="false">AD19*AD38</f>
        <v>0.0161912498369171</v>
      </c>
      <c r="AE41" s="1" t="n">
        <f aca="false">AE19*AE38</f>
        <v>0.0165982043876953</v>
      </c>
      <c r="AF41" s="1" t="n">
        <f aca="false">AF19*AF38</f>
        <v>0.0170042373993076</v>
      </c>
      <c r="AG41" s="1" t="n">
        <f aca="false">AG19*AG38</f>
        <v>0.0174075005903792</v>
      </c>
      <c r="AH41" s="1" t="n">
        <f aca="false">AH19*AH38</f>
        <v>0.0178063983850543</v>
      </c>
      <c r="AI41" s="1" t="n">
        <f aca="false">AI19*AI38</f>
        <v>0.0181992038549906</v>
      </c>
      <c r="AJ41" s="1" t="n">
        <f aca="false">AJ19*AJ38</f>
        <v>0.0185835100394408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-13.7254620002423</v>
      </c>
      <c r="L46" s="1" t="n">
        <f aca="false">L29*L38</f>
        <v>-14.8086446563949</v>
      </c>
      <c r="M46" s="1" t="n">
        <f aca="false">M29*M38</f>
        <v>-15.9763628776176</v>
      </c>
      <c r="N46" s="1" t="n">
        <f aca="false">N29*N38</f>
        <v>-17.2388239853065</v>
      </c>
      <c r="O46" s="1" t="n">
        <f aca="false">O29*O38</f>
        <v>-18.6060589306413</v>
      </c>
      <c r="P46" s="1" t="n">
        <f aca="false">P29*P38</f>
        <v>-20.0887426530952</v>
      </c>
      <c r="Q46" s="1" t="n">
        <f aca="false">Q29*Q38</f>
        <v>-21.6977723009901</v>
      </c>
      <c r="R46" s="1" t="n">
        <f aca="false">R29*R38</f>
        <v>-23.4447414890514</v>
      </c>
      <c r="S46" s="1" t="n">
        <f aca="false">S29*S38</f>
        <v>-25.341865653212</v>
      </c>
      <c r="T46" s="1" t="n">
        <f aca="false">T29*T38</f>
        <v>-27.4015426859712</v>
      </c>
      <c r="U46" s="1" t="n">
        <f aca="false">U29*U38</f>
        <v>-29.6379634252262</v>
      </c>
      <c r="V46" s="1" t="n">
        <f aca="false">V29*V38</f>
        <v>-32.065796608937</v>
      </c>
      <c r="W46" s="1" t="n">
        <f aca="false">W29*W38</f>
        <v>-34.7011371747395</v>
      </c>
      <c r="X46" s="1" t="n">
        <f aca="false">X29*X38</f>
        <v>-37.5594267625923</v>
      </c>
      <c r="Y46" s="1" t="n">
        <f aca="false">Y29*Y38</f>
        <v>-40.6596393836081</v>
      </c>
      <c r="Z46" s="1" t="n">
        <f aca="false">Z29*Z38</f>
        <v>-44.0204486494936</v>
      </c>
      <c r="AA46" s="1" t="n">
        <f aca="false">AA29*AA38</f>
        <v>-47.6630231243156</v>
      </c>
      <c r="AB46" s="1" t="n">
        <f aca="false">AB29*AB38</f>
        <v>-51.6076761964931</v>
      </c>
      <c r="AC46" s="1" t="n">
        <f aca="false">AC29*AC38</f>
        <v>-55.8786950295269</v>
      </c>
      <c r="AD46" s="1" t="n">
        <f aca="false">AD29*AD38</f>
        <v>-60.5007670494902</v>
      </c>
      <c r="AE46" s="1" t="n">
        <f aca="false">AE29*AE38</f>
        <v>-65.4997928753668</v>
      </c>
      <c r="AF46" s="1" t="n">
        <f aca="false">AF29*AF38</f>
        <v>-70.9046115322208</v>
      </c>
      <c r="AG46" s="1" t="n">
        <f aca="false">AG29*AG38</f>
        <v>-76.743953974588</v>
      </c>
      <c r="AH46" s="1" t="n">
        <f aca="false">AH29*AH38</f>
        <v>-83.04984167176</v>
      </c>
      <c r="AI46" s="1" t="n">
        <f aca="false">AI29*AI38</f>
        <v>-89.8562332718381</v>
      </c>
      <c r="AJ46" s="1" t="n">
        <f aca="false">AJ29*AJ38</f>
        <v>-97.196235776177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0.742616750162666</v>
      </c>
      <c r="L47" s="1" t="n">
        <f aca="false">L30*L38</f>
        <v>0.787720924199555</v>
      </c>
      <c r="M47" s="1" t="n">
        <f aca="false">M30*M38</f>
        <v>0.835294788969198</v>
      </c>
      <c r="N47" s="1" t="n">
        <f aca="false">N30*N38</f>
        <v>0.885637370315303</v>
      </c>
      <c r="O47" s="1" t="n">
        <f aca="false">O30*O38</f>
        <v>0.93900253807734</v>
      </c>
      <c r="P47" s="1" t="n">
        <f aca="false">P30*P38</f>
        <v>0.995640619517729</v>
      </c>
      <c r="Q47" s="1" t="n">
        <f aca="false">Q30*Q38</f>
        <v>1.05577511849867</v>
      </c>
      <c r="R47" s="1" t="n">
        <f aca="false">R30*R38</f>
        <v>1.11962452346113</v>
      </c>
      <c r="S47" s="1" t="n">
        <f aca="false">S30*S38</f>
        <v>1.18739583762168</v>
      </c>
      <c r="T47" s="1" t="n">
        <f aca="false">T30*T38</f>
        <v>1.25926176623046</v>
      </c>
      <c r="U47" s="1" t="n">
        <f aca="false">U30*U38</f>
        <v>1.3354326464781</v>
      </c>
      <c r="V47" s="1" t="n">
        <f aca="false">V30*V38</f>
        <v>1.41609052369205</v>
      </c>
      <c r="W47" s="1" t="n">
        <f aca="false">W30*W38</f>
        <v>1.50142825572543</v>
      </c>
      <c r="X47" s="1" t="n">
        <f aca="false">X30*X38</f>
        <v>1.5915552449172</v>
      </c>
      <c r="Y47" s="1" t="n">
        <f aca="false">Y30*Y38</f>
        <v>1.68667422198348</v>
      </c>
      <c r="Z47" s="1" t="n">
        <f aca="false">Z30*Z38</f>
        <v>1.78691017107825</v>
      </c>
      <c r="AA47" s="1" t="n">
        <f aca="false">AA30*AA38</f>
        <v>1.89242293144912</v>
      </c>
      <c r="AB47" s="1" t="n">
        <f aca="false">AB30*AB38</f>
        <v>2.00326636357351</v>
      </c>
      <c r="AC47" s="1" t="n">
        <f aca="false">AC30*AC38</f>
        <v>2.11957561605029</v>
      </c>
      <c r="AD47" s="1" t="n">
        <f aca="false">AD30*AD38</f>
        <v>2.24141746706275</v>
      </c>
      <c r="AE47" s="1" t="n">
        <f aca="false">AE30*AE38</f>
        <v>2.36881831211698</v>
      </c>
      <c r="AF47" s="1" t="n">
        <f aca="false">AF30*AF38</f>
        <v>2.50182005123378</v>
      </c>
      <c r="AG47" s="1" t="n">
        <f aca="false">AG30*AG38</f>
        <v>2.64036272867267</v>
      </c>
      <c r="AH47" s="1" t="n">
        <f aca="false">AH30*AH38</f>
        <v>2.78439936768922</v>
      </c>
      <c r="AI47" s="1" t="n">
        <f aca="false">AI30*AI38</f>
        <v>2.93383777581489</v>
      </c>
      <c r="AJ47" s="1" t="n">
        <f aca="false">AJ30*AJ38</f>
        <v>3.08844391325925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0.0618770359559654</v>
      </c>
      <c r="L54" s="44" t="n">
        <f aca="false">IF(K24=0,"",L16/K24)</f>
        <v>0.0612222630765715</v>
      </c>
      <c r="M54" s="44" t="n">
        <f aca="false">IF(L24=0,"",M16/L24)</f>
        <v>0.060438037413808</v>
      </c>
      <c r="N54" s="44" t="n">
        <f aca="false">IF(M24=0,"",N16/M24)</f>
        <v>0.0595671040189288</v>
      </c>
      <c r="O54" s="44" t="n">
        <f aca="false">IF(N24=0,"",O16/N24)</f>
        <v>0.0586495749839779</v>
      </c>
      <c r="P54" s="44" t="n">
        <f aca="false">IF(O24=0,"",P16/O24)</f>
        <v>0.0576998160135913</v>
      </c>
      <c r="Q54" s="44" t="n">
        <f aca="false">IF(P24=0,"",Q16/P24)</f>
        <v>0.0567385188327334</v>
      </c>
      <c r="R54" s="44" t="n">
        <f aca="false">IF(Q24=0,"",R16/Q24)</f>
        <v>0.0557736622003418</v>
      </c>
      <c r="S54" s="44" t="n">
        <f aca="false">IF(R24=0,"",S16/R24)</f>
        <v>0.0548135965567017</v>
      </c>
      <c r="T54" s="26" t="n">
        <f aca="false">IF(S24=0,"",T16/S24)</f>
        <v>0.0538717964819344</v>
      </c>
      <c r="U54" s="26" t="n">
        <f aca="false">IF(T24=0,"",U16/T24)</f>
        <v>0.0529359840226572</v>
      </c>
      <c r="V54" s="26" t="n">
        <f aca="false">IF(U24=0,"",V16/U24)</f>
        <v>0.0520156543070193</v>
      </c>
      <c r="W54" s="26" t="n">
        <f aca="false">IF(V24=0,"",W16/V24)</f>
        <v>0.0511068395908882</v>
      </c>
      <c r="X54" s="26" t="n">
        <f aca="false">IF(W24=0,"",X16/W24)</f>
        <v>0.0502300923803505</v>
      </c>
      <c r="Y54" s="26" t="n">
        <f aca="false">IF(X24=0,"",Y16/X24)</f>
        <v>0.0493573184138854</v>
      </c>
      <c r="Z54" s="26" t="n">
        <f aca="false">IF(Y24=0,"",Z16/Y24)</f>
        <v>0.0485059067321419</v>
      </c>
      <c r="AA54" s="26" t="n">
        <f aca="false">IF(Z24=0,"",AA16/Z24)</f>
        <v>0.0476639883212361</v>
      </c>
      <c r="AB54" s="26" t="n">
        <f aca="false">IF(AA24=0,"",AB16/AA24)</f>
        <v>0.0468505273803629</v>
      </c>
      <c r="AC54" s="26" t="n">
        <f aca="false">IF(AB24=0,"",AC16/AB24)</f>
        <v>0.0460429912213671</v>
      </c>
      <c r="AD54" s="26" t="n">
        <f aca="false">IF(AC24=0,"",AD16/AC24)</f>
        <v>0.0452508632420853</v>
      </c>
      <c r="AE54" s="26" t="n">
        <f aca="false">IF(AD24=0,"",AE16/AD24)</f>
        <v>0.0444757240190326</v>
      </c>
      <c r="AF54" s="26" t="n">
        <f aca="false">IF(AE24=0,"",AF16/AE24)</f>
        <v>0.0437088813771164</v>
      </c>
      <c r="AG54" s="26" t="n">
        <f aca="false">IF(AF24=0,"",AG16/AF24)</f>
        <v>0.0429610101524849</v>
      </c>
      <c r="AH54" s="26" t="n">
        <f aca="false">IF(AG24=0,"",AH16/AG24)</f>
        <v>0.0422226306810474</v>
      </c>
      <c r="AI54" s="26" t="n">
        <f aca="false">IF(AH24=0,"",AI16/AH24)</f>
        <v>0.218867837374377</v>
      </c>
      <c r="AJ54" s="26" t="n">
        <f aca="false">IF(AI24=0,"",AJ16/AI24)</f>
        <v>0.0482087615759979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2.68882138776405E-017</v>
      </c>
      <c r="Q58" s="45" t="n">
        <f aca="false">(Q16-(Q24-P24)-Q18+(Q25-P25))-(Q29*Q20+Q31)</f>
        <v>3.46944695195361E-017</v>
      </c>
      <c r="R58" s="45" t="n">
        <f aca="false">(R16-(R24-Q24)-R18+(R25-Q25))-(R29*R20+R31)</f>
        <v>-2.77555756156289E-017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-2.25514051876985E-017</v>
      </c>
      <c r="X58" s="26" t="n">
        <f aca="false">(X16-(X24-W24)-X18+(X25-W25))-(X29*X20+X31)</f>
        <v>0</v>
      </c>
      <c r="Y58" s="26" t="n">
        <f aca="false">(Y16-(Y24-X24)-Y18+(Y25-X25))-(Y29*Y20+Y31)</f>
        <v>0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2.77555756156289E-017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0</v>
      </c>
      <c r="AG58" s="26" t="n">
        <f aca="false">(AG16-(AG24-AF24)-AG18+(AG25-AF25))-(AG29*AG20+AG31)</f>
        <v>-2.77555756156289E-017</v>
      </c>
      <c r="AH58" s="26" t="n">
        <f aca="false">(AH16-(AH24-AG24)-AH18+(AH25-AG25))-(AH29*AH20+AH31)</f>
        <v>0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0.0613833489070129</v>
      </c>
      <c r="H60" s="1" t="n">
        <f aca="false">(INDEX(finrate_coe,H4)+G55*INDEX(finrate_cod,H4))/(1+G55)</f>
        <v>0.0622450578538587</v>
      </c>
      <c r="I60" s="1" t="n">
        <f aca="false">(INDEX(finrate_coe,I4)+H55*INDEX(finrate_cod,I4))/(1+H55)</f>
        <v>0.0625011907791393</v>
      </c>
      <c r="J60" s="1" t="n">
        <f aca="false">(INDEX(finrate_coe,J4)+I55*INDEX(finrate_cod,J4))/(1+I55)</f>
        <v>0.0623358521184844</v>
      </c>
      <c r="K60" s="1" t="n">
        <f aca="false">(INDEX(finrate_coe,K4)+J55*INDEX(finrate_cod,K4))/(1+J55)</f>
        <v>0.0618770359559654</v>
      </c>
      <c r="L60" s="1" t="n">
        <f aca="false">(INDEX(finrate_coe,L4)+K55*INDEX(finrate_cod,L4))/(1+K55)</f>
        <v>0.0612222630765715</v>
      </c>
      <c r="M60" s="1" t="n">
        <f aca="false">(INDEX(finrate_coe,M4)+L55*INDEX(finrate_cod,M4))/(1+L55)</f>
        <v>0.060438037413808</v>
      </c>
      <c r="N60" s="1" t="n">
        <f aca="false">(INDEX(finrate_coe,N4)+M55*INDEX(finrate_cod,N4))/(1+M55)</f>
        <v>0.0595671040189288</v>
      </c>
      <c r="O60" s="1" t="n">
        <f aca="false">(INDEX(finrate_coe,O4)+N55*INDEX(finrate_cod,O4))/(1+N55)</f>
        <v>0.0586495749839779</v>
      </c>
      <c r="P60" s="1" t="n">
        <f aca="false">(INDEX(finrate_coe,P4)+O55*INDEX(finrate_cod,P4))/(1+O55)</f>
        <v>0.0576998160135913</v>
      </c>
      <c r="Q60" s="1" t="n">
        <f aca="false">(INDEX(finrate_coe,Q4)+P55*INDEX(finrate_cod,Q4))/(1+P55)</f>
        <v>0.0567385188327334</v>
      </c>
      <c r="R60" s="1" t="n">
        <f aca="false">(INDEX(finrate_coe,R4)+Q55*INDEX(finrate_cod,R4))/(1+Q55)</f>
        <v>0.0557736622003418</v>
      </c>
      <c r="S60" s="1" t="n">
        <f aca="false">(INDEX(finrate_coe,S4)+R55*INDEX(finrate_cod,S4))/(1+R55)</f>
        <v>0.0548135965567017</v>
      </c>
      <c r="T60" s="1" t="n">
        <f aca="false">(INDEX(finrate_coe,T4)+S55*INDEX(finrate_cod,T4))/(1+S55)</f>
        <v>0.0538717964819344</v>
      </c>
      <c r="U60" s="1" t="n">
        <f aca="false">(INDEX(finrate_coe,U4)+T55*INDEX(finrate_cod,U4))/(1+T55)</f>
        <v>0.0529359840226572</v>
      </c>
      <c r="V60" s="1" t="n">
        <f aca="false">(INDEX(finrate_coe,V4)+U55*INDEX(finrate_cod,V4))/(1+U55)</f>
        <v>0.0520156543070193</v>
      </c>
      <c r="W60" s="1" t="n">
        <f aca="false">(INDEX(finrate_coe,W4)+V55*INDEX(finrate_cod,W4))/(1+V55)</f>
        <v>0.0511068395908882</v>
      </c>
      <c r="X60" s="1" t="n">
        <f aca="false">(INDEX(finrate_coe,X4)+W55*INDEX(finrate_cod,X4))/(1+W55)</f>
        <v>0.0502300923803505</v>
      </c>
      <c r="Y60" s="1" t="n">
        <f aca="false">(INDEX(finrate_coe,Y4)+X55*INDEX(finrate_cod,Y4))/(1+X55)</f>
        <v>0.0493573184138854</v>
      </c>
      <c r="Z60" s="1" t="n">
        <f aca="false">(INDEX(finrate_coe,Z4)+Y55*INDEX(finrate_cod,Z4))/(1+Y55)</f>
        <v>0.0485059067321419</v>
      </c>
      <c r="AA60" s="1" t="n">
        <f aca="false">(INDEX(finrate_coe,AA4)+Z55*INDEX(finrate_cod,AA4))/(1+Z55)</f>
        <v>0.0476639883212361</v>
      </c>
      <c r="AB60" s="1" t="n">
        <f aca="false">(INDEX(finrate_coe,AB4)+AA55*INDEX(finrate_cod,AB4))/(1+AA55)</f>
        <v>0.0468505273803629</v>
      </c>
      <c r="AC60" s="1" t="n">
        <f aca="false">(INDEX(finrate_coe,AC4)+AB55*INDEX(finrate_cod,AC4))/(1+AB55)</f>
        <v>0.0460429912213671</v>
      </c>
      <c r="AD60" s="1" t="n">
        <f aca="false">(INDEX(finrate_coe,AD4)+AC55*INDEX(finrate_cod,AD4))/(1+AC55)</f>
        <v>0.0452508632420853</v>
      </c>
      <c r="AE60" s="1" t="n">
        <f aca="false">(INDEX(finrate_coe,AE4)+AD55*INDEX(finrate_cod,AE4))/(1+AD55)</f>
        <v>0.0444757240190326</v>
      </c>
      <c r="AF60" s="1" t="n">
        <f aca="false">(INDEX(finrate_coe,AF4)+AE55*INDEX(finrate_cod,AF4))/(1+AE55)</f>
        <v>0.0437088813771164</v>
      </c>
      <c r="AG60" s="1" t="n">
        <f aca="false">(INDEX(finrate_coe,AG4)+AF55*INDEX(finrate_cod,AG4))/(1+AF55)</f>
        <v>0.0429610101524849</v>
      </c>
      <c r="AH60" s="1" t="n">
        <f aca="false">(INDEX(finrate_coe,AH4)+AG55*INDEX(finrate_cod,AH4))/(1+AG55)</f>
        <v>0.0422226306810474</v>
      </c>
      <c r="AI60" s="1" t="n">
        <f aca="false">(INDEX(finrate_coe,AI4)+AH55*INDEX(finrate_cod,AI4))/(1+AH55)</f>
        <v>0.218867837374377</v>
      </c>
      <c r="AJ60" s="1" t="n">
        <f aca="false">(INDEX(finrate_coe,AJ4)+AI55*INDEX(finrate_cod,AJ4))/(1+AI55)</f>
        <v>0.0482087615759979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0.121317957333333</v>
      </c>
      <c r="D5" s="54" t="n">
        <f aca="false">(1+INDEX(finrate_coe,D4))*(1+D56)-1</f>
        <v>0.115308703482152</v>
      </c>
      <c r="E5" s="54" t="n">
        <f aca="false">(1+INDEX(finrate_coe,E4))*(1+E56)-1</f>
        <v>0.11101012429527</v>
      </c>
      <c r="F5" s="54" t="n">
        <f aca="false">(1+INDEX(finrate_coe,F4))*(1+F56)-1</f>
        <v>0.1078856720635</v>
      </c>
      <c r="G5" s="54" t="n">
        <f aca="false">(1+INDEX(finrate_coe,G4))*(1+G56)-1</f>
        <v>0.105570860269514</v>
      </c>
      <c r="H5" s="54" t="n">
        <f aca="false">(1+INDEX(finrate_coe,H4))*(1+H56)-1</f>
        <v>0.103793093198121</v>
      </c>
      <c r="I5" s="54" t="n">
        <f aca="false">(1+INDEX(finrate_coe,I4))*(1+I56)-1</f>
        <v>0.102368401562172</v>
      </c>
      <c r="J5" s="54" t="n">
        <f aca="false">(1+INDEX(finrate_coe,J4))*(1+J56)-1</f>
        <v>0.101179275306306</v>
      </c>
      <c r="K5" s="54" t="n">
        <f aca="false">(1+INDEX(finrate_coe,K4))*(1+K56)-1</f>
        <v>0.100116204464901</v>
      </c>
      <c r="L5" s="54" t="n">
        <f aca="false">(1+INDEX(finrate_coe,L4))*(1+L56)-1</f>
        <v>0.0991399622059366</v>
      </c>
      <c r="M5" s="54" t="n">
        <f aca="false">(1+INDEX(finrate_coe,M4))*(1+M56)-1</f>
        <v>0.098194313177266</v>
      </c>
      <c r="N5" s="54" t="n">
        <f aca="false">(1+INDEX(finrate_coe,N4))*(1+N56)-1</f>
        <v>0.0972575923119401</v>
      </c>
      <c r="O5" s="54" t="n">
        <f aca="false">(1+INDEX(finrate_coe,O4))*(1+O56)-1</f>
        <v>0.0963071702801426</v>
      </c>
      <c r="P5" s="36" t="n">
        <f aca="false">(1+INDEX(finrate_coe,P4))*(1+P56)-1</f>
        <v>0.0953065937689164</v>
      </c>
      <c r="Q5" s="36" t="n">
        <f aca="false">(1+INDEX(finrate_coe,Q4))*(1+Q56)-1</f>
        <v>0.0942891587464789</v>
      </c>
      <c r="R5" s="36" t="n">
        <f aca="false">(1+INDEX(finrate_coe,R4))*(1+R56)-1</f>
        <v>0.0932292277277389</v>
      </c>
      <c r="S5" s="36" t="n">
        <f aca="false">(1+INDEX(finrate_coe,S4))*(1+S56)-1</f>
        <v>0.0921376040245976</v>
      </c>
      <c r="T5" s="36" t="n">
        <f aca="false">(1+INDEX(finrate_coe,T4))*(1+T56)-1</f>
        <v>0.0909588914364481</v>
      </c>
      <c r="U5" s="36" t="n">
        <f aca="false">(1+INDEX(finrate_coe,U4))*(1+U56)-1</f>
        <v>0.0897690653230661</v>
      </c>
      <c r="V5" s="36" t="n">
        <f aca="false">(1+INDEX(finrate_coe,V4))*(1+V56)-1</f>
        <v>0.0885213196965489</v>
      </c>
      <c r="W5" s="36" t="n">
        <f aca="false">(1+INDEX(finrate_coe,W4))*(1+W56)-1</f>
        <v>0.0872477647701955</v>
      </c>
      <c r="X5" s="36" t="n">
        <f aca="false">(1+INDEX(finrate_coe,X4))*(1+X56)-1</f>
        <v>0.085897523464419</v>
      </c>
      <c r="Y5" s="36" t="n">
        <f aca="false">(1+INDEX(finrate_coe,Y4))*(1+Y56)-1</f>
        <v>0.0845313449455929</v>
      </c>
      <c r="Z5" s="36" t="n">
        <f aca="false">(1+INDEX(finrate_coe,Z4))*(1+Z56)-1</f>
        <v>0.0831238724077945</v>
      </c>
      <c r="AA5" s="36" t="n">
        <f aca="false">(1+INDEX(finrate_coe,AA4))*(1+AA56)-1</f>
        <v>0.0816710415983699</v>
      </c>
      <c r="AB5" s="36" t="n">
        <f aca="false">(1+INDEX(finrate_coe,AB4))*(1+AB56)-1</f>
        <v>0.0801962748295575</v>
      </c>
      <c r="AC5" s="36" t="n">
        <f aca="false">(1+INDEX(finrate_coe,AC4))*(1+AC56)-1</f>
        <v>0.0786711863923788</v>
      </c>
      <c r="AD5" s="36" t="n">
        <f aca="false">(1+INDEX(finrate_coe,AD4))*(1+AD56)-1</f>
        <v>0.0771212656088713</v>
      </c>
      <c r="AE5" s="36" t="n">
        <f aca="false">(1+INDEX(finrate_coe,AE4))*(1+AE56)-1</f>
        <v>0.0755466180441229</v>
      </c>
      <c r="AF5" s="36" t="n">
        <f aca="false">(1+INDEX(finrate_coe,AF4))*(1+AF56)-1</f>
        <v>0.0739158504465638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0.637710271419437</v>
      </c>
      <c r="H7" s="47" t="n">
        <f aca="false">IF(cfg_mode="Enterprise",INDEX(fc_ni,H4)/anchor_shares0,INDEX(fc_eps,H4))</f>
        <v>0.656149477555028</v>
      </c>
      <c r="I7" s="47" t="n">
        <f aca="false">IF(cfg_mode="Enterprise",INDEX(fc_ni,I4)/anchor_shares0,INDEX(fc_eps,I4))</f>
        <v>0.674903859822186</v>
      </c>
      <c r="J7" s="47" t="n">
        <f aca="false">IF(cfg_mode="Enterprise",INDEX(fc_ni,J4)/anchor_shares0,INDEX(fc_eps,J4))</f>
        <v>0.694112407854482</v>
      </c>
      <c r="K7" s="47" t="n">
        <f aca="false">IF(cfg_mode="Enterprise",INDEX(fc_ni,K4)/anchor_shares0,INDEX(fc_eps,K4))</f>
        <v>0.71385889360186</v>
      </c>
      <c r="L7" s="47" t="n">
        <f aca="false">IF(cfg_mode="Enterprise",INDEX(fc_ni,L4)/anchor_shares0,INDEX(fc_eps,L4))</f>
        <v>0.734209414548987</v>
      </c>
      <c r="M7" s="47" t="n">
        <f aca="false">IF(cfg_mode="Enterprise",INDEX(fc_ni,M4)/anchor_shares0,INDEX(fc_eps,M4))</f>
        <v>0.755197423607582</v>
      </c>
      <c r="N7" s="47" t="n">
        <f aca="false">IF(cfg_mode="Enterprise",INDEX(fc_ni,N4)/anchor_shares0,INDEX(fc_eps,N4))</f>
        <v>0.776842922786662</v>
      </c>
      <c r="O7" s="47" t="n">
        <f aca="false">IF(cfg_mode="Enterprise",INDEX(fc_ni,O4)/anchor_shares0,INDEX(fc_eps,O4))</f>
        <v>0.799149565469236</v>
      </c>
      <c r="P7" s="26" t="n">
        <f aca="false">IF(cfg_mode="Enterprise",INDEX(fc_ni,P4)/anchor_shares0,INDEX(fc_eps,P4))</f>
        <v>0.822091763814366</v>
      </c>
      <c r="Q7" s="26" t="n">
        <f aca="false">IF(cfg_mode="Enterprise",INDEX(fc_ni,Q4)/anchor_shares0,INDEX(fc_eps,Q4))</f>
        <v>0.845664311394349</v>
      </c>
      <c r="R7" s="26" t="n">
        <f aca="false">IF(cfg_mode="Enterprise",INDEX(fc_ni,R4)/anchor_shares0,INDEX(fc_eps,R4))</f>
        <v>0.86983877781173</v>
      </c>
      <c r="S7" s="26" t="n">
        <f aca="false">IF(cfg_mode="Enterprise",INDEX(fc_ni,S4)/anchor_shares0,INDEX(fc_eps,S4))</f>
        <v>0.894590057746708</v>
      </c>
      <c r="T7" s="26" t="n">
        <f aca="false">IF(cfg_mode="Enterprise",INDEX(fc_ni,T4)/anchor_shares0,INDEX(fc_eps,T4))</f>
        <v>0.919841363206895</v>
      </c>
      <c r="U7" s="26" t="n">
        <f aca="false">IF(cfg_mode="Enterprise",INDEX(fc_ni,U4)/anchor_shares0,INDEX(fc_eps,U4))</f>
        <v>0.945571031211329</v>
      </c>
      <c r="V7" s="26" t="n">
        <f aca="false">IF(cfg_mode="Enterprise",INDEX(fc_ni,V4)/anchor_shares0,INDEX(fc_eps,V4))</f>
        <v>0.971711642350619</v>
      </c>
      <c r="W7" s="26" t="n">
        <f aca="false">IF(cfg_mode="Enterprise",INDEX(fc_ni,W4)/anchor_shares0,INDEX(fc_eps,W4))</f>
        <v>0.998216218010476</v>
      </c>
      <c r="X7" s="26" t="n">
        <f aca="false">IF(cfg_mode="Enterprise",INDEX(fc_ni,X4)/anchor_shares0,INDEX(fc_eps,X4))</f>
        <v>1.02498344935781</v>
      </c>
      <c r="Y7" s="26" t="n">
        <f aca="false">IF(cfg_mode="Enterprise",INDEX(fc_ni,Y4)/anchor_shares0,INDEX(fc_eps,Y4))</f>
        <v>1.05195897392862</v>
      </c>
      <c r="Z7" s="26" t="n">
        <f aca="false">IF(cfg_mode="Enterprise",INDEX(fc_ni,Z4)/anchor_shares0,INDEX(fc_eps,Z4))</f>
        <v>1.07905697013776</v>
      </c>
      <c r="AA7" s="26" t="n">
        <f aca="false">IF(cfg_mode="Enterprise",INDEX(fc_ni,AA4)/anchor_shares0,INDEX(fc_eps,AA4))</f>
        <v>1.10617823310199</v>
      </c>
      <c r="AB7" s="26" t="n">
        <f aca="false">IF(cfg_mode="Enterprise",INDEX(fc_ni,AB4)/anchor_shares0,INDEX(fc_eps,AB4))</f>
        <v>1.13323808059364</v>
      </c>
      <c r="AC7" s="26" t="n">
        <f aca="false">IF(cfg_mode="Enterprise",INDEX(fc_ni,AC4)/anchor_shares0,INDEX(fc_eps,AC4))</f>
        <v>1.16011333491364</v>
      </c>
      <c r="AD7" s="26" t="n">
        <f aca="false">IF(cfg_mode="Enterprise",INDEX(fc_ni,AD4)/anchor_shares0,INDEX(fc_eps,AD4))</f>
        <v>1.18669765978369</v>
      </c>
      <c r="AE7" s="26" t="n">
        <f aca="false">IF(cfg_mode="Enterprise",INDEX(fc_ni,AE4)/anchor_shares0,INDEX(fc_eps,AE4))</f>
        <v>1.21287596501104</v>
      </c>
      <c r="AF7" s="26" t="n">
        <f aca="false">IF(cfg_mode="Enterprise",INDEX(fc_ni,AF4)/anchor_shares0,INDEX(fc_eps,AF4))</f>
        <v>1.23848784001605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0.446397189993605</v>
      </c>
      <c r="H8" s="47" t="n">
        <f aca="false">IF(cfg_mode="Enterprise",H7-(H71-(1+H56)*G71),INDEX(fc_dps,H4))</f>
        <v>0.456103905129716</v>
      </c>
      <c r="I8" s="47" t="n">
        <f aca="false">IF(cfg_mode="Enterprise",I7-(I71-(1+I56)*H71),INDEX(fc_dps,I4))</f>
        <v>0.465739440455805</v>
      </c>
      <c r="J8" s="47" t="n">
        <f aca="false">IF(cfg_mode="Enterprise",J7-(J71-(1+J56)*I71),INDEX(fc_dps,J4))</f>
        <v>0.475379506219668</v>
      </c>
      <c r="K8" s="47" t="n">
        <f aca="false">IF(cfg_mode="Enterprise",K7-(K71-(1+K56)*J71),INDEX(fc_dps,K4))</f>
        <v>0.485057966165366</v>
      </c>
      <c r="L8" s="47" t="n">
        <f aca="false">IF(cfg_mode="Enterprise",L7-(L71-(1+L56)*K71),INDEX(fc_dps,L4))</f>
        <v>0.494793301109103</v>
      </c>
      <c r="M8" s="47" t="n">
        <f aca="false">IF(cfg_mode="Enterprise",M7-(M71-(1+M56)*L71),INDEX(fc_dps,M4))</f>
        <v>0.504578809578516</v>
      </c>
      <c r="N8" s="47" t="n">
        <f aca="false">IF(cfg_mode="Enterprise",N7-(N71-(1+N56)*M71),INDEX(fc_dps,N4))</f>
        <v>0.514395989412791</v>
      </c>
      <c r="O8" s="47" t="n">
        <f aca="false">IF(cfg_mode="Enterprise",O7-(O71-(1+O56)*N71),INDEX(fc_dps,O4))</f>
        <v>0.524212788358261</v>
      </c>
      <c r="P8" s="26" t="n">
        <f aca="false">IF(cfg_mode="Enterprise",P7-(P71-(1+P56)*O71),INDEX(fc_dps,P4))</f>
        <v>0.53397549144952</v>
      </c>
      <c r="Q8" s="26" t="n">
        <f aca="false">IF(cfg_mode="Enterprise",Q7-(Q71-(1+Q56)*P71),INDEX(fc_dps,Q4))</f>
        <v>0.543641343039222</v>
      </c>
      <c r="R8" s="26" t="n">
        <f aca="false">IF(cfg_mode="Enterprise",R7-(R71-(1+R56)*Q71),INDEX(fc_dps,R4))</f>
        <v>0.553149902394841</v>
      </c>
      <c r="S8" s="26" t="n">
        <f aca="false">IF(cfg_mode="Enterprise",S7-(S71-(1+S56)*R71),INDEX(fc_dps,S4))</f>
        <v>0.562440283830851</v>
      </c>
      <c r="T8" s="26" t="n">
        <f aca="false">IF(cfg_mode="Enterprise",T7-(T71-(1+T56)*S71),INDEX(fc_dps,T4))</f>
        <v>0.571416604416407</v>
      </c>
      <c r="U8" s="26" t="n">
        <f aca="false">IF(cfg_mode="Enterprise",U7-(U71-(1+U56)*T71),INDEX(fc_dps,U4))</f>
        <v>0.58001522017602</v>
      </c>
      <c r="V8" s="26" t="n">
        <f aca="false">IF(cfg_mode="Enterprise",V7-(V71-(1+V56)*U71),INDEX(fc_dps,V4))</f>
        <v>0.588141257212217</v>
      </c>
      <c r="W8" s="26" t="n">
        <f aca="false">IF(cfg_mode="Enterprise",W7-(W71-(1+W56)*V71),INDEX(fc_dps,W4))</f>
        <v>0.595709678490127</v>
      </c>
      <c r="X8" s="26" t="n">
        <f aca="false">IF(cfg_mode="Enterprise",X7-(X71-(1+X56)*W71),INDEX(fc_dps,X4))</f>
        <v>0.602600159787283</v>
      </c>
      <c r="Y8" s="26" t="n">
        <f aca="false">IF(cfg_mode="Enterprise",Y7-(Y71-(1+Y56)*X71),INDEX(fc_dps,Y4))</f>
        <v>0.608717833228359</v>
      </c>
      <c r="Z8" s="26" t="n">
        <f aca="false">IF(cfg_mode="Enterprise",Z7-(Z71-(1+Z56)*Y71),INDEX(fc_dps,Z4))</f>
        <v>0.613946207147349</v>
      </c>
      <c r="AA8" s="26" t="n">
        <f aca="false">IF(cfg_mode="Enterprise",AA7-(AA71-(1+AA56)*Z71),INDEX(fc_dps,AA4))</f>
        <v>0.618158424380525</v>
      </c>
      <c r="AB8" s="26" t="n">
        <f aca="false">IF(cfg_mode="Enterprise",AB7-(AB71-(1+AB56)*AA71),INDEX(fc_dps,AB4))</f>
        <v>0.621232923698924</v>
      </c>
      <c r="AC8" s="26" t="n">
        <f aca="false">IF(cfg_mode="Enterprise",AC7-(AC71-(1+AC56)*AB71),INDEX(fc_dps,AC4))</f>
        <v>0.62302382800918</v>
      </c>
      <c r="AD8" s="26" t="n">
        <f aca="false">IF(cfg_mode="Enterprise",AD7-(AD71-(1+AD56)*AC71),INDEX(fc_dps,AD4))</f>
        <v>0.623391808620548</v>
      </c>
      <c r="AE8" s="26" t="n">
        <f aca="false">IF(cfg_mode="Enterprise",AE7-(AE71-(1+AE56)*AD71),INDEX(fc_dps,AE4))</f>
        <v>0.622189618414755</v>
      </c>
      <c r="AF8" s="26" t="n">
        <f aca="false">IF(cfg_mode="Enterprise",AF7-(AF71-(1+AF56)*AE71),INDEX(fc_dps,AF4))</f>
        <v>0.619243920008028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0.892734470867385</v>
      </c>
      <c r="H13" s="47" t="n">
        <f aca="false">H7+H12</f>
        <v>0.922814263782155</v>
      </c>
      <c r="I13" s="47" t="n">
        <f aca="false">I7+I12</f>
        <v>0.953724253097728</v>
      </c>
      <c r="J13" s="47" t="n">
        <f aca="false">J7+J12</f>
        <v>0.985687781146306</v>
      </c>
      <c r="K13" s="47" t="n">
        <f aca="false">K7+K12</f>
        <v>1.01885514852372</v>
      </c>
      <c r="L13" s="47" t="n">
        <f aca="false">L7+L12</f>
        <v>1.05335592669493</v>
      </c>
      <c r="M13" s="47" t="n">
        <f aca="false">M7+M12</f>
        <v>1.08927709517617</v>
      </c>
      <c r="N13" s="47" t="n">
        <f aca="false">N7+N12</f>
        <v>1.12668998281214</v>
      </c>
      <c r="O13" s="47" t="n">
        <f aca="false">O7+O12</f>
        <v>1.16564583932026</v>
      </c>
      <c r="P13" s="26" t="n">
        <f aca="false">P7+P12</f>
        <v>1.20615657088433</v>
      </c>
      <c r="Q13" s="26" t="n">
        <f aca="false">Q7+Q12</f>
        <v>1.24826702494439</v>
      </c>
      <c r="R13" s="26" t="n">
        <f aca="false">R7+R12</f>
        <v>1.29199144152581</v>
      </c>
      <c r="S13" s="26" t="n">
        <f aca="false">S7+S12</f>
        <v>1.33735241125858</v>
      </c>
      <c r="T13" s="26" t="n">
        <f aca="false">T7+T12</f>
        <v>1.38429860008872</v>
      </c>
      <c r="U13" s="26" t="n">
        <f aca="false">U7+U12</f>
        <v>1.43286430654842</v>
      </c>
      <c r="V13" s="26" t="n">
        <f aca="false">V7+V12</f>
        <v>1.48301870861511</v>
      </c>
      <c r="W13" s="26" t="n">
        <f aca="false">W7+W12</f>
        <v>1.53476556031741</v>
      </c>
      <c r="X13" s="26" t="n">
        <f aca="false">X7+X12</f>
        <v>1.58802890072008</v>
      </c>
      <c r="Y13" s="26" t="n">
        <f aca="false">Y7+Y12</f>
        <v>1.64280836189011</v>
      </c>
      <c r="Z13" s="26" t="n">
        <f aca="false">Z7+Z12</f>
        <v>1.69905900607925</v>
      </c>
      <c r="AA13" s="26" t="n">
        <f aca="false">AA7+AA12</f>
        <v>1.75671848945232</v>
      </c>
      <c r="AB13" s="26" t="n">
        <f aca="false">AB7+AB12</f>
        <v>1.81575129023486</v>
      </c>
      <c r="AC13" s="26" t="n">
        <f aca="false">AC7+AC12</f>
        <v>1.87606448947861</v>
      </c>
      <c r="AD13" s="26" t="n">
        <f aca="false">AD7+AD12</f>
        <v>1.93759573045702</v>
      </c>
      <c r="AE13" s="26" t="n">
        <f aca="false">AE7+AE12</f>
        <v>9.25248490701064</v>
      </c>
      <c r="AF13" s="26" t="n">
        <f aca="false">AF7+AF12</f>
        <v>2.38202702237457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0.0932163583074321</v>
      </c>
      <c r="D15" s="54" t="n">
        <f aca="false">IF(cfg_rf_mode="Single",(1+in_rf_single)*(1+D56)-1,(D5+D14*D6)/(1+D14))</f>
        <v>0.0895749462801757</v>
      </c>
      <c r="E15" s="54" t="n">
        <f aca="false">IF(cfg_rf_mode="Single",(1+in_rf_single)*(1+E56)-1,(E5+E14*E6)/(1+E14))</f>
        <v>0.0869701473585676</v>
      </c>
      <c r="F15" s="54" t="n">
        <f aca="false">IF(cfg_rf_mode="Single",(1+in_rf_single)*(1+F56)-1,(F5+F14*F6)/(1+F14))</f>
        <v>0.0850768311138028</v>
      </c>
      <c r="G15" s="54" t="n">
        <f aca="false">IF(cfg_rf_mode="Single",(1+in_rf_single)*(1+G56)-1,(G5+G14*G6)/(1+G14))</f>
        <v>0.0836741305928721</v>
      </c>
      <c r="H15" s="54" t="n">
        <f aca="false">IF(cfg_rf_mode="Single",(1+in_rf_single)*(1+H56)-1,(H5+H14*H6)/(1+H14))</f>
        <v>0.0825968616746758</v>
      </c>
      <c r="I15" s="54" t="n">
        <f aca="false">IF(cfg_rf_mode="Single",(1+in_rf_single)*(1+I56)-1,(I5+I14*I6)/(1+I14))</f>
        <v>0.0817335449656874</v>
      </c>
      <c r="J15" s="54" t="n">
        <f aca="false">IF(cfg_rf_mode="Single",(1+in_rf_single)*(1+J56)-1,(J5+J14*J6)/(1+J14))</f>
        <v>0.0810129732013267</v>
      </c>
      <c r="K15" s="54" t="n">
        <f aca="false">IF(cfg_rf_mode="Single",(1+in_rf_single)*(1+K56)-1,(K5+K14*K6)/(1+K14))</f>
        <v>0.0803687869107179</v>
      </c>
      <c r="L15" s="54" t="n">
        <f aca="false">IF(cfg_rf_mode="Single",(1+in_rf_single)*(1+L56)-1,(L5+L14*L6)/(1+L14))</f>
        <v>0.0797772159118311</v>
      </c>
      <c r="M15" s="54" t="n">
        <f aca="false">IF(cfg_rf_mode="Single",(1+in_rf_single)*(1+M56)-1,(M5+M14*M6)/(1+M14))</f>
        <v>0.0792041834136471</v>
      </c>
      <c r="N15" s="54" t="n">
        <f aca="false">IF(cfg_rf_mode="Single",(1+in_rf_single)*(1+N56)-1,(N5+N14*N6)/(1+N14))</f>
        <v>0.0786365610915331</v>
      </c>
      <c r="O15" s="54" t="n">
        <f aca="false">IF(cfg_rf_mode="Single",(1+in_rf_single)*(1+O56)-1,(O5+O14*O6)/(1+O14))</f>
        <v>0.0780606363089785</v>
      </c>
      <c r="P15" s="26" t="n">
        <f aca="false">IF(cfg_rf_mode="Single",(1+in_rf_single)*(1+P56)-1,(P5+P14*P6)/(1+P14))</f>
        <v>0.0774543195461322</v>
      </c>
      <c r="Q15" s="26" t="n">
        <f aca="false">IF(cfg_rf_mode="Single",(1+in_rf_single)*(1+Q56)-1,(Q5+Q14*Q6)/(1+Q14))</f>
        <v>0.0768377870748126</v>
      </c>
      <c r="R15" s="26" t="n">
        <f aca="false">IF(cfg_rf_mode="Single",(1+in_rf_single)*(1+R56)-1,(R5+R14*R6)/(1+R14))</f>
        <v>0.0761955034144304</v>
      </c>
      <c r="S15" s="26" t="n">
        <f aca="false">IF(cfg_rf_mode="Single",(1+in_rf_single)*(1+S56)-1,(S5+S14*S6)/(1+S14))</f>
        <v>0.075534015019981</v>
      </c>
      <c r="T15" s="26" t="n">
        <f aca="false">IF(cfg_rf_mode="Single",(1+in_rf_single)*(1+T56)-1,(T5+T14*T6)/(1+T14))</f>
        <v>0.0748197535989358</v>
      </c>
      <c r="U15" s="26" t="n">
        <f aca="false">IF(cfg_rf_mode="Single",(1+in_rf_single)*(1+U56)-1,(U5+U14*U6)/(1+U14))</f>
        <v>0.0740987577437248</v>
      </c>
      <c r="V15" s="26" t="n">
        <f aca="false">IF(cfg_rf_mode="Single",(1+in_rf_single)*(1+V56)-1,(V5+V14*V6)/(1+V14))</f>
        <v>0.0733426645508129</v>
      </c>
      <c r="W15" s="26" t="n">
        <f aca="false">IF(cfg_rf_mode="Single",(1+in_rf_single)*(1+W56)-1,(W5+W14*W6)/(1+W14))</f>
        <v>0.0725709317631753</v>
      </c>
      <c r="X15" s="26" t="n">
        <f aca="false">IF(cfg_rf_mode="Single",(1+in_rf_single)*(1+X56)-1,(X5+X14*X6)/(1+X14))</f>
        <v>0.0717527295283693</v>
      </c>
      <c r="Y15" s="26" t="n">
        <f aca="false">IF(cfg_rf_mode="Single",(1+in_rf_single)*(1+Y56)-1,(Y5+Y14*Y6)/(1+Y14))</f>
        <v>0.0709248698617561</v>
      </c>
      <c r="Z15" s="26" t="n">
        <f aca="false">IF(cfg_rf_mode="Single",(1+in_rf_single)*(1+Z56)-1,(Z5+Z14*Z6)/(1+Z14))</f>
        <v>0.0700719873651772</v>
      </c>
      <c r="AA15" s="26" t="n">
        <f aca="false">IF(cfg_rf_mode="Single",(1+in_rf_single)*(1+AA56)-1,(AA5+AA14*AA6)/(1+AA14))</f>
        <v>0.0691916192339544</v>
      </c>
      <c r="AB15" s="26" t="n">
        <f aca="false">IF(cfg_rf_mode="Single",(1+in_rf_single)*(1+AB56)-1,(AB5+AB14*AB6)/(1+AB14))</f>
        <v>0.0682979586261077</v>
      </c>
      <c r="AC15" s="26" t="n">
        <f aca="false">IF(cfg_rf_mode="Single",(1+in_rf_single)*(1+AC56)-1,(AC5+AC14*AC6)/(1+AC14))</f>
        <v>0.0673738047269209</v>
      </c>
      <c r="AD15" s="26" t="n">
        <f aca="false">IF(cfg_rf_mode="Single",(1+in_rf_single)*(1+AD56)-1,(AD5+AD14*AD6)/(1+AD14))</f>
        <v>0.0664346032350004</v>
      </c>
      <c r="AE15" s="26" t="n">
        <f aca="false">IF(cfg_rf_mode="Single",(1+in_rf_single)*(1+AE56)-1,(AE5+AE14*AE6)/(1+AE14))</f>
        <v>0.246939613504216</v>
      </c>
      <c r="AF15" s="26" t="n">
        <f aca="false">IF(cfg_rf_mode="Single",(1+in_rf_single)*(1+AF56)-1,(AF5+AF14*AF6)/(1+AF14))</f>
        <v>0.0720838129842163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0.891807710257449</v>
      </c>
      <c r="D16" s="41" t="n">
        <f aca="false">C16/(1+D5)</f>
        <v>0.799606160584149</v>
      </c>
      <c r="E16" s="41" t="n">
        <f aca="false">D16/(1+E5)</f>
        <v>0.719710957711885</v>
      </c>
      <c r="F16" s="41" t="n">
        <f aca="false">E16/(1+F5)</f>
        <v>0.649625657105378</v>
      </c>
      <c r="G16" s="41" t="n">
        <f aca="false">F16/(1+G5)</f>
        <v>0.587592962559644</v>
      </c>
      <c r="H16" s="41" t="n">
        <f aca="false">G16/(1+H5)</f>
        <v>0.532339771086225</v>
      </c>
      <c r="I16" s="41" t="n">
        <f aca="false">H16/(1+I5)</f>
        <v>0.482905506300656</v>
      </c>
      <c r="J16" s="41" t="n">
        <f aca="false">I16/(1+J5)</f>
        <v>0.438534866328945</v>
      </c>
      <c r="K16" s="41" t="n">
        <f aca="false">J16/(1+K5)</f>
        <v>0.398625949285285</v>
      </c>
      <c r="L16" s="41" t="n">
        <f aca="false">K16/(1+L5)</f>
        <v>0.362670781694859</v>
      </c>
      <c r="M16" s="41" t="n">
        <f aca="false">L16/(1+M5)</f>
        <v>0.330242815267901</v>
      </c>
      <c r="N16" s="41" t="n">
        <f aca="false">M16/(1+N5)</f>
        <v>0.300971091548406</v>
      </c>
      <c r="O16" s="41" t="n">
        <f aca="false">N16/(1+O5)</f>
        <v>0.274531718579838</v>
      </c>
      <c r="P16" s="26" t="n">
        <f aca="false">O16/(1+P5)</f>
        <v>0.250643719431271</v>
      </c>
      <c r="Q16" s="26" t="n">
        <f aca="false">P16/(1+Q5)</f>
        <v>0.229047064414297</v>
      </c>
      <c r="R16" s="26" t="n">
        <f aca="false">Q16/(1+R5)</f>
        <v>0.209514215870689</v>
      </c>
      <c r="S16" s="26" t="n">
        <f aca="false">R16/(1+S5)</f>
        <v>0.191838661262661</v>
      </c>
      <c r="T16" s="26" t="n">
        <f aca="false">S16/(1+T5)</f>
        <v>0.175844078790238</v>
      </c>
      <c r="U16" s="26" t="n">
        <f aca="false">T16/(1+U5)</f>
        <v>0.161359029528066</v>
      </c>
      <c r="V16" s="26" t="n">
        <f aca="false">U16/(1+V5)</f>
        <v>0.148236903226709</v>
      </c>
      <c r="W16" s="26" t="n">
        <f aca="false">V16/(1+W5)</f>
        <v>0.13634141915945</v>
      </c>
      <c r="X16" s="26" t="n">
        <f aca="false">W16/(1+X5)</f>
        <v>0.125556432548506</v>
      </c>
      <c r="Y16" s="26" t="n">
        <f aca="false">X16/(1+Y5)</f>
        <v>0.115770220135781</v>
      </c>
      <c r="Z16" s="26" t="n">
        <f aca="false">Y16/(1+Z5)</f>
        <v>0.106885484740008</v>
      </c>
      <c r="AA16" s="26" t="n">
        <f aca="false">Z16/(1+AA5)</f>
        <v>0.0988151486260226</v>
      </c>
      <c r="AB16" s="26" t="n">
        <f aca="false">AA16/(1+AB5)</f>
        <v>0.0914788829850524</v>
      </c>
      <c r="AC16" s="26" t="n">
        <f aca="false">AB16/(1+AC5)</f>
        <v>0.0848070145370286</v>
      </c>
      <c r="AD16" s="26" t="n">
        <f aca="false">AC16/(1+AD5)</f>
        <v>0.0787348808762858</v>
      </c>
      <c r="AE16" s="26" t="n">
        <f aca="false">AD16/(1+AE5)</f>
        <v>0.0732045264755374</v>
      </c>
      <c r="AF16" s="26" t="n">
        <f aca="false">AE16/(1+AF5)</f>
        <v>0.0681659800859602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0.914732012927657</v>
      </c>
      <c r="D18" s="41" t="n">
        <f aca="false">C18/(1+D15)</f>
        <v>0.839531063054052</v>
      </c>
      <c r="E18" s="41" t="n">
        <f aca="false">D18/(1+E15)</f>
        <v>0.772358896050812</v>
      </c>
      <c r="F18" s="41" t="n">
        <f aca="false">E18/(1+F15)</f>
        <v>0.711801112975572</v>
      </c>
      <c r="G18" s="41" t="n">
        <f aca="false">F18/(1+G15)</f>
        <v>0.656840550937716</v>
      </c>
      <c r="H18" s="41" t="n">
        <f aca="false">G18/(1+H15)</f>
        <v>0.606726819733844</v>
      </c>
      <c r="I18" s="41" t="n">
        <f aca="false">H18/(1+I15)</f>
        <v>0.560883798563434</v>
      </c>
      <c r="J18" s="41" t="n">
        <f aca="false">I18/(1+J15)</f>
        <v>0.518850201124252</v>
      </c>
      <c r="K18" s="41" t="n">
        <f aca="false">J18/(1+K15)</f>
        <v>0.480252861254802</v>
      </c>
      <c r="L18" s="41" t="n">
        <f aca="false">K18/(1+L15)</f>
        <v>0.444770323153417</v>
      </c>
      <c r="M18" s="41" t="n">
        <f aca="false">L18/(1+M15)</f>
        <v>0.412128056941511</v>
      </c>
      <c r="N18" s="41" t="n">
        <f aca="false">M18/(1+N15)</f>
        <v>0.382082410153477</v>
      </c>
      <c r="O18" s="41" t="n">
        <f aca="false">N18/(1+O15)</f>
        <v>0.354416437522138</v>
      </c>
      <c r="P18" s="26" t="n">
        <f aca="false">O18/(1+P15)</f>
        <v>0.328938713310308</v>
      </c>
      <c r="Q18" s="26" t="n">
        <f aca="false">P18/(1+Q15)</f>
        <v>0.305467283242221</v>
      </c>
      <c r="R18" s="26" t="n">
        <f aca="false">Q18/(1+R15)</f>
        <v>0.28383995498315</v>
      </c>
      <c r="S18" s="26" t="n">
        <f aca="false">R18/(1+S15)</f>
        <v>0.263906069932969</v>
      </c>
      <c r="T18" s="26" t="n">
        <f aca="false">S18/(1+T15)</f>
        <v>0.245535187690125</v>
      </c>
      <c r="U18" s="26" t="n">
        <f aca="false">T18/(1+U15)</f>
        <v>0.228596473015109</v>
      </c>
      <c r="V18" s="26" t="n">
        <f aca="false">U18/(1+V15)</f>
        <v>0.21297622890149</v>
      </c>
      <c r="W18" s="26" t="n">
        <f aca="false">V18/(1+W15)</f>
        <v>0.198566101872053</v>
      </c>
      <c r="X18" s="26" t="n">
        <f aca="false">W18/(1+X15)</f>
        <v>0.185272308062545</v>
      </c>
      <c r="Y18" s="26" t="n">
        <f aca="false">X18/(1+Y15)</f>
        <v>0.17300215288348</v>
      </c>
      <c r="Z18" s="26" t="n">
        <f aca="false">Y18/(1+Z15)</f>
        <v>0.161673377984093</v>
      </c>
      <c r="AA18" s="26" t="n">
        <f aca="false">Z18/(1+AA15)</f>
        <v>0.151210854140372</v>
      </c>
      <c r="AB18" s="26" t="n">
        <f aca="false">AA18/(1+AB15)</f>
        <v>0.141543707838624</v>
      </c>
      <c r="AC18" s="26" t="n">
        <f aca="false">AB18/(1+AC15)</f>
        <v>0.13260931382407</v>
      </c>
      <c r="AD18" s="26" t="n">
        <f aca="false">AC18/(1+AD15)</f>
        <v>0.124348284856664</v>
      </c>
      <c r="AE18" s="26" t="n">
        <f aca="false">AD18/(1+AE15)</f>
        <v>0.0997227800849268</v>
      </c>
      <c r="AF18" s="26" t="n">
        <f aca="false">AE18/(1+AF15)</f>
        <v>0.0930177089488384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0.05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0.0482087615759979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8.55573740685499</v>
      </c>
      <c r="D22" s="47" t="n">
        <f aca="false">(1+D56)*C7+(D5-D56)*C9</f>
        <v>8.34056467157866</v>
      </c>
      <c r="E22" s="47" t="n">
        <f aca="false">(1+E56)*D7+(E5-E56)*D9</f>
        <v>8.78281707531826</v>
      </c>
      <c r="F22" s="47" t="n">
        <f aca="false">(1+F56)*E7+(F5-F56)*E9</f>
        <v>9.23870672765324</v>
      </c>
      <c r="G22" s="47" t="n">
        <f aca="false">(1+G56)*F7+(G5-G56)*F9</f>
        <v>9.71206117147539</v>
      </c>
      <c r="H22" s="47" t="n">
        <f aca="false">(1+H56)*G7+(H5-H56)*G9</f>
        <v>0.666558352868215</v>
      </c>
      <c r="I22" s="47" t="n">
        <f aca="false">(1+I56)*H7+(I5-I56)*H9</f>
        <v>0.685787211724176</v>
      </c>
      <c r="J22" s="47" t="n">
        <f aca="false">(1+J56)*I7+(J5-J56)*I9</f>
        <v>0.705493632004586</v>
      </c>
      <c r="K22" s="47" t="n">
        <f aca="false">(1+K56)*J7+(K5-K56)*J9</f>
        <v>0.725763982509125</v>
      </c>
      <c r="L22" s="47" t="n">
        <f aca="false">(1+L56)*K7+(L5-L56)*K9</f>
        <v>0.746666838337729</v>
      </c>
      <c r="M22" s="47" t="n">
        <f aca="false">(1+M56)*L7+(M5-M56)*L9</f>
        <v>0.768237741735923</v>
      </c>
      <c r="N22" s="47" t="n">
        <f aca="false">(1+N56)*M7+(N5-N56)*M9</f>
        <v>0.790498698181726</v>
      </c>
      <c r="O22" s="47" t="n">
        <f aca="false">(1+O56)*N7+(O5-O56)*N9</f>
        <v>0.813455218912408</v>
      </c>
      <c r="P22" s="26" t="n">
        <f aca="false">(1+P56)*O7+(P5-P56)*O9</f>
        <v>0.837083179612212</v>
      </c>
      <c r="Q22" s="26" t="n">
        <f aca="false">(1+Q56)*P7+(Q5-Q56)*P9</f>
        <v>0.861379327633965</v>
      </c>
      <c r="R22" s="26" t="n">
        <f aca="false">(1+R56)*Q7+(R5-R56)*Q9</f>
        <v>0.886316898158625</v>
      </c>
      <c r="S22" s="26" t="n">
        <f aca="false">(1+S56)*R7+(S5-S56)*R9</f>
        <v>0.911872647608997</v>
      </c>
      <c r="T22" s="26" t="n">
        <f aca="false">(1+T56)*S7+(T5-T56)*S9</f>
        <v>0.937970781550465</v>
      </c>
      <c r="U22" s="26" t="n">
        <f aca="false">(1+U56)*T7+(U5-U56)*T9</f>
        <v>0.96459182137902</v>
      </c>
      <c r="V22" s="26" t="n">
        <f aca="false">(1+V56)*U7+(V5-V56)*U9</f>
        <v>0.991669776211479</v>
      </c>
      <c r="W22" s="26" t="n">
        <f aca="false">(1+W56)*V7+(W5-W56)*V9</f>
        <v>1.0191596477091</v>
      </c>
      <c r="X22" s="26" t="n">
        <f aca="false">(1+X56)*W7+(X5-X56)*W9</f>
        <v>1.04696111645741</v>
      </c>
      <c r="Y22" s="26" t="n">
        <f aca="false">(1+Y56)*X7+(Y5-Y56)*X9</f>
        <v>1.07502192759107</v>
      </c>
      <c r="Z22" s="26" t="n">
        <f aca="false">(1+Z56)*Y7+(Z5-Z56)*Y9</f>
        <v>1.10325785536653</v>
      </c>
      <c r="AA22" s="26" t="n">
        <f aca="false">(1+AA56)*Z7+(AA5-AA56)*Z9</f>
        <v>1.13157113371839</v>
      </c>
      <c r="AB22" s="26" t="n">
        <f aca="false">(1+AB56)*AA7+(AB5-AB56)*AA9</f>
        <v>1.15987899932637</v>
      </c>
      <c r="AC22" s="26" t="n">
        <f aca="false">(1+AC56)*AB7+(AC5-AC56)*AB9</f>
        <v>1.1880594555981</v>
      </c>
      <c r="AD22" s="26" t="n">
        <f aca="false">(1+AD56)*AC7+(AD5-AD56)*AC9</f>
        <v>1.21600788293364</v>
      </c>
      <c r="AE22" s="26" t="n">
        <f aca="false">(1+AE56)*AD7+(AE5-AE56)*AD9</f>
        <v>1.24361086434613</v>
      </c>
      <c r="AF22" s="26" t="n">
        <f aca="false">(1+AF56)*AE7+(AF5-AF56)*AE9</f>
        <v>1.27070866187012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-0.438218120621393</v>
      </c>
      <c r="D23" s="47" t="n">
        <f aca="false">D7-D22</f>
        <v>0.230213859088396</v>
      </c>
      <c r="E23" s="47" t="n">
        <f aca="false">E7-E22</f>
        <v>0.247474741841696</v>
      </c>
      <c r="F23" s="47" t="n">
        <f aca="false">F7-F22</f>
        <v>0.262764332938602</v>
      </c>
      <c r="G23" s="47" t="n">
        <f aca="false">G7-G22</f>
        <v>-9.07435090005596</v>
      </c>
      <c r="H23" s="47" t="n">
        <f aca="false">H7-H22</f>
        <v>-0.010408875313187</v>
      </c>
      <c r="I23" s="47" t="n">
        <f aca="false">I7-I22</f>
        <v>-0.0108833519019904</v>
      </c>
      <c r="J23" s="47" t="n">
        <f aca="false">J7-J22</f>
        <v>-0.0113812241501043</v>
      </c>
      <c r="K23" s="47" t="n">
        <f aca="false">K7-K22</f>
        <v>-0.0119050889072647</v>
      </c>
      <c r="L23" s="47" t="n">
        <f aca="false">L7-L22</f>
        <v>-0.012457423788742</v>
      </c>
      <c r="M23" s="47" t="n">
        <f aca="false">M7-M22</f>
        <v>-0.0130403181283413</v>
      </c>
      <c r="N23" s="47" t="n">
        <f aca="false">N7-N22</f>
        <v>-0.0136557753950635</v>
      </c>
      <c r="O23" s="47" t="n">
        <f aca="false">O7-O22</f>
        <v>-0.0143056534431726</v>
      </c>
      <c r="P23" s="26" t="n">
        <f aca="false">P7-P22</f>
        <v>-0.0149914157978458</v>
      </c>
      <c r="Q23" s="26" t="n">
        <f aca="false">Q7-Q22</f>
        <v>-0.0157150162396159</v>
      </c>
      <c r="R23" s="26" t="n">
        <f aca="false">R7-R22</f>
        <v>-0.0164781203468953</v>
      </c>
      <c r="S23" s="26" t="n">
        <f aca="false">S7-S22</f>
        <v>-0.0172825898622887</v>
      </c>
      <c r="T23" s="26" t="n">
        <f aca="false">T7-T22</f>
        <v>-0.0181294183435702</v>
      </c>
      <c r="U23" s="26" t="n">
        <f aca="false">U7-U22</f>
        <v>-0.0190207901676904</v>
      </c>
      <c r="V23" s="26" t="n">
        <f aca="false">V7-V22</f>
        <v>-0.0199581338608603</v>
      </c>
      <c r="W23" s="26" t="n">
        <f aca="false">W7-W22</f>
        <v>-0.0209434296986201</v>
      </c>
      <c r="X23" s="26" t="n">
        <f aca="false">X7-X22</f>
        <v>-0.0219776670996044</v>
      </c>
      <c r="Y23" s="26" t="n">
        <f aca="false">Y7-Y22</f>
        <v>-0.0230629536624525</v>
      </c>
      <c r="Z23" s="26" t="n">
        <f aca="false">Z7-Z22</f>
        <v>-0.0242008852287696</v>
      </c>
      <c r="AA23" s="26" t="n">
        <f aca="false">AA7-AA22</f>
        <v>-0.0253929006164015</v>
      </c>
      <c r="AB23" s="26" t="n">
        <f aca="false">AB7-AB22</f>
        <v>-0.0266409187327328</v>
      </c>
      <c r="AC23" s="26" t="n">
        <f aca="false">AC7-AC22</f>
        <v>-0.02794612068446</v>
      </c>
      <c r="AD23" s="26" t="n">
        <f aca="false">AD7-AD22</f>
        <v>-0.029310223149952</v>
      </c>
      <c r="AE23" s="26" t="n">
        <f aca="false">AE7-AE22</f>
        <v>-0.030734899335092</v>
      </c>
      <c r="AF23" s="26" t="n">
        <f aca="false">AF7-AF22</f>
        <v>-0.0322208218540756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-7.03483101679957</v>
      </c>
      <c r="D24" s="47" t="n">
        <f aca="false">IF(D4&lt;=cfg_N,D63*D62,0)</f>
        <v>6.56906683596486</v>
      </c>
      <c r="E24" s="47" t="n">
        <f aca="false">IF(E4&lt;=cfg_N,E63*E62,0)</f>
        <v>6.32701661714234</v>
      </c>
      <c r="F24" s="47" t="n">
        <f aca="false">IF(F4&lt;=cfg_N,F63*F62,0)</f>
        <v>6.17612737005763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8.36711499165208</v>
      </c>
      <c r="D30" s="47" t="n">
        <f aca="false">(1+D56)*C13+(D15-D56)*C9</f>
        <v>8.55314497405987</v>
      </c>
      <c r="E30" s="47" t="n">
        <f aca="false">(1+E56)*D13+(E15-E56)*D9</f>
        <v>9.00600080656989</v>
      </c>
      <c r="F30" s="47" t="n">
        <f aca="false">(1+F56)*E13+(F15-F56)*E9</f>
        <v>9.47257550042515</v>
      </c>
      <c r="G30" s="47" t="n">
        <f aca="false">(1+G56)*F13+(G15-G56)*F9</f>
        <v>9.95686051691997</v>
      </c>
      <c r="H30" s="47" t="n">
        <f aca="false">(1+H56)*G13+(H15-H56)*G9</f>
        <v>0.922664003551705</v>
      </c>
      <c r="I30" s="47" t="n">
        <f aca="false">(1+I56)*H13+(I15-I56)*H9</f>
        <v>0.953679195902996</v>
      </c>
      <c r="J30" s="47" t="n">
        <f aca="false">(1+J56)*I13+(J15-J56)*I9</f>
        <v>0.985739337955323</v>
      </c>
      <c r="K30" s="47" t="n">
        <f aca="false">(1+K56)*J13+(K15-K56)*J9</f>
        <v>1.01900189444269</v>
      </c>
      <c r="L30" s="47" t="n">
        <f aca="false">(1+L56)*K13+(L15-L56)*K9</f>
        <v>1.05359907490201</v>
      </c>
      <c r="M30" s="47" t="n">
        <f aca="false">(1+M56)*L13+(M15-M56)*L9</f>
        <v>1.08962258557038</v>
      </c>
      <c r="N30" s="47" t="n">
        <f aca="false">(1+N56)*M13+(N15-N56)*M9</f>
        <v>1.12714612604838</v>
      </c>
      <c r="O30" s="47" t="n">
        <f aca="false">(1+O56)*N13+(O15-O56)*N9</f>
        <v>1.16622381236944</v>
      </c>
      <c r="P30" s="26" t="n">
        <f aca="false">(1+P56)*O13+(P15-P56)*O9</f>
        <v>1.20687230562448</v>
      </c>
      <c r="Q30" s="26" t="n">
        <f aca="false">(1+Q56)*P13+(Q15-Q56)*P9</f>
        <v>1.24913443865104</v>
      </c>
      <c r="R30" s="26" t="n">
        <f aca="false">(1+R56)*Q13+(R15-R56)*Q9</f>
        <v>1.29302857946141</v>
      </c>
      <c r="S30" s="26" t="n">
        <f aca="false">(1+S56)*R13+(S15-S56)*R9</f>
        <v>1.33857774739813</v>
      </c>
      <c r="T30" s="26" t="n">
        <f aca="false">(1+T56)*S13+(T15-T56)*S9</f>
        <v>1.38573918215856</v>
      </c>
      <c r="U30" s="26" t="n">
        <f aca="false">(1+U56)*T13+(U15-U56)*T9</f>
        <v>1.43453997174012</v>
      </c>
      <c r="V30" s="26" t="n">
        <f aca="false">(1+V56)*U13+(V15-V56)*U9</f>
        <v>1.48495729282852</v>
      </c>
      <c r="W30" s="26" t="n">
        <f aca="false">(1+W56)*V13+(W15-W56)*V9</f>
        <v>1.53699282220235</v>
      </c>
      <c r="X30" s="26" t="n">
        <f aca="false">(1+X56)*W13+(X15-X56)*W9</f>
        <v>1.59058037987337</v>
      </c>
      <c r="Y30" s="26" t="n">
        <f aca="false">(1+Y56)*X13+(Y15-Y56)*X9</f>
        <v>1.64571320716521</v>
      </c>
      <c r="Z30" s="26" t="n">
        <f aca="false">(1+Z56)*Y13+(Z15-Z56)*Y9</f>
        <v>1.70235275801681</v>
      </c>
      <c r="AA30" s="26" t="n">
        <f aca="false">(1+AA56)*Z13+(AA15-AA56)*Z9</f>
        <v>1.76044024089039</v>
      </c>
      <c r="AB30" s="26" t="n">
        <f aca="false">(1+AB56)*AA13+(AB15-AB56)*AA9</f>
        <v>1.81993893132009</v>
      </c>
      <c r="AC30" s="26" t="n">
        <f aca="false">(1+AC56)*AB13+(AC15-AC56)*AB9</f>
        <v>1.88076406920887</v>
      </c>
      <c r="AD30" s="26" t="n">
        <f aca="false">(1+AD56)*AC13+(AD15-AD56)*AC9</f>
        <v>1.94285167229254</v>
      </c>
      <c r="AE30" s="26" t="n">
        <f aca="false">(1+AE56)*AD13+(AE15-AE56)*AD9</f>
        <v>2.10834956475394</v>
      </c>
      <c r="AF30" s="26" t="n">
        <f aca="false">(1+AF56)*AE13+(AF15-AF56)*AE9</f>
        <v>9.49235362064543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-0.0383722117304579</v>
      </c>
      <c r="D31" s="47" t="n">
        <f aca="false">D13-D30</f>
        <v>0.239707945858331</v>
      </c>
      <c r="E31" s="47" t="n">
        <f aca="false">E13-E30</f>
        <v>0.257159396570577</v>
      </c>
      <c r="F31" s="47" t="n">
        <f aca="false">F13-F30</f>
        <v>0.27269519478129</v>
      </c>
      <c r="G31" s="47" t="n">
        <f aca="false">G13-G30</f>
        <v>-9.06412604605259</v>
      </c>
      <c r="H31" s="47" t="n">
        <f aca="false">H13-H30</f>
        <v>0.000150260230450172</v>
      </c>
      <c r="I31" s="47" t="n">
        <f aca="false">I13-I30</f>
        <v>4.50571947320233E-005</v>
      </c>
      <c r="J31" s="47" t="n">
        <f aca="false">J13-J30</f>
        <v>-5.15568090170282E-005</v>
      </c>
      <c r="K31" s="47" t="n">
        <f aca="false">K13-K30</f>
        <v>-0.000146745918969682</v>
      </c>
      <c r="L31" s="47" t="n">
        <f aca="false">L13-L30</f>
        <v>-0.000243148207080823</v>
      </c>
      <c r="M31" s="47" t="n">
        <f aca="false">M13-M30</f>
        <v>-0.000345490394211945</v>
      </c>
      <c r="N31" s="47" t="n">
        <f aca="false">N13-N30</f>
        <v>-0.000456143236240658</v>
      </c>
      <c r="O31" s="47" t="n">
        <f aca="false">O13-O30</f>
        <v>-0.000577973049176839</v>
      </c>
      <c r="P31" s="26" t="n">
        <f aca="false">P13-P30</f>
        <v>-0.000715734740152518</v>
      </c>
      <c r="Q31" s="26" t="n">
        <f aca="false">Q13-Q30</f>
        <v>-0.000867413706652664</v>
      </c>
      <c r="R31" s="26" t="n">
        <f aca="false">R13-R30</f>
        <v>-0.00103713793559801</v>
      </c>
      <c r="S31" s="26" t="n">
        <f aca="false">S13-S30</f>
        <v>-0.00122533613955822</v>
      </c>
      <c r="T31" s="26" t="n">
        <f aca="false">T13-T30</f>
        <v>-0.0014405820698431</v>
      </c>
      <c r="U31" s="26" t="n">
        <f aca="false">U13-U30</f>
        <v>-0.00167566519169338</v>
      </c>
      <c r="V31" s="26" t="n">
        <f aca="false">V13-V30</f>
        <v>-0.00193858421340853</v>
      </c>
      <c r="W31" s="26" t="n">
        <f aca="false">W13-W30</f>
        <v>-0.00222726188494371</v>
      </c>
      <c r="X31" s="26" t="n">
        <f aca="false">X13-X30</f>
        <v>-0.00255147915329212</v>
      </c>
      <c r="Y31" s="26" t="n">
        <f aca="false">Y13-Y30</f>
        <v>-0.0029048452750946</v>
      </c>
      <c r="Z31" s="26" t="n">
        <f aca="false">Z13-Z30</f>
        <v>-0.00329375193756953</v>
      </c>
      <c r="AA31" s="26" t="n">
        <f aca="false">AA13-AA30</f>
        <v>-0.00372175143806874</v>
      </c>
      <c r="AB31" s="26" t="n">
        <f aca="false">AB13-AB30</f>
        <v>-0.00418764108523195</v>
      </c>
      <c r="AC31" s="26" t="n">
        <f aca="false">AC13-AC30</f>
        <v>-0.0046995797302658</v>
      </c>
      <c r="AD31" s="26" t="n">
        <f aca="false">AD13-AD30</f>
        <v>-0.00525594183552181</v>
      </c>
      <c r="AE31" s="26" t="n">
        <f aca="false">AE13-AE30</f>
        <v>7.1441353422567</v>
      </c>
      <c r="AF31" s="26" t="n">
        <f aca="false">AF13-AF30</f>
        <v>-7.11032659827086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-0.690830166193445</v>
      </c>
      <c r="D32" s="47" t="n">
        <f aca="false">IF(D4&lt;=cfg_N,D69*D68,0)</f>
        <v>7.3178695912576</v>
      </c>
      <c r="E32" s="47" t="n">
        <f aca="false">IF(E4&lt;=cfg_N,E69*E68,0)</f>
        <v>7.16602526282411</v>
      </c>
      <c r="F32" s="47" t="n">
        <f aca="false">IF(F4&lt;=cfg_N,F69*F68,0)</f>
        <v>7.0807302787354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146.516804406607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153.113643816894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146.516804406607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170.106319489936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134.479424600242</v>
      </c>
    </row>
    <row r="44" customFormat="false" ht="15" hidden="false" customHeight="true" outlineLevel="0" collapsed="false">
      <c r="A44" s="26" t="s">
        <v>712</v>
      </c>
      <c r="B44" s="47" t="n">
        <f aca="false">B36</f>
        <v>146.516804406607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193.416336450628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18.5907949316854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20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-1.40920506831461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146.516804406607</v>
      </c>
    </row>
    <row r="53" customFormat="false" ht="15" hidden="false" customHeight="true" outlineLevel="0" collapsed="false">
      <c r="A53" s="26" t="s">
        <v>720</v>
      </c>
      <c r="B53" s="47" t="n">
        <f aca="false">B39</f>
        <v>146.516804406607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146.516804406607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0.0514996</v>
      </c>
      <c r="D58" s="1" t="n">
        <f aca="false">$B$20*(1+D56)</f>
        <v>0.0512864210675423</v>
      </c>
      <c r="E58" s="1" t="n">
        <f aca="false">$B$20*(1+E56)</f>
        <v>0.0511514790191193</v>
      </c>
      <c r="F58" s="1" t="n">
        <f aca="false">$B$20*(1+F56)</f>
        <v>0.0510703290748387</v>
      </c>
      <c r="G58" s="1" t="n">
        <f aca="false">$B$20*(1+G56)</f>
        <v>0.0510263473970545</v>
      </c>
      <c r="H58" s="1" t="n">
        <f aca="false">$B$20*(1+H56)</f>
        <v>0.0510070745470481</v>
      </c>
      <c r="I58" s="1" t="n">
        <f aca="false">$B$20*(1+I56)</f>
        <v>0.0510040901401375</v>
      </c>
      <c r="J58" s="1" t="n">
        <f aca="false">$B$20*(1+J56)</f>
        <v>0.0510120109005392</v>
      </c>
      <c r="K58" s="1" t="n">
        <f aca="false">$B$20*(1+K56)</f>
        <v>0.0510257979807468</v>
      </c>
      <c r="L58" s="1" t="n">
        <f aca="false">$B$20*(1+L56)</f>
        <v>0.0510436514956317</v>
      </c>
      <c r="M58" s="1" t="n">
        <f aca="false">$B$20*(1+M56)</f>
        <v>0.0510629717844358</v>
      </c>
      <c r="N58" s="1" t="n">
        <f aca="false">$B$20*(1+N56)</f>
        <v>0.0510827556942244</v>
      </c>
      <c r="O58" s="1" t="n">
        <f aca="false">$B$20*(1+O56)</f>
        <v>0.0511019501373591</v>
      </c>
      <c r="P58" s="1" t="n">
        <f aca="false">$B$20*(1+P56)</f>
        <v>0.0511188516071367</v>
      </c>
      <c r="Q58" s="1" t="n">
        <f aca="false">$B$20*(1+Q56)</f>
        <v>0.0511350074180598</v>
      </c>
      <c r="R58" s="1" t="n">
        <f aca="false">$B$20*(1+R56)</f>
        <v>0.0511492152711044</v>
      </c>
      <c r="S58" s="1" t="n">
        <f aca="false">$B$20*(1+S56)</f>
        <v>0.0511619739549312</v>
      </c>
      <c r="T58" s="1" t="n">
        <f aca="false">$B$20*(1+T56)</f>
        <v>0.0511706797109028</v>
      </c>
      <c r="U58" s="1" t="n">
        <f aca="false">$B$20*(1+U56)</f>
        <v>0.0511788853470444</v>
      </c>
      <c r="V58" s="1" t="n">
        <f aca="false">$B$20*(1+V56)</f>
        <v>0.0511843880735054</v>
      </c>
      <c r="W58" s="1" t="n">
        <f aca="false">$B$20*(1+W56)</f>
        <v>0.0511886894901222</v>
      </c>
      <c r="X58" s="1" t="n">
        <f aca="false">$B$20*(1+X56)</f>
        <v>0.0511893867126533</v>
      </c>
      <c r="Y58" s="1" t="n">
        <f aca="false">$B$20*(1+Y56)</f>
        <v>0.0511893334618751</v>
      </c>
      <c r="Z58" s="1" t="n">
        <f aca="false">$B$20*(1+Z56)</f>
        <v>0.0511873285636954</v>
      </c>
      <c r="AA58" s="1" t="n">
        <f aca="false">$B$20*(1+AA56)</f>
        <v>0.0511831723153803</v>
      </c>
      <c r="AB58" s="1" t="n">
        <f aca="false">$B$20*(1+AB56)</f>
        <v>0.0511779662743</v>
      </c>
      <c r="AC58" s="1" t="n">
        <f aca="false">$B$20*(1+AC56)</f>
        <v>0.0511703598857865</v>
      </c>
      <c r="AD58" s="1" t="n">
        <f aca="false">$B$20*(1+AD56)</f>
        <v>0.0511615547312637</v>
      </c>
      <c r="AE58" s="1" t="n">
        <f aca="false">$B$20*(1+AE56)</f>
        <v>0.0511515512703293</v>
      </c>
      <c r="AF58" s="1" t="n">
        <f aca="false">$B$20*(1+AF56)</f>
        <v>0.0511388500212649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0.0496546387531852</v>
      </c>
      <c r="D60" s="1" t="n">
        <f aca="false">$D$20*(1+D56)</f>
        <v>0.0494490969066276</v>
      </c>
      <c r="E60" s="1" t="n">
        <f aca="false">$D$20*(1+E56)</f>
        <v>0.0493189891258476</v>
      </c>
      <c r="F60" s="1" t="n">
        <f aca="false">$D$20*(1+F56)</f>
        <v>0.049240746359533</v>
      </c>
      <c r="G60" s="1" t="n">
        <f aca="false">$D$20*(1+G56)</f>
        <v>0.0491983403151728</v>
      </c>
      <c r="H60" s="1" t="n">
        <f aca="false">$D$20*(1+H56)</f>
        <v>0.0491797579105558</v>
      </c>
      <c r="I60" s="1" t="n">
        <f aca="false">$D$20*(1+I56)</f>
        <v>0.0491768804193319</v>
      </c>
      <c r="J60" s="1" t="n">
        <f aca="false">$D$20*(1+J56)</f>
        <v>0.049184517420326</v>
      </c>
      <c r="K60" s="1" t="n">
        <f aca="false">$D$20*(1+K56)</f>
        <v>0.0491978105815771</v>
      </c>
      <c r="L60" s="1" t="n">
        <f aca="false">$D$20*(1+L56)</f>
        <v>0.0492150244984247</v>
      </c>
      <c r="M60" s="1" t="n">
        <f aca="false">$D$20*(1+M56)</f>
        <v>0.0492336526423555</v>
      </c>
      <c r="N60" s="1" t="n">
        <f aca="false">$D$20*(1+N56)</f>
        <v>0.0492527277981562</v>
      </c>
      <c r="O60" s="1" t="n">
        <f aca="false">$D$20*(1+O56)</f>
        <v>0.0492712346048095</v>
      </c>
      <c r="P60" s="1" t="n">
        <f aca="false">$D$20*(1+P56)</f>
        <v>0.0492875305833454</v>
      </c>
      <c r="Q60" s="1" t="n">
        <f aca="false">$D$20*(1+Q56)</f>
        <v>0.0493031076160825</v>
      </c>
      <c r="R60" s="1" t="n">
        <f aca="false">$D$20*(1+R56)</f>
        <v>0.0493168064760813</v>
      </c>
      <c r="S60" s="1" t="n">
        <f aca="false">$D$20*(1+S56)</f>
        <v>0.0493291080830138</v>
      </c>
      <c r="T60" s="1" t="n">
        <f aca="false">$D$20*(1+T56)</f>
        <v>0.0493375019572933</v>
      </c>
      <c r="U60" s="1" t="n">
        <f aca="false">$D$20*(1+U56)</f>
        <v>0.0493454136284199</v>
      </c>
      <c r="V60" s="1" t="n">
        <f aca="false">$D$20*(1+V56)</f>
        <v>0.0493507192209795</v>
      </c>
      <c r="W60" s="1" t="n">
        <f aca="false">$D$20*(1+W56)</f>
        <v>0.0493548665403418</v>
      </c>
      <c r="X60" s="1" t="n">
        <f aca="false">$D$20*(1+X56)</f>
        <v>0.0493555387850371</v>
      </c>
      <c r="Y60" s="1" t="n">
        <f aca="false">$D$20*(1+Y56)</f>
        <v>0.0493554874419557</v>
      </c>
      <c r="Z60" s="1" t="n">
        <f aca="false">$D$20*(1+Z56)</f>
        <v>0.0493535543687891</v>
      </c>
      <c r="AA60" s="1" t="n">
        <f aca="false">$D$20*(1+AA56)</f>
        <v>0.0493495470171077</v>
      </c>
      <c r="AB60" s="1" t="n">
        <f aca="false">$D$20*(1+AB56)</f>
        <v>0.0493445274812437</v>
      </c>
      <c r="AC60" s="1" t="n">
        <f aca="false">$D$20*(1+AC56)</f>
        <v>0.0493371935898377</v>
      </c>
      <c r="AD60" s="1" t="n">
        <f aca="false">$D$20*(1+AD56)</f>
        <v>0.0493287038779371</v>
      </c>
      <c r="AE60" s="1" t="n">
        <f aca="false">$D$20*(1+AE56)</f>
        <v>0.0493190587886747</v>
      </c>
      <c r="AF60" s="1" t="n">
        <f aca="false">$D$20*(1+AF56)</f>
        <v>0.0493068125589175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0.0913259573333334</v>
      </c>
      <c r="D61" s="59" t="n">
        <f aca="false">D5-D56</f>
        <v>0.089580282131307</v>
      </c>
      <c r="E61" s="59" t="n">
        <f aca="false">E5-E56</f>
        <v>0.0879805439128851</v>
      </c>
      <c r="F61" s="59" t="n">
        <f aca="false">F5-F56</f>
        <v>0.0864790905667268</v>
      </c>
      <c r="G61" s="59" t="n">
        <f aca="false">G5-G56</f>
        <v>0.0850439123284241</v>
      </c>
      <c r="H61" s="59" t="n">
        <f aca="false">H5-H56</f>
        <v>0.083651602257159</v>
      </c>
      <c r="I61" s="59" t="n">
        <f aca="false">I5-I56</f>
        <v>0.0822865987594219</v>
      </c>
      <c r="J61" s="59" t="n">
        <f aca="false">J5-J56</f>
        <v>0.0809390572955222</v>
      </c>
      <c r="K61" s="59" t="n">
        <f aca="false">K5-K56</f>
        <v>0.0796002448499651</v>
      </c>
      <c r="L61" s="59" t="n">
        <f aca="false">L5-L56</f>
        <v>0.0782669322933021</v>
      </c>
      <c r="M61" s="59" t="n">
        <f aca="false">M5-M56</f>
        <v>0.0769348774885499</v>
      </c>
      <c r="N61" s="59" t="n">
        <f aca="false">N5-N56</f>
        <v>0.0756024784274523</v>
      </c>
      <c r="O61" s="59" t="n">
        <f aca="false">O5-O56</f>
        <v>0.0742681675329617</v>
      </c>
      <c r="P61" s="59" t="n">
        <f aca="false">P5-P56</f>
        <v>0.0729295616261816</v>
      </c>
      <c r="Q61" s="59" t="n">
        <f aca="false">Q5-Q56</f>
        <v>0.0715890103852837</v>
      </c>
      <c r="R61" s="59" t="n">
        <f aca="false">R5-R56</f>
        <v>0.0702449223056501</v>
      </c>
      <c r="S61" s="59" t="n">
        <f aca="false">S5-S56</f>
        <v>0.0688981249259739</v>
      </c>
      <c r="T61" s="59" t="n">
        <f aca="false">T5-T56</f>
        <v>0.0675452972183919</v>
      </c>
      <c r="U61" s="59" t="n">
        <f aca="false">U5-U56</f>
        <v>0.0661913583821774</v>
      </c>
      <c r="V61" s="59" t="n">
        <f aca="false">V5-V56</f>
        <v>0.0648335582264401</v>
      </c>
      <c r="W61" s="59" t="n">
        <f aca="false">W5-W56</f>
        <v>0.0634739749677515</v>
      </c>
      <c r="X61" s="59" t="n">
        <f aca="false">X5-X56</f>
        <v>0.0621097892113527</v>
      </c>
      <c r="Y61" s="59" t="n">
        <f aca="false">Y5-Y56</f>
        <v>0.0607446757080916</v>
      </c>
      <c r="Z61" s="59" t="n">
        <f aca="false">Z5-Z56</f>
        <v>0.0593773011338867</v>
      </c>
      <c r="AA61" s="59" t="n">
        <f aca="false">AA5-AA56</f>
        <v>0.0580075952907644</v>
      </c>
      <c r="AB61" s="59" t="n">
        <f aca="false">AB5-AB56</f>
        <v>0.0566369493435586</v>
      </c>
      <c r="AC61" s="59" t="n">
        <f aca="false">AC5-AC56</f>
        <v>0.0552639886766495</v>
      </c>
      <c r="AD61" s="59" t="n">
        <f aca="false">AD5-AD56</f>
        <v>0.0538901709835977</v>
      </c>
      <c r="AE61" s="59" t="n">
        <f aca="false">AE5-AE56</f>
        <v>0.052515592637538</v>
      </c>
      <c r="AF61" s="59" t="n">
        <f aca="false">AF5-AF56</f>
        <v>0.0511388500212651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16.0532636277664</v>
      </c>
      <c r="D62" s="1" t="n">
        <f aca="false">IF(D4&gt;cfg_N,0,D16+IF(D4=cfg_N,D16/$B$20,E62))</f>
        <v>15.161455917509</v>
      </c>
      <c r="E62" s="1" t="n">
        <f aca="false">IF(E4&gt;cfg_N,0,E16+IF(E4=cfg_N,E16/$B$20,F62))</f>
        <v>14.3618497569248</v>
      </c>
      <c r="F62" s="1" t="n">
        <f aca="false">IF(F4&gt;cfg_N,0,F16+IF(F4=cfg_N,F16/$B$20,G62))</f>
        <v>13.6421387992129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-0.438218120621393</v>
      </c>
      <c r="D63" s="1" t="n">
        <f aca="false">D23+IF(D4=1,0,D56*C7+(C61-D61*(1+C56))*INDEX($B10:D10,MAX(1,D4-1)))</f>
        <v>0.433274144099755</v>
      </c>
      <c r="E63" s="1" t="n">
        <f aca="false">E23+IF(E4=1,0,E56*D7+(D61-E61*(1+D56))*INDEX($B10:E10,MAX(1,E4-1)))</f>
        <v>0.440543295204133</v>
      </c>
      <c r="F63" s="1" t="n">
        <f aca="false">F23+IF(F4=1,0,F56*E7+(E61-F61*(1+E56))*INDEX($B10:F10,MAX(1,F4-1)))</f>
        <v>0.452724273001382</v>
      </c>
      <c r="G63" s="1" t="n">
        <f aca="false">G23+IF(G4=1,0,G56*F7+(F61-G61*(1+F56))*INDEX($B10:G10,MAX(1,G4-1)))</f>
        <v>-8.88207451703807</v>
      </c>
      <c r="H63" s="1" t="n">
        <f aca="false">H23+IF(H4=1,0,H56*G7+(G61-H61*(1+G56))*INDEX($B10:H10,MAX(1,H4-1)))</f>
        <v>-4.87457296749483E-016</v>
      </c>
      <c r="I63" s="1" t="n">
        <f aca="false">I23+IF(I4=1,0,I56*H7+(H61-I61*(1+H56))*INDEX($B10:I10,MAX(1,I4-1)))</f>
        <v>-8.32667268468867E-017</v>
      </c>
      <c r="J63" s="1" t="n">
        <f aca="false">J23+IF(J4=1,0,J56*I7+(I61-J61*(1+I56))*INDEX($B10:J10,MAX(1,J4-1)))</f>
        <v>1.47451495458029E-016</v>
      </c>
      <c r="K63" s="1" t="n">
        <f aca="false">K23+IF(K4=1,0,K56*J7+(J61-K61*(1+J56))*INDEX($B10:K10,MAX(1,K4-1)))</f>
        <v>-8.01442245901285E-016</v>
      </c>
      <c r="L63" s="1" t="n">
        <f aca="false">L23+IF(L4=1,0,L56*K7+(K61-L61*(1+K56))*INDEX($B10:L10,MAX(1,L4-1)))</f>
        <v>3.40005801291454E-016</v>
      </c>
      <c r="M63" s="1" t="n">
        <f aca="false">M23+IF(M4=1,0,M56*L7+(L61-M61*(1+L56))*INDEX($B10:M10,MAX(1,M4-1)))</f>
        <v>1.67400815431762E-015</v>
      </c>
      <c r="N63" s="1" t="n">
        <f aca="false">N23+IF(N4=1,0,N56*M7+(M61-N61*(1+M56))*INDEX($B10:N10,MAX(1,N4-1)))</f>
        <v>-2.58126853225349E-015</v>
      </c>
      <c r="O63" s="1" t="n">
        <f aca="false">O23+IF(O4=1,0,O56*N7+(N61-O61*(1+N56))*INDEX($B10:O10,MAX(1,O4-1)))</f>
        <v>2.68188249386014E-015</v>
      </c>
      <c r="P63" s="1" t="n">
        <f aca="false">P23+IF(P4=1,0,P56*O7+(O61-P61*(1+O56))*INDEX($B10:P10,MAX(1,P4-1)))</f>
        <v>8.36136715420821E-016</v>
      </c>
      <c r="Q63" s="1" t="n">
        <f aca="false">Q23+IF(Q4=1,0,Q56*P7+(P61-Q61*(1+P56))*INDEX($B10:Q10,MAX(1,Q4-1)))</f>
        <v>-1.2941037130787E-015</v>
      </c>
      <c r="R63" s="1" t="n">
        <f aca="false">R23+IF(R4=1,0,R56*Q7+(Q61-R61*(1+Q56))*INDEX($B10:R10,MAX(1,R4-1)))</f>
        <v>2.91433543964104E-016</v>
      </c>
      <c r="S63" s="1" t="n">
        <f aca="false">S23+IF(S4=1,0,S56*R7+(R61-S61*(1+R56))*INDEX($B10:S10,MAX(1,S4-1)))</f>
        <v>9.71445146547012E-017</v>
      </c>
      <c r="T63" s="1" t="n">
        <f aca="false">T23+IF(T4=1,0,T56*S7+(S61-T61*(1+S56))*INDEX($B10:T10,MAX(1,T4-1)))</f>
        <v>-2.99066327258402E-015</v>
      </c>
      <c r="U63" s="1" t="n">
        <f aca="false">U23+IF(U4=1,0,U56*T7+(T61-U61*(1+T56))*INDEX($B10:U10,MAX(1,U4-1)))</f>
        <v>3.73659436725404E-015</v>
      </c>
      <c r="V63" s="1" t="n">
        <f aca="false">V23+IF(V4=1,0,V56*U7+(U61-V61*(1+U56))*INDEX($B10:V10,MAX(1,V4-1)))</f>
        <v>1.49186218934005E-016</v>
      </c>
      <c r="W63" s="1" t="n">
        <f aca="false">W23+IF(W4=1,0,W56*V7+(V61-W61*(1+V56))*INDEX($B10:W10,MAX(1,W4-1)))</f>
        <v>-2.04697370165263E-015</v>
      </c>
      <c r="X63" s="1" t="n">
        <f aca="false">X23+IF(X4=1,0,X56*W7+(W61-X61*(1+W56))*INDEX($B10:X10,MAX(1,X4-1)))</f>
        <v>4.09394740330526E-016</v>
      </c>
      <c r="Y63" s="1" t="n">
        <f aca="false">Y23+IF(Y4=1,0,Y56*X7+(X61-Y61*(1+X56))*INDEX($B10:Y10,MAX(1,Y4-1)))</f>
        <v>2.19962936753859E-015</v>
      </c>
      <c r="Z63" s="1" t="n">
        <f aca="false">Z23+IF(Z4=1,0,Z56*Y7+(Y61-Z61*(1+Y56))*INDEX($B10:Z10,MAX(1,Z4-1)))</f>
        <v>-3.78863607153335E-015</v>
      </c>
      <c r="AA63" s="1" t="n">
        <f aca="false">AA23+IF(AA4=1,0,AA56*Z7+(Z61-AA61*(1+Z56))*INDEX($B10:AA10,MAX(1,AA4-1)))</f>
        <v>0</v>
      </c>
      <c r="AB63" s="1" t="n">
        <f aca="false">AB23+IF(AB4=1,0,AB56*AA7+(AA61-AB61*(1+AA56))*INDEX($B10:AB10,MAX(1,AB4-1)))</f>
        <v>2.55351295663786E-015</v>
      </c>
      <c r="AC63" s="1" t="n">
        <f aca="false">AC23+IF(AC4=1,0,AC56*AB7+(AB61-AC61*(1+AB56))*INDEX($B10:AC10,MAX(1,AC4-1)))</f>
        <v>-3.33066907387547E-015</v>
      </c>
      <c r="AD63" s="1" t="n">
        <f aca="false">AD23+IF(AD4=1,0,AD56*AC7+(AC61-AD61*(1+AC56))*INDEX($B10:AD10,MAX(1,AD4-1)))</f>
        <v>3.24046345312468E-015</v>
      </c>
      <c r="AE63" s="1" t="n">
        <f aca="false">AE23+IF(AE4=1,0,AE56*AD7+(AD61-AE61*(1+AD56))*INDEX($B10:AE10,MAX(1,AE4-1)))</f>
        <v>-1.36002320516582E-015</v>
      </c>
      <c r="AF63" s="1" t="n">
        <f aca="false">AF23+IF(AF4=1,0,AF56*AE7+(AE61-AF61*(1+AE56))*INDEX($B10:AF10,MAX(1,AF4-1)))</f>
        <v>-2.45636844198316E-015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0.0632243583074321</v>
      </c>
      <c r="D67" s="59" t="n">
        <f aca="false">D15-D56</f>
        <v>0.0638465249293304</v>
      </c>
      <c r="E67" s="59" t="n">
        <f aca="false">E15-E56</f>
        <v>0.0639405669761824</v>
      </c>
      <c r="F67" s="59" t="n">
        <f aca="false">F15-F56</f>
        <v>0.0636702496170295</v>
      </c>
      <c r="G67" s="59" t="n">
        <f aca="false">G15-G56</f>
        <v>0.0631471826517824</v>
      </c>
      <c r="H67" s="59" t="n">
        <f aca="false">H15-H56</f>
        <v>0.0624553707337135</v>
      </c>
      <c r="I67" s="59" t="n">
        <f aca="false">I15-I56</f>
        <v>0.0616517421629373</v>
      </c>
      <c r="J67" s="59" t="n">
        <f aca="false">J15-J56</f>
        <v>0.060772755190543</v>
      </c>
      <c r="K67" s="59" t="n">
        <f aca="false">K15-K56</f>
        <v>0.0598528272957823</v>
      </c>
      <c r="L67" s="59" t="n">
        <f aca="false">L15-L56</f>
        <v>0.0589041859991966</v>
      </c>
      <c r="M67" s="59" t="n">
        <f aca="false">M15-M56</f>
        <v>0.0579447477249309</v>
      </c>
      <c r="N67" s="59" t="n">
        <f aca="false">N15-N56</f>
        <v>0.0569814472070453</v>
      </c>
      <c r="O67" s="59" t="n">
        <f aca="false">O15-O56</f>
        <v>0.0560216335617976</v>
      </c>
      <c r="P67" s="59" t="n">
        <f aca="false">P15-P56</f>
        <v>0.0550772874033975</v>
      </c>
      <c r="Q67" s="59" t="n">
        <f aca="false">Q15-Q56</f>
        <v>0.0541376387136174</v>
      </c>
      <c r="R67" s="59" t="n">
        <f aca="false">R15-R56</f>
        <v>0.0532111979923415</v>
      </c>
      <c r="S67" s="59" t="n">
        <f aca="false">S15-S56</f>
        <v>0.0522945359213574</v>
      </c>
      <c r="T67" s="59" t="n">
        <f aca="false">T15-T56</f>
        <v>0.0514061593808796</v>
      </c>
      <c r="U67" s="59" t="n">
        <f aca="false">U15-U56</f>
        <v>0.0505210508028361</v>
      </c>
      <c r="V67" s="59" t="n">
        <f aca="false">V15-V56</f>
        <v>0.0496549030807042</v>
      </c>
      <c r="W67" s="59" t="n">
        <f aca="false">W15-W56</f>
        <v>0.0487971419607313</v>
      </c>
      <c r="X67" s="59" t="n">
        <f aca="false">X15-X56</f>
        <v>0.047964995275303</v>
      </c>
      <c r="Y67" s="59" t="n">
        <f aca="false">Y15-Y56</f>
        <v>0.0471382006242548</v>
      </c>
      <c r="Z67" s="59" t="n">
        <f aca="false">Z15-Z56</f>
        <v>0.0463254160912694</v>
      </c>
      <c r="AA67" s="59" t="n">
        <f aca="false">AA15-AA56</f>
        <v>0.0455281729263489</v>
      </c>
      <c r="AB67" s="59" t="n">
        <f aca="false">AB15-AB56</f>
        <v>0.0447386331401088</v>
      </c>
      <c r="AC67" s="59" t="n">
        <f aca="false">AC15-AC56</f>
        <v>0.0439666070111916</v>
      </c>
      <c r="AD67" s="59" t="n">
        <f aca="false">AD15-AD56</f>
        <v>0.0432035086097268</v>
      </c>
      <c r="AE67" s="59" t="n">
        <f aca="false">AE15-AE56</f>
        <v>0.223908588097631</v>
      </c>
      <c r="AF67" s="59" t="n">
        <f aca="false">AF15-AF56</f>
        <v>0.0493068125589176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18.0033971209718</v>
      </c>
      <c r="D68" s="1" t="n">
        <f aca="false">IF(D4&gt;cfg_N,0,D18+IF(D4=cfg_N,D18/$D$20,E68))</f>
        <v>17.0886651080441</v>
      </c>
      <c r="E68" s="1" t="n">
        <f aca="false">IF(E4&gt;cfg_N,0,E18+IF(E4=cfg_N,E18/$D$20,F68))</f>
        <v>16.2491340449901</v>
      </c>
      <c r="F68" s="1" t="n">
        <f aca="false">IF(F4&gt;cfg_N,0,F18+IF(F4=cfg_N,F18/$D$20,G68))</f>
        <v>15.4767751489393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-0.0383722117304579</v>
      </c>
      <c r="D69" s="1" t="n">
        <f aca="false">D31+IF(D4=1,0,D56*C13+(C67-D67*(1+C56))*INDEX($B70:D70,MAX(1,D4-1)))</f>
        <v>0.428229445950864</v>
      </c>
      <c r="E69" s="1" t="n">
        <f aca="false">E31+IF(E4=1,0,E56*D13+(D67-E67*(1+D56))*INDEX($B70:E70,MAX(1,E4-1)))</f>
        <v>0.441009671222051</v>
      </c>
      <c r="F69" s="1" t="n">
        <f aca="false">F31+IF(F4=1,0,F56*E13+(E67-F67*(1+E56))*INDEX($B70:F70,MAX(1,F4-1)))</f>
        <v>0.457506826234449</v>
      </c>
      <c r="G69" s="1" t="n">
        <f aca="false">G31+IF(G4=1,0,G56*F13+(F67-G67*(1+F56))*INDEX($B70:G70,MAX(1,G4-1)))</f>
        <v>-8.87388039137842</v>
      </c>
      <c r="H69" s="1" t="n">
        <f aca="false">H31+IF(H4=1,0,H56*G13+(G67-H67*(1+G56))*INDEX($B70:H70,MAX(1,H4-1)))</f>
        <v>0.0108277019079572</v>
      </c>
      <c r="I69" s="1" t="n">
        <f aca="false">I31+IF(I4=1,0,I56*H13+(H67-I67*(1+H56))*INDEX($B70:I70,MAX(1,I4-1)))</f>
        <v>0.0129055435056755</v>
      </c>
      <c r="J69" s="1" t="n">
        <f aca="false">J31+IF(J4=1,0,J56*I13+(I67-J67*(1+I56))*INDEX($B70:J70,MAX(1,J4-1)))</f>
        <v>0.0146305901234346</v>
      </c>
      <c r="K69" s="1" t="n">
        <f aca="false">K31+IF(K4=1,0,K56*J13+(J67-K67*(1+J56))*INDEX($B70:K70,MAX(1,K4-1)))</f>
        <v>0.0159501430749132</v>
      </c>
      <c r="L69" s="1" t="n">
        <f aca="false">L31+IF(L4=1,0,L56*K13+(K67-L67*(1+K56))*INDEX($B70:L70,MAX(1,L4-1)))</f>
        <v>0.0171780088918265</v>
      </c>
      <c r="M69" s="1" t="n">
        <f aca="false">M31+IF(M4=1,0,M56*L13+(L67-M67*(1+L56))*INDEX($B70:M70,MAX(1,M4-1)))</f>
        <v>0.0181773874924138</v>
      </c>
      <c r="N69" s="1" t="n">
        <f aca="false">N31+IF(N4=1,0,N56*M13+(M67-N67*(1+M56))*INDEX($B70:N70,MAX(1,N4-1)))</f>
        <v>0.0191134217733108</v>
      </c>
      <c r="O69" s="1" t="n">
        <f aca="false">O31+IF(O4=1,0,O56*N13+(N67-O67*(1+N56))*INDEX($B70:O70,MAX(1,O4-1)))</f>
        <v>0.0199572546806181</v>
      </c>
      <c r="P69" s="1" t="n">
        <f aca="false">P31+IF(P4=1,0,P56*O13+(O67-P67*(1+O56))*INDEX($B70:P70,MAX(1,P4-1)))</f>
        <v>0.0205823352552489</v>
      </c>
      <c r="Q69" s="1" t="n">
        <f aca="false">Q31+IF(Q4=1,0,Q56*P13+(P67-Q67*(1+P56))*INDEX($B70:Q70,MAX(1,Q4-1)))</f>
        <v>0.0214565727705071</v>
      </c>
      <c r="R69" s="1" t="n">
        <f aca="false">R31+IF(R4=1,0,R56*Q13+(Q67-R67*(1+Q56))*INDEX($B70:R70,MAX(1,R4-1)))</f>
        <v>0.0221665868946626</v>
      </c>
      <c r="S69" s="1" t="n">
        <f aca="false">S31+IF(S4=1,0,S56*R13+(R67-S67*(1+R56))*INDEX($B70:S70,MAX(1,S4-1)))</f>
        <v>0.0229699410104922</v>
      </c>
      <c r="T69" s="1" t="n">
        <f aca="false">T31+IF(T4=1,0,T56*S13+(S67-T67*(1+S56))*INDEX($B70:T70,MAX(1,T4-1)))</f>
        <v>0.0233089814754391</v>
      </c>
      <c r="U69" s="1" t="n">
        <f aca="false">U31+IF(U4=1,0,U56*T13+(T67-U67*(1+T56))*INDEX($B70:U70,MAX(1,U4-1)))</f>
        <v>0.0242710027450733</v>
      </c>
      <c r="V69" s="1" t="n">
        <f aca="false">V31+IF(V4=1,0,V56*U13+(U67-V67*(1+U56))*INDEX($B70:V70,MAX(1,V4-1)))</f>
        <v>0.0248219284668121</v>
      </c>
      <c r="W69" s="1" t="n">
        <f aca="false">W31+IF(W4=1,0,W56*V13+(V67-W67*(1+V56))*INDEX($B70:W70,MAX(1,W4-1)))</f>
        <v>0.025655771540332</v>
      </c>
      <c r="X69" s="1" t="n">
        <f aca="false">X31+IF(X4=1,0,X56*W13+(W67-X67*(1+W56))*INDEX($B70:X70,MAX(1,X4-1)))</f>
        <v>0.0259595067409202</v>
      </c>
      <c r="Y69" s="1" t="n">
        <f aca="false">Y31+IF(Y4=1,0,Y56*X13+(X67-Y67*(1+X56))*INDEX($B70:Y70,MAX(1,Y4-1)))</f>
        <v>0.0268482871277058</v>
      </c>
      <c r="Z69" s="1" t="n">
        <f aca="false">Z31+IF(Z4=1,0,Z56*Y13+(Y67-Z67*(1+Y56))*INDEX($B70:Z70,MAX(1,Z4-1)))</f>
        <v>0.0274540101008968</v>
      </c>
      <c r="AA69" s="1" t="n">
        <f aca="false">AA31+IF(AA4=1,0,AA56*Z13+(Z67-AA67*(1+Z56))*INDEX($B70:AA70,MAX(1,AA4-1)))</f>
        <v>0.0279698695416202</v>
      </c>
      <c r="AB69" s="1" t="n">
        <f aca="false">AB31+IF(AB4=1,0,AB56*AA13+(AA67-AB67*(1+AA56))*INDEX($B70:AB70,MAX(1,AB4-1)))</f>
        <v>0.0287300386110845</v>
      </c>
      <c r="AC69" s="1" t="n">
        <f aca="false">AC31+IF(AC4=1,0,AC56*AB13+(AB67-AC67*(1+AB56))*INDEX($B70:AC70,MAX(1,AC4-1)))</f>
        <v>0.0290915780189297</v>
      </c>
      <c r="AD69" s="1" t="n">
        <f aca="false">AD31+IF(AD4=1,0,AD56*AC13+(AC67-AD67*(1+AC56))*INDEX($B70:AD70,MAX(1,AD4-1)))</f>
        <v>0.0297297050049366</v>
      </c>
      <c r="AE69" s="1" t="n">
        <f aca="false">AE31+IF(AE4=1,0,AE56*AD13+(AD67-AE67*(1+AD56))*INDEX($B70:AE70,MAX(1,AE4-1)))</f>
        <v>0.432967011225234</v>
      </c>
      <c r="AF69" s="1" t="n">
        <f aca="false">AF31+IF(AF4=1,0,AF56*AE13+(AE67-AF67*(1+AE56))*INDEX($B70:AF70,MAX(1,AF4-1)))</f>
        <v>-0.288178920440263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134.479424600242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193.416336450628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20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20.3935918707263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0.05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0.0252435979647378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62.4424560479507</v>
      </c>
      <c r="C19" s="47" t="n">
        <f aca="false">IF($B$14-C18&gt;in_tie_tol,$B$13/($B$14-C18),"n/m")</f>
        <v>67.6459940519466</v>
      </c>
      <c r="D19" s="47" t="n">
        <f aca="false">IF($B$14-D18&gt;in_tie_tol,$B$13/($B$14-D18),"n/m")</f>
        <v>73.7956298748509</v>
      </c>
      <c r="E19" s="47" t="n">
        <f aca="false">IF($B$14-E18&gt;in_tie_tol,$B$13/($B$14-E18),"n/m")</f>
        <v>81.175192862336</v>
      </c>
      <c r="F19" s="47" t="n">
        <f aca="false">IF($B$14-F18&gt;in_tie_tol,$B$13/($B$14-F18),"n/m")</f>
        <v>90.1946587359289</v>
      </c>
      <c r="G19" s="47" t="n">
        <f aca="false">IF($B$14-G18&gt;in_tie_tol,$B$13/($B$14-G18),"n/m")</f>
        <v>101.46899107792</v>
      </c>
      <c r="H19" s="47" t="n">
        <f aca="false">IF($B$14-H18&gt;in_tie_tol,$B$13/($B$14-H18),"n/m")</f>
        <v>115.964561231909</v>
      </c>
      <c r="I19" s="47" t="n">
        <f aca="false">IF($B$14-I18&gt;in_tie_tol,$B$13/($B$14-I18),"n/m")</f>
        <v>135.291988103893</v>
      </c>
      <c r="J19" s="47" t="n">
        <f aca="false">IF($B$14-J18&gt;in_tie_tol,$B$13/($B$14-J18),"n/m")</f>
        <v>162.350385724672</v>
      </c>
      <c r="K19" s="47" t="n">
        <f aca="false">IF($B$14-K18&gt;in_tie_tol,$B$13/($B$14-K18),"n/m")</f>
        <v>202.93798215584</v>
      </c>
      <c r="L19" s="47" t="n">
        <f aca="false">IF($B$14-L18&gt;in_tie_tol,$B$13/($B$14-L18),"n/m")</f>
        <v>270.583976207787</v>
      </c>
      <c r="M19" s="47" t="n">
        <f aca="false">IF($B$14-M18&gt;in_tie_tol,$B$13/($B$14-M18),"n/m")</f>
        <v>405.87596431168</v>
      </c>
      <c r="N19" s="47" t="n">
        <f aca="false">IF($B$14-N18&gt;in_tie_tol,$B$13/($B$14-N18),"n/m")</f>
        <v>811.75192862336</v>
      </c>
      <c r="O19" s="47" t="str">
        <f aca="false">IF($B$14-O18&gt;in_tie_tol,$B$13/($B$14-O18),"n/m")</f>
        <v>n/m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≥price</v>
      </c>
      <c r="N20" s="7" t="str">
        <f aca="false">IF(ISNUMBER(N19),IF(N19&gt;=val_realprice,"≥price","&lt;price"),"")</f>
        <v>≥price</v>
      </c>
      <c r="O20" s="7" t="str">
        <f aca="false">IF(ISNUMBER(O19),IF(O19&gt;=val_realprice,"≥price","&lt;price"),"")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0.121317957333333</v>
      </c>
      <c r="D5" s="54" t="n">
        <f aca="false">(1+INDEX(finrate_coe,D4))*(1+INDEX(finrate_infl,D4))-1</f>
        <v>0.115308703482152</v>
      </c>
      <c r="E5" s="54" t="n">
        <f aca="false">(1+INDEX(finrate_coe,E4))*(1+INDEX(finrate_infl,E4))-1</f>
        <v>0.11101012429527</v>
      </c>
      <c r="F5" s="54" t="n">
        <f aca="false">(1+INDEX(finrate_coe,F4))*(1+INDEX(finrate_infl,F4))-1</f>
        <v>0.1078856720635</v>
      </c>
      <c r="G5" s="54" t="n">
        <f aca="false">(1+INDEX(finrate_coe,G4))*(1+INDEX(finrate_infl,G4))-1</f>
        <v>0.105570860269514</v>
      </c>
      <c r="H5" s="54" t="n">
        <f aca="false">(1+INDEX(finrate_coe,H4))*(1+INDEX(finrate_infl,H4))-1</f>
        <v>0.103793093198121</v>
      </c>
      <c r="I5" s="54" t="n">
        <f aca="false">(1+INDEX(finrate_coe,I4))*(1+INDEX(finrate_infl,I4))-1</f>
        <v>0.102368401562172</v>
      </c>
      <c r="J5" s="54" t="n">
        <f aca="false">(1+INDEX(finrate_coe,J4))*(1+INDEX(finrate_infl,J4))-1</f>
        <v>0.101179275306306</v>
      </c>
      <c r="K5" s="54" t="n">
        <f aca="false">(1+INDEX(finrate_coe,K4))*(1+INDEX(finrate_infl,K4))-1</f>
        <v>0.100116204464901</v>
      </c>
      <c r="L5" s="54" t="n">
        <f aca="false">(1+INDEX(finrate_coe,L4))*(1+INDEX(finrate_infl,L4))-1</f>
        <v>0.0991399622059366</v>
      </c>
      <c r="M5" s="54" t="n">
        <f aca="false">(1+INDEX(finrate_coe,M4))*(1+INDEX(finrate_infl,M4))-1</f>
        <v>0.098194313177266</v>
      </c>
      <c r="N5" s="54" t="n">
        <f aca="false">(1+INDEX(finrate_coe,N4))*(1+INDEX(finrate_infl,N4))-1</f>
        <v>0.0972575923119401</v>
      </c>
      <c r="O5" s="54" t="n">
        <f aca="false">(1+INDEX(finrate_coe,O4))*(1+INDEX(finrate_infl,O4))-1</f>
        <v>0.0963071702801426</v>
      </c>
      <c r="P5" s="36" t="n">
        <f aca="false">(1+INDEX(finrate_coe,P4))*(1+INDEX(finrate_infl,P4))-1</f>
        <v>0.0953065937689164</v>
      </c>
      <c r="Q5" s="36" t="n">
        <f aca="false">(1+INDEX(finrate_coe,Q4))*(1+INDEX(finrate_infl,Q4))-1</f>
        <v>0.0942891587464789</v>
      </c>
      <c r="R5" s="36" t="n">
        <f aca="false">(1+INDEX(finrate_coe,R4))*(1+INDEX(finrate_infl,R4))-1</f>
        <v>0.0932292277277389</v>
      </c>
      <c r="S5" s="36" t="n">
        <f aca="false">(1+INDEX(finrate_coe,S4))*(1+INDEX(finrate_infl,S4))-1</f>
        <v>0.0921376040245976</v>
      </c>
      <c r="T5" s="36" t="n">
        <f aca="false">(1+INDEX(finrate_coe,T4))*(1+INDEX(finrate_infl,T4))-1</f>
        <v>0.0909588914364481</v>
      </c>
      <c r="U5" s="36" t="n">
        <f aca="false">(1+INDEX(finrate_coe,U4))*(1+INDEX(finrate_infl,U4))-1</f>
        <v>0.0897690653230661</v>
      </c>
      <c r="V5" s="36" t="n">
        <f aca="false">(1+INDEX(finrate_coe,V4))*(1+INDEX(finrate_infl,V4))-1</f>
        <v>0.0885213196965489</v>
      </c>
      <c r="W5" s="36" t="n">
        <f aca="false">(1+INDEX(finrate_coe,W4))*(1+INDEX(finrate_infl,W4))-1</f>
        <v>0.0872477647701955</v>
      </c>
      <c r="X5" s="36" t="n">
        <f aca="false">(1+INDEX(finrate_coe,X4))*(1+INDEX(finrate_infl,X4))-1</f>
        <v>0.085897523464419</v>
      </c>
      <c r="Y5" s="36" t="n">
        <f aca="false">(1+INDEX(finrate_coe,Y4))*(1+INDEX(finrate_infl,Y4))-1</f>
        <v>0.0845313449455929</v>
      </c>
      <c r="Z5" s="36" t="n">
        <f aca="false">(1+INDEX(finrate_coe,Z4))*(1+INDEX(finrate_infl,Z4))-1</f>
        <v>0.0831238724077945</v>
      </c>
      <c r="AA5" s="36" t="n">
        <f aca="false">(1+INDEX(finrate_coe,AA4))*(1+INDEX(finrate_infl,AA4))-1</f>
        <v>0.0816710415983699</v>
      </c>
      <c r="AB5" s="36" t="n">
        <f aca="false">(1+INDEX(finrate_coe,AB4))*(1+INDEX(finrate_infl,AB4))-1</f>
        <v>0.0801962748295575</v>
      </c>
      <c r="AC5" s="36" t="n">
        <f aca="false">(1+INDEX(finrate_coe,AC4))*(1+INDEX(finrate_infl,AC4))-1</f>
        <v>0.0786711863923788</v>
      </c>
      <c r="AD5" s="36" t="n">
        <f aca="false">(1+INDEX(finrate_coe,AD4))*(1+INDEX(finrate_infl,AD4))-1</f>
        <v>0.0771212656088713</v>
      </c>
      <c r="AE5" s="36" t="n">
        <f aca="false">(1+INDEX(finrate_coe,AE4))*(1+INDEX(finrate_infl,AE4))-1</f>
        <v>0.0755466180441229</v>
      </c>
      <c r="AF5" s="36" t="n">
        <f aca="false">(1+INDEX(finrate_coe,AF4))*(1+INDEX(finrate_infl,AF4))-1</f>
        <v>0.0739158504465638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0.00956884262264865</v>
      </c>
      <c r="H7" s="42" t="n">
        <f aca="false">INDEX(fc_ni,H4)</f>
        <v>0.0098455229107132</v>
      </c>
      <c r="I7" s="42" t="n">
        <f aca="false">INDEX(fc_ni,I4)</f>
        <v>0.0101269324166319</v>
      </c>
      <c r="J7" s="42" t="n">
        <f aca="false">INDEX(fc_ni,J4)</f>
        <v>0.0104151566798565</v>
      </c>
      <c r="K7" s="42" t="n">
        <f aca="false">INDEX(fc_ni,K4)</f>
        <v>0.0107114526984959</v>
      </c>
      <c r="L7" s="42" t="n">
        <f aca="false">INDEX(fc_ni,L4)</f>
        <v>0.0110168122653075</v>
      </c>
      <c r="M7" s="42" t="n">
        <f aca="false">INDEX(fc_ni,M4)</f>
        <v>0.0113317373412318</v>
      </c>
      <c r="N7" s="42" t="n">
        <f aca="false">INDEX(fc_ni,N4)</f>
        <v>0.0116565280564139</v>
      </c>
      <c r="O7" s="42" t="n">
        <f aca="false">INDEX(fc_ni,O4)</f>
        <v>0.0119912392298659</v>
      </c>
      <c r="P7" s="26" t="n">
        <f aca="false">INDEX(fc_ni,P4)</f>
        <v>0.0123354869160346</v>
      </c>
      <c r="Q7" s="26" t="n">
        <f aca="false">INDEX(fc_ni,Q4)</f>
        <v>0.0126891929924722</v>
      </c>
      <c r="R7" s="26" t="n">
        <f aca="false">INDEX(fc_ni,R4)</f>
        <v>0.013051930861065</v>
      </c>
      <c r="S7" s="26" t="n">
        <f aca="false">INDEX(fc_ni,S4)</f>
        <v>0.0134233238164894</v>
      </c>
      <c r="T7" s="26" t="n">
        <f aca="false">INDEX(fc_ni,T4)</f>
        <v>0.0138022196549195</v>
      </c>
      <c r="U7" s="26" t="n">
        <f aca="false">INDEX(fc_ni,U4)</f>
        <v>0.014188293323326</v>
      </c>
      <c r="V7" s="26" t="n">
        <f aca="false">INDEX(fc_ni,V4)</f>
        <v>0.014580533193471</v>
      </c>
      <c r="W7" s="26" t="n">
        <f aca="false">INDEX(fc_ni,W4)</f>
        <v>0.0149782343512472</v>
      </c>
      <c r="X7" s="26" t="n">
        <f aca="false">INDEX(fc_ni,X4)</f>
        <v>0.0153798766576139</v>
      </c>
      <c r="Y7" s="26" t="n">
        <f aca="false">INDEX(fc_ni,Y4)</f>
        <v>0.0157846444037989</v>
      </c>
      <c r="Z7" s="26" t="n">
        <f aca="false">INDEX(fc_ni,Z4)</f>
        <v>0.0161912498369171</v>
      </c>
      <c r="AA7" s="26" t="n">
        <f aca="false">INDEX(fc_ni,AA4)</f>
        <v>0.0165982043876953</v>
      </c>
      <c r="AB7" s="26" t="n">
        <f aca="false">INDEX(fc_ni,AB4)</f>
        <v>0.0170042373993076</v>
      </c>
      <c r="AC7" s="26" t="n">
        <f aca="false">INDEX(fc_ni,AC4)</f>
        <v>0.0174075005903792</v>
      </c>
      <c r="AD7" s="26" t="n">
        <f aca="false">INDEX(fc_ni,AD4)</f>
        <v>0.0178063983850543</v>
      </c>
      <c r="AE7" s="26" t="n">
        <f aca="false">INDEX(fc_ni,AE4)</f>
        <v>0.0181992038549906</v>
      </c>
      <c r="AF7" s="26" t="n">
        <f aca="false">INDEX(fc_ni,AF4)</f>
        <v>0.0185835100394408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0.0117252169714628</v>
      </c>
      <c r="H8" s="42" t="n">
        <f aca="false">INDEX(fc_oiat,H4)</f>
        <v>0.0121306770857973</v>
      </c>
      <c r="I8" s="42" t="n">
        <f aca="false">INDEX(fc_oiat,I4)</f>
        <v>0.0125211691275696</v>
      </c>
      <c r="J8" s="42" t="n">
        <f aca="false">INDEX(fc_oiat,J4)</f>
        <v>0.0129052766786766</v>
      </c>
      <c r="K8" s="42" t="n">
        <f aca="false">INDEX(fc_oiat,K4)</f>
        <v>0.013291358404932</v>
      </c>
      <c r="L8" s="42" t="n">
        <f aca="false">INDEX(fc_oiat,L4)</f>
        <v>0.0136827856651472</v>
      </c>
      <c r="M8" s="42" t="n">
        <f aca="false">INDEX(fc_oiat,M4)</f>
        <v>0.0140843898434332</v>
      </c>
      <c r="N8" s="42" t="n">
        <f aca="false">INDEX(fc_oiat,N4)</f>
        <v>0.0144983100746741</v>
      </c>
      <c r="O8" s="42" t="n">
        <f aca="false">INDEX(fc_oiat,O4)</f>
        <v>0.0149268392424181</v>
      </c>
      <c r="P8" s="26" t="n">
        <f aca="false">INDEX(fc_oiat,P4)</f>
        <v>0.0153736137252321</v>
      </c>
      <c r="Q8" s="26" t="n">
        <f aca="false">INDEX(fc_oiat,Q4)</f>
        <v>0.0158357151595063</v>
      </c>
      <c r="R8" s="26" t="n">
        <f aca="false">INDEX(fc_oiat,R4)</f>
        <v>0.0163159961039114</v>
      </c>
      <c r="S8" s="26" t="n">
        <f aca="false">INDEX(fc_oiat,S4)</f>
        <v>0.0168135610732752</v>
      </c>
      <c r="T8" s="26" t="n">
        <f aca="false">INDEX(fc_oiat,T4)</f>
        <v>0.0173348346795095</v>
      </c>
      <c r="U8" s="26" t="n">
        <f aca="false">INDEX(fc_oiat,U4)</f>
        <v>0.0178711280937437</v>
      </c>
      <c r="V8" s="26" t="n">
        <f aca="false">INDEX(fc_oiat,V4)</f>
        <v>0.0184283484395649</v>
      </c>
      <c r="W8" s="26" t="n">
        <f aca="false">INDEX(fc_oiat,W4)</f>
        <v>0.0190024692945112</v>
      </c>
      <c r="X8" s="26" t="n">
        <f aca="false">INDEX(fc_oiat,X4)</f>
        <v>0.0196005352590761</v>
      </c>
      <c r="Y8" s="26" t="n">
        <f aca="false">INDEX(fc_oiat,Y4)</f>
        <v>0.0202139093287279</v>
      </c>
      <c r="Z8" s="26" t="n">
        <f aca="false">INDEX(fc_oiat,Z4)</f>
        <v>0.0208463477075572</v>
      </c>
      <c r="AA8" s="26" t="n">
        <f aca="false">INDEX(fc_oiat,AA4)</f>
        <v>0.0214984523320763</v>
      </c>
      <c r="AB8" s="26" t="n">
        <f aca="false">INDEX(fc_oiat,AB4)</f>
        <v>0.0221661744245494</v>
      </c>
      <c r="AC8" s="26" t="n">
        <f aca="false">INDEX(fc_oiat,AC4)</f>
        <v>0.0228542972363809</v>
      </c>
      <c r="AD8" s="26" t="n">
        <f aca="false">INDEX(fc_oiat,AD4)</f>
        <v>0.0235578835207679</v>
      </c>
      <c r="AE8" s="26" t="n">
        <f aca="false">INDEX(fc_oiat,AE4)</f>
        <v>0.128051773691901</v>
      </c>
      <c r="AF8" s="26" t="n">
        <f aca="false">INDEX(fc_oiat,AF4)</f>
        <v>0.0295688507776277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0.00284178201826023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0.00465509787064014</v>
      </c>
      <c r="AA12" s="26" t="n">
        <f aca="false">AA8-AA7</f>
        <v>0.00490024794438097</v>
      </c>
      <c r="AB12" s="26" t="n">
        <f aca="false">AB8-AB7</f>
        <v>0.00516193702524184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0.0932163583074321</v>
      </c>
      <c r="D14" s="54" t="n">
        <f aca="false">IF(cfg_rf_mode="Single",(1+in_rf_single)*(1+INDEX(finrate_infl,D4))-1,(D5+D13*D6)/(1+D13))</f>
        <v>0.0895749462801757</v>
      </c>
      <c r="E14" s="54" t="n">
        <f aca="false">IF(cfg_rf_mode="Single",(1+in_rf_single)*(1+INDEX(finrate_infl,E4))-1,(E5+E13*E6)/(1+E13))</f>
        <v>0.0869701473585676</v>
      </c>
      <c r="F14" s="54" t="n">
        <f aca="false">IF(cfg_rf_mode="Single",(1+in_rf_single)*(1+INDEX(finrate_infl,F4))-1,(F5+F13*F6)/(1+F13))</f>
        <v>0.0850768311138028</v>
      </c>
      <c r="G14" s="54" t="n">
        <f aca="false">IF(cfg_rf_mode="Single",(1+in_rf_single)*(1+INDEX(finrate_infl,G4))-1,(G5+G13*G6)/(1+G13))</f>
        <v>0.0836741305928721</v>
      </c>
      <c r="H14" s="54" t="n">
        <f aca="false">IF(cfg_rf_mode="Single",(1+in_rf_single)*(1+INDEX(finrate_infl,H4))-1,(H5+H13*H6)/(1+H13))</f>
        <v>0.0825968616746758</v>
      </c>
      <c r="I14" s="54" t="n">
        <f aca="false">IF(cfg_rf_mode="Single",(1+in_rf_single)*(1+INDEX(finrate_infl,I4))-1,(I5+I13*I6)/(1+I13))</f>
        <v>0.0817335449656874</v>
      </c>
      <c r="J14" s="54" t="n">
        <f aca="false">IF(cfg_rf_mode="Single",(1+in_rf_single)*(1+INDEX(finrate_infl,J4))-1,(J5+J13*J6)/(1+J13))</f>
        <v>0.0810129732013266</v>
      </c>
      <c r="K14" s="54" t="n">
        <f aca="false">IF(cfg_rf_mode="Single",(1+in_rf_single)*(1+INDEX(finrate_infl,K4))-1,(K5+K13*K6)/(1+K13))</f>
        <v>0.0803687869107179</v>
      </c>
      <c r="L14" s="54" t="n">
        <f aca="false">IF(cfg_rf_mode="Single",(1+in_rf_single)*(1+INDEX(finrate_infl,L4))-1,(L5+L13*L6)/(1+L13))</f>
        <v>0.0797772159118311</v>
      </c>
      <c r="M14" s="54" t="n">
        <f aca="false">IF(cfg_rf_mode="Single",(1+in_rf_single)*(1+INDEX(finrate_infl,M4))-1,(M5+M13*M6)/(1+M13))</f>
        <v>0.0792041834136471</v>
      </c>
      <c r="N14" s="54" t="n">
        <f aca="false">IF(cfg_rf_mode="Single",(1+in_rf_single)*(1+INDEX(finrate_infl,N4))-1,(N5+N13*N6)/(1+N13))</f>
        <v>0.0786365610915331</v>
      </c>
      <c r="O14" s="54" t="n">
        <f aca="false">IF(cfg_rf_mode="Single",(1+in_rf_single)*(1+INDEX(finrate_infl,O4))-1,(O5+O13*O6)/(1+O13))</f>
        <v>0.0780606363089785</v>
      </c>
      <c r="P14" s="26" t="n">
        <f aca="false">IF(cfg_rf_mode="Single",(1+in_rf_single)*(1+INDEX(finrate_infl,P4))-1,(P5+P13*P6)/(1+P13))</f>
        <v>0.0774543195461322</v>
      </c>
      <c r="Q14" s="26" t="n">
        <f aca="false">IF(cfg_rf_mode="Single",(1+in_rf_single)*(1+INDEX(finrate_infl,Q4))-1,(Q5+Q13*Q6)/(1+Q13))</f>
        <v>0.0768377870748126</v>
      </c>
      <c r="R14" s="26" t="n">
        <f aca="false">IF(cfg_rf_mode="Single",(1+in_rf_single)*(1+INDEX(finrate_infl,R4))-1,(R5+R13*R6)/(1+R13))</f>
        <v>0.0761955034144304</v>
      </c>
      <c r="S14" s="26" t="n">
        <f aca="false">IF(cfg_rf_mode="Single",(1+in_rf_single)*(1+INDEX(finrate_infl,S4))-1,(S5+S13*S6)/(1+S13))</f>
        <v>0.075534015019981</v>
      </c>
      <c r="T14" s="26" t="n">
        <f aca="false">IF(cfg_rf_mode="Single",(1+in_rf_single)*(1+INDEX(finrate_infl,T4))-1,(T5+T13*T6)/(1+T13))</f>
        <v>0.0748197535989358</v>
      </c>
      <c r="U14" s="26" t="n">
        <f aca="false">IF(cfg_rf_mode="Single",(1+in_rf_single)*(1+INDEX(finrate_infl,U4))-1,(U5+U13*U6)/(1+U13))</f>
        <v>0.0740987577437248</v>
      </c>
      <c r="V14" s="26" t="n">
        <f aca="false">IF(cfg_rf_mode="Single",(1+in_rf_single)*(1+INDEX(finrate_infl,V4))-1,(V5+V13*V6)/(1+V13))</f>
        <v>0.0733426645508129</v>
      </c>
      <c r="W14" s="26" t="n">
        <f aca="false">IF(cfg_rf_mode="Single",(1+in_rf_single)*(1+INDEX(finrate_infl,W4))-1,(W5+W13*W6)/(1+W13))</f>
        <v>0.0725709317631753</v>
      </c>
      <c r="X14" s="26" t="n">
        <f aca="false">IF(cfg_rf_mode="Single",(1+in_rf_single)*(1+INDEX(finrate_infl,X4))-1,(X5+X13*X6)/(1+X13))</f>
        <v>0.0717527295283693</v>
      </c>
      <c r="Y14" s="26" t="n">
        <f aca="false">IF(cfg_rf_mode="Single",(1+in_rf_single)*(1+INDEX(finrate_infl,Y4))-1,(Y5+Y13*Y6)/(1+Y13))</f>
        <v>0.0709248698617561</v>
      </c>
      <c r="Z14" s="26" t="n">
        <f aca="false">IF(cfg_rf_mode="Single",(1+in_rf_single)*(1+INDEX(finrate_infl,Z4))-1,(Z5+Z13*Z6)/(1+Z13))</f>
        <v>0.0700719873651771</v>
      </c>
      <c r="AA14" s="26" t="n">
        <f aca="false">IF(cfg_rf_mode="Single",(1+in_rf_single)*(1+INDEX(finrate_infl,AA4))-1,(AA5+AA13*AA6)/(1+AA13))</f>
        <v>0.0691916192339544</v>
      </c>
      <c r="AB14" s="26" t="n">
        <f aca="false">IF(cfg_rf_mode="Single",(1+in_rf_single)*(1+INDEX(finrate_infl,AB4))-1,(AB5+AB13*AB6)/(1+AB13))</f>
        <v>0.0682979586261077</v>
      </c>
      <c r="AC14" s="26" t="n">
        <f aca="false">IF(cfg_rf_mode="Single",(1+in_rf_single)*(1+INDEX(finrate_infl,AC4))-1,(AC5+AC13*AC6)/(1+AC13))</f>
        <v>0.067373804726921</v>
      </c>
      <c r="AD14" s="26" t="n">
        <f aca="false">IF(cfg_rf_mode="Single",(1+in_rf_single)*(1+INDEX(finrate_infl,AD4))-1,(AD5+AD13*AD6)/(1+AD13))</f>
        <v>0.0664346032350004</v>
      </c>
      <c r="AE14" s="26" t="n">
        <f aca="false">IF(cfg_rf_mode="Single",(1+in_rf_single)*(1+INDEX(finrate_infl,AE4))-1,(AE5+AE13*AE6)/(1+AE13))</f>
        <v>0.246939613504216</v>
      </c>
      <c r="AF14" s="26" t="n">
        <f aca="false">IF(cfg_rf_mode="Single",(1+in_rf_single)*(1+INDEX(finrate_infl,AF4))-1,(AF5+AF13*AF6)/(1+AF13))</f>
        <v>0.0720838129842163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0.891807710257449</v>
      </c>
      <c r="D15" s="41" t="n">
        <f aca="false">C15/(1+D5)</f>
        <v>0.799606160584149</v>
      </c>
      <c r="E15" s="41" t="n">
        <f aca="false">D15/(1+E5)</f>
        <v>0.719710957711885</v>
      </c>
      <c r="F15" s="41" t="n">
        <f aca="false">E15/(1+F5)</f>
        <v>0.649625657105378</v>
      </c>
      <c r="G15" s="41" t="n">
        <f aca="false">F15/(1+G5)</f>
        <v>0.587592962559644</v>
      </c>
      <c r="H15" s="41" t="n">
        <f aca="false">G15/(1+H5)</f>
        <v>0.532339771086225</v>
      </c>
      <c r="I15" s="41" t="n">
        <f aca="false">H15/(1+I5)</f>
        <v>0.482905506300656</v>
      </c>
      <c r="J15" s="41" t="n">
        <f aca="false">I15/(1+J5)</f>
        <v>0.438534866328945</v>
      </c>
      <c r="K15" s="41" t="n">
        <f aca="false">J15/(1+K5)</f>
        <v>0.398625949285285</v>
      </c>
      <c r="L15" s="41" t="n">
        <f aca="false">K15/(1+L5)</f>
        <v>0.362670781694859</v>
      </c>
      <c r="M15" s="41" t="n">
        <f aca="false">L15/(1+M5)</f>
        <v>0.330242815267901</v>
      </c>
      <c r="N15" s="41" t="n">
        <f aca="false">M15/(1+N5)</f>
        <v>0.300971091548406</v>
      </c>
      <c r="O15" s="41" t="n">
        <f aca="false">N15/(1+O5)</f>
        <v>0.274531718579838</v>
      </c>
      <c r="P15" s="26" t="n">
        <f aca="false">O15/(1+P5)</f>
        <v>0.250643719431271</v>
      </c>
      <c r="Q15" s="26" t="n">
        <f aca="false">P15/(1+Q5)</f>
        <v>0.229047064414297</v>
      </c>
      <c r="R15" s="26" t="n">
        <f aca="false">Q15/(1+R5)</f>
        <v>0.209514215870689</v>
      </c>
      <c r="S15" s="26" t="n">
        <f aca="false">R15/(1+S5)</f>
        <v>0.191838661262661</v>
      </c>
      <c r="T15" s="26" t="n">
        <f aca="false">S15/(1+T5)</f>
        <v>0.175844078790238</v>
      </c>
      <c r="U15" s="26" t="n">
        <f aca="false">T15/(1+U5)</f>
        <v>0.161359029528066</v>
      </c>
      <c r="V15" s="26" t="n">
        <f aca="false">U15/(1+V5)</f>
        <v>0.148236903226709</v>
      </c>
      <c r="W15" s="26" t="n">
        <f aca="false">V15/(1+W5)</f>
        <v>0.13634141915945</v>
      </c>
      <c r="X15" s="26" t="n">
        <f aca="false">W15/(1+X5)</f>
        <v>0.125556432548506</v>
      </c>
      <c r="Y15" s="26" t="n">
        <f aca="false">X15/(1+Y5)</f>
        <v>0.115770220135781</v>
      </c>
      <c r="Z15" s="26" t="n">
        <f aca="false">Y15/(1+Z5)</f>
        <v>0.106885484740008</v>
      </c>
      <c r="AA15" s="26" t="n">
        <f aca="false">Z15/(1+AA5)</f>
        <v>0.0988151486260226</v>
      </c>
      <c r="AB15" s="26" t="n">
        <f aca="false">AA15/(1+AB5)</f>
        <v>0.0914788829850524</v>
      </c>
      <c r="AC15" s="26" t="n">
        <f aca="false">AB15/(1+AC5)</f>
        <v>0.0848070145370286</v>
      </c>
      <c r="AD15" s="26" t="n">
        <f aca="false">AC15/(1+AD5)</f>
        <v>0.0787348808762858</v>
      </c>
      <c r="AE15" s="26" t="n">
        <f aca="false">AD15/(1+AE5)</f>
        <v>0.0732045264755374</v>
      </c>
      <c r="AF15" s="26" t="n">
        <f aca="false">AE15/(1+AF5)</f>
        <v>0.0681659800859602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0.914732012927657</v>
      </c>
      <c r="D16" s="41" t="n">
        <f aca="false">C16/(1+D14)</f>
        <v>0.839531063054052</v>
      </c>
      <c r="E16" s="41" t="n">
        <f aca="false">D16/(1+E14)</f>
        <v>0.772358896050812</v>
      </c>
      <c r="F16" s="41" t="n">
        <f aca="false">E16/(1+F14)</f>
        <v>0.711801112975572</v>
      </c>
      <c r="G16" s="41" t="n">
        <f aca="false">F16/(1+G14)</f>
        <v>0.656840550937716</v>
      </c>
      <c r="H16" s="41" t="n">
        <f aca="false">G16/(1+H14)</f>
        <v>0.606726819733844</v>
      </c>
      <c r="I16" s="41" t="n">
        <f aca="false">H16/(1+I14)</f>
        <v>0.560883798563434</v>
      </c>
      <c r="J16" s="41" t="n">
        <f aca="false">I16/(1+J14)</f>
        <v>0.518850201124252</v>
      </c>
      <c r="K16" s="41" t="n">
        <f aca="false">J16/(1+K14)</f>
        <v>0.480252861254802</v>
      </c>
      <c r="L16" s="41" t="n">
        <f aca="false">K16/(1+L14)</f>
        <v>0.444770323153417</v>
      </c>
      <c r="M16" s="41" t="n">
        <f aca="false">L16/(1+M14)</f>
        <v>0.412128056941511</v>
      </c>
      <c r="N16" s="41" t="n">
        <f aca="false">M16/(1+N14)</f>
        <v>0.382082410153477</v>
      </c>
      <c r="O16" s="41" t="n">
        <f aca="false">N16/(1+O14)</f>
        <v>0.354416437522138</v>
      </c>
      <c r="P16" s="26" t="n">
        <f aca="false">O16/(1+P14)</f>
        <v>0.328938713310308</v>
      </c>
      <c r="Q16" s="26" t="n">
        <f aca="false">P16/(1+Q14)</f>
        <v>0.305467283242221</v>
      </c>
      <c r="R16" s="26" t="n">
        <f aca="false">Q16/(1+R14)</f>
        <v>0.28383995498315</v>
      </c>
      <c r="S16" s="26" t="n">
        <f aca="false">R16/(1+S14)</f>
        <v>0.263906069932969</v>
      </c>
      <c r="T16" s="26" t="n">
        <f aca="false">S16/(1+T14)</f>
        <v>0.245535187690125</v>
      </c>
      <c r="U16" s="26" t="n">
        <f aca="false">T16/(1+U14)</f>
        <v>0.228596473015109</v>
      </c>
      <c r="V16" s="26" t="n">
        <f aca="false">U16/(1+V14)</f>
        <v>0.21297622890149</v>
      </c>
      <c r="W16" s="26" t="n">
        <f aca="false">V16/(1+W14)</f>
        <v>0.198566101872053</v>
      </c>
      <c r="X16" s="26" t="n">
        <f aca="false">W16/(1+X14)</f>
        <v>0.185272308062545</v>
      </c>
      <c r="Y16" s="26" t="n">
        <f aca="false">X16/(1+Y14)</f>
        <v>0.17300215288348</v>
      </c>
      <c r="Z16" s="26" t="n">
        <f aca="false">Y16/(1+Z14)</f>
        <v>0.161673377984093</v>
      </c>
      <c r="AA16" s="26" t="n">
        <f aca="false">Z16/(1+AA14)</f>
        <v>0.151210854140372</v>
      </c>
      <c r="AB16" s="26" t="n">
        <f aca="false">AA16/(1+AB14)</f>
        <v>0.141543707838624</v>
      </c>
      <c r="AC16" s="26" t="n">
        <f aca="false">AB16/(1+AC14)</f>
        <v>0.13260931382407</v>
      </c>
      <c r="AD16" s="26" t="n">
        <f aca="false">AC16/(1+AD14)</f>
        <v>0.124348284856664</v>
      </c>
      <c r="AE16" s="26" t="n">
        <f aca="false">AD16/(1+AE14)</f>
        <v>0.0997227800849268</v>
      </c>
      <c r="AF16" s="26" t="n">
        <f aca="false">AE16/(1+AF14)</f>
        <v>0.0930177089488384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0.0069879114467577</v>
      </c>
      <c r="H23" s="42" t="n">
        <f aca="false">H8-(H10-(1+INDEX(finrate_infl,H4))*G10)</f>
        <v>0.00717713711675639</v>
      </c>
      <c r="I23" s="42" t="n">
        <f aca="false">I8-(I10-(1+INDEX(finrate_infl,I4))*H10)</f>
        <v>0.00734182774614806</v>
      </c>
      <c r="J23" s="42" t="n">
        <f aca="false">J8-(J10-(1+INDEX(finrate_infl,J4))*I10)</f>
        <v>0.00748899998903948</v>
      </c>
      <c r="K23" s="42" t="n">
        <f aca="false">K8-(K10-(1+INDEX(finrate_infl,K4))*J10)</f>
        <v>0.0076257766813803</v>
      </c>
      <c r="L23" s="42" t="n">
        <f aca="false">L8-(L10-(1+INDEX(finrate_infl,L4))*K10)</f>
        <v>0.00775435009529891</v>
      </c>
      <c r="M23" s="42" t="n">
        <f aca="false">M8-(M10-(1+INDEX(finrate_infl,M4))*L10)</f>
        <v>0.00787855730973842</v>
      </c>
      <c r="N23" s="42" t="n">
        <f aca="false">N8-(N10-(1+INDEX(finrate_infl,N4))*M10)</f>
        <v>0.00799958401711519</v>
      </c>
      <c r="O23" s="42" t="n">
        <f aca="false">O8-(O10-(1+INDEX(finrate_infl,O4))*N10)</f>
        <v>0.0081188389559485</v>
      </c>
      <c r="P23" s="26" t="n">
        <f aca="false">P8-(P10-(1+INDEX(finrate_infl,P4))*O10)</f>
        <v>0.00823926201933181</v>
      </c>
      <c r="Q23" s="26" t="n">
        <f aca="false">Q8-(Q10-(1+INDEX(finrate_infl,Q4))*P10)</f>
        <v>0.00835700504771904</v>
      </c>
      <c r="R23" s="26" t="n">
        <f aca="false">R8-(R10-(1+INDEX(finrate_infl,R4))*Q10)</f>
        <v>0.00847412795802247</v>
      </c>
      <c r="S23" s="26" t="n">
        <f aca="false">S8-(S10-(1+INDEX(finrate_infl,S4))*R10)</f>
        <v>0.00858884926959672</v>
      </c>
      <c r="T23" s="26" t="n">
        <f aca="false">T8-(T10-(1+INDEX(finrate_infl,T4))*S10)</f>
        <v>0.00870712076438897</v>
      </c>
      <c r="U23" s="26" t="n">
        <f aca="false">U8-(U10-(1+INDEX(finrate_infl,U4))*T10)</f>
        <v>0.00881921407772815</v>
      </c>
      <c r="V23" s="26" t="n">
        <f aca="false">V8-(V10-(1+INDEX(finrate_infl,V4))*U10)</f>
        <v>0.00893035650358826</v>
      </c>
      <c r="W23" s="26" t="n">
        <f aca="false">W8-(W10-(1+INDEX(finrate_infl,W4))*V10)</f>
        <v>0.00903557921470818</v>
      </c>
      <c r="X23" s="26" t="n">
        <f aca="false">X8-(X10-(1+INDEX(finrate_infl,X4))*W10)</f>
        <v>0.00914145595141632</v>
      </c>
      <c r="Y23" s="26" t="n">
        <f aca="false">Y8-(Y10-(1+INDEX(finrate_infl,Y4))*X10)</f>
        <v>0.00923834671185605</v>
      </c>
      <c r="Z23" s="26" t="n">
        <f aca="false">Z8-(Z10-(1+INDEX(finrate_infl,Z4))*Y10)</f>
        <v>0.00932924824581192</v>
      </c>
      <c r="AA23" s="26" t="n">
        <f aca="false">AA8-(AA10-(1+INDEX(finrate_infl,AA4))*Z10)</f>
        <v>0.00941407776243675</v>
      </c>
      <c r="AB23" s="26" t="n">
        <f aca="false">AB8-(AB10-(1+INDEX(finrate_infl,AB4))*AA10)</f>
        <v>0.00948787328404346</v>
      </c>
      <c r="AC23" s="26" t="n">
        <f aca="false">AC8-(AC10-(1+INDEX(finrate_infl,AC4))*AB10)</f>
        <v>0.0095548559783295</v>
      </c>
      <c r="AD23" s="26" t="n">
        <f aca="false">AD8-(AD10-(1+INDEX(finrate_infl,AD4))*AC10)</f>
        <v>0.00960927163847801</v>
      </c>
      <c r="AE23" s="26" t="n">
        <f aca="false">AE8-(AE10-(1+INDEX(finrate_infl,AE4))*AD10)</f>
        <v>0.11342516440704</v>
      </c>
      <c r="AF23" s="26" t="n">
        <f aca="false">AF8-(AF10-(1+INDEX(finrate_infl,AF4))*AE10)</f>
        <v>0.0142350972175956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0.00669818983585406</v>
      </c>
      <c r="H24" s="42" t="n">
        <f aca="false">H7-(H9-(1+INDEX(finrate_infl,H4))*G9)</f>
        <v>0.00684383909647136</v>
      </c>
      <c r="I24" s="42" t="n">
        <f aca="false">I7-(I9-(1+INDEX(finrate_infl,I4))*H9)</f>
        <v>0.00698842030403937</v>
      </c>
      <c r="J24" s="42" t="n">
        <f aca="false">J7-(J9-(1+INDEX(finrate_infl,J4))*I9)</f>
        <v>0.00713306949082611</v>
      </c>
      <c r="K24" s="42" t="n">
        <f aca="false">K7-(K9-(1+INDEX(finrate_infl,K4))*J9)</f>
        <v>0.00727829478231134</v>
      </c>
      <c r="L24" s="42" t="n">
        <f aca="false">L7-(L9-(1+INDEX(finrate_infl,L4))*K9)</f>
        <v>0.00742437348314207</v>
      </c>
      <c r="M24" s="42" t="n">
        <f aca="false">M7-(M9-(1+INDEX(finrate_infl,M4))*L9)</f>
        <v>0.00757120503772564</v>
      </c>
      <c r="N24" s="42" t="n">
        <f aca="false">N7-(N9-(1+INDEX(finrate_infl,N4))*M9)</f>
        <v>0.00771851182113891</v>
      </c>
      <c r="O24" s="42" t="n">
        <f aca="false">O7-(O9-(1+INDEX(finrate_infl,O4))*N9)</f>
        <v>0.00786581288931572</v>
      </c>
      <c r="P24" s="26" t="n">
        <f aca="false">P7-(P9-(1+INDEX(finrate_infl,P4))*O9)</f>
        <v>0.00801230224920002</v>
      </c>
      <c r="Q24" s="26" t="n">
        <f aca="false">Q7-(Q9-(1+INDEX(finrate_infl,Q4))*P9)</f>
        <v>0.00815733835230351</v>
      </c>
      <c r="R24" s="26" t="n">
        <f aca="false">R7-(R9-(1+INDEX(finrate_infl,R4))*Q9)</f>
        <v>0.00830001428543458</v>
      </c>
      <c r="S24" s="26" t="n">
        <f aca="false">S7-(S9-(1+INDEX(finrate_infl,S4))*R9)</f>
        <v>0.00843941645888193</v>
      </c>
      <c r="T24" s="26" t="n">
        <f aca="false">T7-(T9-(1+INDEX(finrate_infl,T4))*S9)</f>
        <v>0.00857410614926818</v>
      </c>
      <c r="U24" s="26" t="n">
        <f aca="false">U7-(U9-(1+INDEX(finrate_infl,U4))*T9)</f>
        <v>0.00870312837874121</v>
      </c>
      <c r="V24" s="26" t="n">
        <f aca="false">V7-(V9-(1+INDEX(finrate_infl,V4))*U9)</f>
        <v>0.00882505956446931</v>
      </c>
      <c r="W24" s="26" t="n">
        <f aca="false">W7-(W9-(1+INDEX(finrate_infl,W4))*V9)</f>
        <v>0.00893862372574434</v>
      </c>
      <c r="X24" s="26" t="n">
        <f aca="false">X7-(X9-(1+INDEX(finrate_infl,X4))*W9)</f>
        <v>0.00904201539760818</v>
      </c>
      <c r="Y24" s="26" t="n">
        <f aca="false">Y7-(Y9-(1+INDEX(finrate_infl,Y4))*X9)</f>
        <v>0.00913381108759156</v>
      </c>
      <c r="Z24" s="26" t="n">
        <f aca="false">Z7-(Z9-(1+INDEX(finrate_infl,Z4))*Y9)</f>
        <v>0.00921226283824595</v>
      </c>
      <c r="AA24" s="26" t="n">
        <f aca="false">AA7-(AA9-(1+INDEX(finrate_infl,AA4))*Z9)</f>
        <v>0.00927546715782975</v>
      </c>
      <c r="AB24" s="26" t="n">
        <f aca="false">AB7-(AB9-(1+INDEX(finrate_infl,AB4))*AA9)</f>
        <v>0.00932160002010241</v>
      </c>
      <c r="AC24" s="26" t="n">
        <f aca="false">AC7-(AC9-(1+INDEX(finrate_infl,AC4))*AB9)</f>
        <v>0.00934847253927775</v>
      </c>
      <c r="AD24" s="26" t="n">
        <f aca="false">AD7-(AD9-(1+INDEX(finrate_infl,AD4))*AC9)</f>
        <v>0.00935399408835126</v>
      </c>
      <c r="AE24" s="26" t="n">
        <f aca="false">AE7-(AE9-(1+INDEX(finrate_infl,AE4))*AD9)</f>
        <v>0.00933595522431339</v>
      </c>
      <c r="AF24" s="26" t="n">
        <f aca="false">AF7-(AF9-(1+INDEX(finrate_infl,AF4))*AE9)</f>
        <v>0.00929175501972047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0.000289721610903645</v>
      </c>
      <c r="H25" s="42" t="n">
        <f aca="false">H12-(H11-(1+INDEX(finrate_infl,H4))*G11)</f>
        <v>0.000333298020285026</v>
      </c>
      <c r="I25" s="42" t="n">
        <f aca="false">I12-(I11-(1+INDEX(finrate_infl,I4))*H11)</f>
        <v>0.000353407442108695</v>
      </c>
      <c r="J25" s="42" t="n">
        <f aca="false">J12-(J11-(1+INDEX(finrate_infl,J4))*I11)</f>
        <v>0.000355930498213359</v>
      </c>
      <c r="K25" s="42" t="n">
        <f aca="false">K12-(K11-(1+INDEX(finrate_infl,K4))*J11)</f>
        <v>0.000347481899069</v>
      </c>
      <c r="L25" s="42" t="n">
        <f aca="false">L12-(L11-(1+INDEX(finrate_infl,L4))*K11)</f>
        <v>0.000329976612156818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0.000281072195976236</v>
      </c>
      <c r="O25" s="42" t="n">
        <f aca="false">O12-(O11-(1+INDEX(finrate_infl,O4))*N11)</f>
        <v>0.000253026066632822</v>
      </c>
      <c r="P25" s="26" t="n">
        <f aca="false">P12-(P11-(1+INDEX(finrate_infl,P4))*O11)</f>
        <v>0.000226959770131806</v>
      </c>
      <c r="Q25" s="26" t="n">
        <f aca="false">Q12-(Q11-(1+INDEX(finrate_infl,Q4))*P11)</f>
        <v>0.000199666695415473</v>
      </c>
      <c r="R25" s="26" t="n">
        <f aca="false">R12-(R11-(1+INDEX(finrate_infl,R4))*Q11)</f>
        <v>0.000174113672587907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0.000133014615120846</v>
      </c>
      <c r="U25" s="26" t="n">
        <f aca="false">U12-(U11-(1+INDEX(finrate_infl,U4))*T11)</f>
        <v>0.00011608569898694</v>
      </c>
      <c r="V25" s="26" t="n">
        <f aca="false">V12-(V11-(1+INDEX(finrate_infl,V4))*U11)</f>
        <v>0.00010529693911889</v>
      </c>
      <c r="W25" s="26" t="n">
        <f aca="false">W12-(W11-(1+INDEX(finrate_infl,W4))*V11)</f>
        <v>9.69554889638721E-005</v>
      </c>
      <c r="X25" s="26" t="n">
        <f aca="false">X12-(X11-(1+INDEX(finrate_infl,X4))*W11)</f>
        <v>9.94405538081097E-005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0.000116985407565991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0.000166273263941107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0.000255277550126692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0.00494334219787531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0.113370769735016</v>
      </c>
      <c r="D27" s="42" t="n">
        <f aca="false">D7-(D5-INDEX(finrate_infl,D4))*C9</f>
        <v>0.119872048267233</v>
      </c>
      <c r="E27" s="42" t="n">
        <f aca="false">E7-(E5-INDEX(finrate_infl,E4))*D9</f>
        <v>0.126482400411771</v>
      </c>
      <c r="F27" s="42" t="n">
        <f aca="false">F7-(F5-INDEX(finrate_infl,F4))*E9</f>
        <v>0.133275528128156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0.113370769735016</v>
      </c>
      <c r="D28" s="42" t="n">
        <f aca="false">D8-(D14-INDEX(finrate_infl,D4))*C10</f>
        <v>0.119872048267233</v>
      </c>
      <c r="E28" s="42" t="n">
        <f aca="false">E8-(E14-INDEX(finrate_infl,E4))*D10</f>
        <v>0.126482400411771</v>
      </c>
      <c r="F28" s="42" t="n">
        <f aca="false">F8-(F14-INDEX(finrate_infl,F4))*E10</f>
        <v>0.133275528128156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-1.12757025938492E-017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1.0842021724855E-017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0.05</v>
      </c>
      <c r="C31" s="54" t="n">
        <f aca="false">IF(cfg_rf_mode="Single",in_rf_lr,(O5*0+INDEX(finrate_coe,COLUMNS(finrate_coe))+O13*INDEX(finrate_cod,COLUMNS(finrate_cod)))/(1+O13))</f>
        <v>0.0482087615759979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2.19848465012114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2.19848465012114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2.25852600725579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2.19848465012114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2.51708199898181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0.258555991726022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146.516804406607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2.19848465012114</v>
      </c>
      <c r="C49" s="1" t="n">
        <f aca="false">B49*(1+C5)-C24</f>
        <v>2.34577455501191</v>
      </c>
      <c r="D49" s="1" t="n">
        <f aca="false">C49*(1+D5)-D24</f>
        <v>2.49015800251065</v>
      </c>
      <c r="E49" s="1" t="n">
        <f aca="false">D49*(1+E5)-E24</f>
        <v>2.63371248139584</v>
      </c>
      <c r="F49" s="1" t="n">
        <f aca="false">E49*(1+F5)-F24</f>
        <v>2.77802705387523</v>
      </c>
      <c r="G49" s="1" t="n">
        <f aca="false">F49*(1+G5)-G24</f>
        <v>3.06460756996897</v>
      </c>
      <c r="H49" s="1" t="n">
        <f aca="false">G49*(1+H5)-H24</f>
        <v>3.37584882999795</v>
      </c>
      <c r="I49" s="1" t="n">
        <f aca="false">H49*(1+I5)-I24</f>
        <v>3.71444065833633</v>
      </c>
      <c r="J49" s="1" t="n">
        <f aca="false">I49*(1+J5)-J24</f>
        <v>4.08313200282426</v>
      </c>
      <c r="K49" s="1" t="n">
        <f aca="false">J49*(1+K5)-K24</f>
        <v>4.48464138649388</v>
      </c>
      <c r="L49" s="1" t="n">
        <f aca="false">K49*(1+L5)-L24</f>
        <v>4.92182419057492</v>
      </c>
      <c r="M49" s="1" t="n">
        <f aca="false">L49*(1+M5)-M24</f>
        <v>5.39754813150995</v>
      </c>
      <c r="N49" s="1" t="n">
        <f aca="false">M49*(1+N5)-N24</f>
        <v>5.91478215534728</v>
      </c>
      <c r="O49" s="1" t="n">
        <f aca="false">N49*(1+O5)-O24</f>
        <v>6.47655227466294</v>
      </c>
      <c r="P49" s="1" t="n">
        <f aca="false">O49*(1+P5)-P24</f>
        <v>7.08579810907819</v>
      </c>
      <c r="Q49" s="1" t="n">
        <f aca="false">P49*(1+Q5)-Q24</f>
        <v>7.74575471347826</v>
      </c>
      <c r="R49" s="1" t="n">
        <f aca="false">Q49*(1+R5)-R24</f>
        <v>8.4595854292989</v>
      </c>
      <c r="S49" s="1" t="n">
        <f aca="false">R49*(1+S5)-S24</f>
        <v>9.23059194533702</v>
      </c>
      <c r="T49" s="1" t="n">
        <f aca="false">S49*(1+T5)-T24</f>
        <v>10.0616222498378</v>
      </c>
      <c r="U49" s="1" t="n">
        <f aca="false">T49*(1+U5)-U24</f>
        <v>10.9561415464608</v>
      </c>
      <c r="V49" s="1" t="n">
        <f aca="false">U49*(1+V5)-V24</f>
        <v>11.9171685953712</v>
      </c>
      <c r="W49" s="1" t="n">
        <f aca="false">V49*(1+W5)-W24</f>
        <v>12.9479762939812</v>
      </c>
      <c r="X49" s="1" t="n">
        <f aca="false">W49*(1+X5)-X24</f>
        <v>14.0511333761125</v>
      </c>
      <c r="Y49" s="1" t="n">
        <f aca="false">X49*(1+Y5)-Y24</f>
        <v>15.2297607673177</v>
      </c>
      <c r="Z49" s="1" t="n">
        <f aca="false">Y49*(1+Z5)-Z24</f>
        <v>16.4865051953032</v>
      </c>
      <c r="AA49" s="1" t="n">
        <f aca="false">Z49*(1+AA5)-AA24</f>
        <v>17.8236997797627</v>
      </c>
      <c r="AB49" s="1" t="n">
        <f aca="false">AA49*(1+AB5)-AB24</f>
        <v>19.2437725057599</v>
      </c>
      <c r="AC49" s="1" t="n">
        <f aca="false">AB49*(1+AC5)-AC24</f>
        <v>20.7483544469138</v>
      </c>
      <c r="AD49" s="1" t="n">
        <f aca="false">AC49*(1+AD5)-AD24</f>
        <v>22.3391398070729</v>
      </c>
      <c r="AE49" s="1" t="n">
        <f aca="false">AD49*(1+AE5)-AE24</f>
        <v>24.0174503142878</v>
      </c>
      <c r="AF49" s="1" t="n">
        <f aca="false">AE49*(1+AF5)-AF24</f>
        <v>25.7834288248068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0.11942201859603</v>
      </c>
      <c r="D51" s="1" t="n">
        <f aca="false">IF((C49+C50)=0,0,(D5*C49+D6*C50)/(C49+C50))</f>
        <v>0.113590347480372</v>
      </c>
      <c r="E51" s="1" t="n">
        <f aca="false">IF((D49+D50)=0,0,(E5*D49+E6*D50)/(D49+D50))</f>
        <v>0.109419860415517</v>
      </c>
      <c r="F51" s="1" t="n">
        <f aca="false">IF((E49+E50)=0,0,(F5*E49+F6*E50)/(E49+E50))</f>
        <v>0.106389416536872</v>
      </c>
      <c r="G51" s="1" t="n">
        <f aca="false">IF((F49+F50)=0,0,(G5*F49+G6*F50)/(F49+F50))</f>
        <v>0.104144859352045</v>
      </c>
      <c r="H51" s="1" t="n">
        <f aca="false">IF((G49+G50)=0,0,(H5*G49+H6*G50)/(G49+G50))</f>
        <v>0.102482443695957</v>
      </c>
      <c r="I51" s="1" t="n">
        <f aca="false">IF((H49+H50)=0,0,(I5*H49+I6*H50)/(H49+H50))</f>
        <v>0.101155730633624</v>
      </c>
      <c r="J51" s="1" t="n">
        <f aca="false">IF((I49+I50)=0,0,(J5*I49+J6*I50)/(I49+I50))</f>
        <v>0.100051775199462</v>
      </c>
      <c r="K51" s="1" t="n">
        <f aca="false">IF((J49+J50)=0,0,(K5*J49+K6*J50)/(J49+J50))</f>
        <v>0.0990647439886481</v>
      </c>
      <c r="L51" s="1" t="n">
        <f aca="false">IF((K49+K50)=0,0,(L5*K49+L6*K50)/(K49+K50))</f>
        <v>0.0981570989528537</v>
      </c>
      <c r="M51" s="1" t="n">
        <f aca="false">IF((L49+L50)=0,0,(M5*L49+M6*L50)/(L49+L50))</f>
        <v>0.0972743809113865</v>
      </c>
      <c r="N51" s="1" t="n">
        <f aca="false">IF((M49+M50)=0,0,(N5*M49+N6*M50)/(M49+M50))</f>
        <v>0.0963958086226861</v>
      </c>
      <c r="O51" s="1" t="n">
        <f aca="false">IF((N49+N50)=0,0,(O5*N49+O6*N50)/(N49+N50))</f>
        <v>0.0954995402143972</v>
      </c>
      <c r="P51" s="1" t="n">
        <f aca="false">IF((O49+O50)=0,0,(P5*O49+P6*O50)/(O49+O50))</f>
        <v>0.0945500400292475</v>
      </c>
      <c r="Q51" s="1" t="n">
        <f aca="false">IF((P49+P50)=0,0,(Q5*P49+Q6*P50)/(P49+P50))</f>
        <v>0.0935802803287166</v>
      </c>
      <c r="R51" s="1" t="n">
        <f aca="false">IF((Q49+Q50)=0,0,(R5*Q49+R6*Q50)/(Q49+Q50))</f>
        <v>0.0925652791587965</v>
      </c>
      <c r="S51" s="1" t="n">
        <f aca="false">IF((R49+R50)=0,0,(S5*R49+S6*R50)/(R49+R50))</f>
        <v>0.0915158757021014</v>
      </c>
      <c r="T51" s="1" t="n">
        <f aca="false">IF((S49+S50)=0,0,(T5*S49+T6*S50)/(S49+S50))</f>
        <v>0.0903776610801137</v>
      </c>
      <c r="U51" s="1" t="n">
        <f aca="false">IF((T49+T50)=0,0,(U5*T49+U6*T50)/(T49+T50))</f>
        <v>0.0892256722269841</v>
      </c>
      <c r="V51" s="1" t="n">
        <f aca="false">IF((U49+U50)=0,0,(V5*U49+V6*U50)/(U49+U50))</f>
        <v>0.0880139301084379</v>
      </c>
      <c r="W51" s="1" t="n">
        <f aca="false">IF((V49+V50)=0,0,(W5*V49+W6*V50)/(V49+V50))</f>
        <v>0.0867742661459054</v>
      </c>
      <c r="X51" s="1" t="n">
        <f aca="false">IF((W49+W50)=0,0,(X5*W49+X6*W50)/(W49+W50))</f>
        <v>0.0854565923350404</v>
      </c>
      <c r="Y51" s="1" t="n">
        <f aca="false">IF((X49+X50)=0,0,(Y5*X49+Y6*X50)/(X49+X50))</f>
        <v>0.0841210273021628</v>
      </c>
      <c r="Z51" s="1" t="n">
        <f aca="false">IF((Y49+Y50)=0,0,(Z5*Y49+Z6*Y50)/(Y49+Y50))</f>
        <v>0.0827426629199451</v>
      </c>
      <c r="AA51" s="1" t="n">
        <f aca="false">IF((Z49+Z50)=0,0,(AA5*Z49+AA6*Z50)/(Z49+Z50))</f>
        <v>0.0813175989396922</v>
      </c>
      <c r="AB51" s="1" t="n">
        <f aca="false">IF((AA49+AA50)=0,0,(AB5*AA49+AB6*AA50)/(AA49+AA50))</f>
        <v>0.0798691115012978</v>
      </c>
      <c r="AC51" s="1" t="n">
        <f aca="false">IF((AB49+AB50)=0,0,(AC5*AB49+AC6*AB50)/(AB49+AB50))</f>
        <v>0.078369236767454</v>
      </c>
      <c r="AD51" s="1" t="n">
        <f aca="false">IF((AC49+AC50)=0,0,(AD5*AC49+AD6*AC50)/(AC49+AC50))</f>
        <v>0.0768432933044396</v>
      </c>
      <c r="AE51" s="1" t="n">
        <f aca="false">IF((AD49+AD50)=0,0,(AE5*AD49+AE6*AD50)/(AD49+AD50))</f>
        <v>0.0798905448944744</v>
      </c>
      <c r="AF51" s="1" t="n">
        <f aca="false">IF((AE49+AE50)=0,0,(AF5*AE49+AF6*AE50)/(AE49+AE50))</f>
        <v>0.0738705520317433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0.893318143995588</v>
      </c>
      <c r="D52" s="1" t="n">
        <f aca="false">C52/(1+D51)</f>
        <v>0.802196378602621</v>
      </c>
      <c r="E52" s="1" t="n">
        <f aca="false">D52/(1+E51)</f>
        <v>0.723077355314488</v>
      </c>
      <c r="F52" s="1" t="n">
        <f aca="false">E52/(1+F51)</f>
        <v>0.653546883680255</v>
      </c>
      <c r="G52" s="1" t="n">
        <f aca="false">F52/(1+G51)</f>
        <v>0.591903207395976</v>
      </c>
      <c r="H52" s="1" t="n">
        <f aca="false">G52/(1+H51)</f>
        <v>0.536882206860077</v>
      </c>
      <c r="I52" s="1" t="n">
        <f aca="false">H52/(1+I51)</f>
        <v>0.487562469071605</v>
      </c>
      <c r="J52" s="1" t="n">
        <f aca="false">I52/(1+J51)</f>
        <v>0.443217746713058</v>
      </c>
      <c r="K52" s="1" t="n">
        <f aca="false">J52/(1+K51)</f>
        <v>0.403268096021863</v>
      </c>
      <c r="L52" s="1" t="n">
        <f aca="false">K52/(1+L51)</f>
        <v>0.367222591746116</v>
      </c>
      <c r="M52" s="1" t="n">
        <f aca="false">L52/(1+M51)</f>
        <v>0.334667971962586</v>
      </c>
      <c r="N52" s="1" t="n">
        <f aca="false">M52/(1+N51)</f>
        <v>0.305243753515441</v>
      </c>
      <c r="O52" s="1" t="n">
        <f aca="false">N52/(1+O51)</f>
        <v>0.278634305456397</v>
      </c>
      <c r="P52" s="1" t="n">
        <f aca="false">O52/(1+P51)</f>
        <v>0.254565159441182</v>
      </c>
      <c r="Q52" s="1" t="n">
        <f aca="false">P52/(1+Q51)</f>
        <v>0.232781409851925</v>
      </c>
      <c r="R52" s="1" t="n">
        <f aca="false">Q52/(1+R51)</f>
        <v>0.213059497947025</v>
      </c>
      <c r="S52" s="1" t="n">
        <f aca="false">R52/(1+S51)</f>
        <v>0.19519596800182</v>
      </c>
      <c r="T52" s="1" t="n">
        <f aca="false">S52/(1+T51)</f>
        <v>0.179016844318381</v>
      </c>
      <c r="U52" s="1" t="n">
        <f aca="false">T52/(1+U51)</f>
        <v>0.164352391687915</v>
      </c>
      <c r="V52" s="1" t="n">
        <f aca="false">U52/(1+V51)</f>
        <v>0.151057249489016</v>
      </c>
      <c r="W52" s="1" t="n">
        <f aca="false">V52/(1+W51)</f>
        <v>0.138995975700381</v>
      </c>
      <c r="X52" s="1" t="n">
        <f aca="false">W52/(1+X51)</f>
        <v>0.128053002470944</v>
      </c>
      <c r="Y52" s="1" t="n">
        <f aca="false">X52/(1+Y51)</f>
        <v>0.118116888471026</v>
      </c>
      <c r="Z52" s="1" t="n">
        <f aca="false">Y52/(1+Z51)</f>
        <v>0.109090453822599</v>
      </c>
      <c r="AA52" s="1" t="n">
        <f aca="false">Z52/(1+AA51)</f>
        <v>0.10088659791496</v>
      </c>
      <c r="AB52" s="1" t="n">
        <f aca="false">AA52/(1+AB51)</f>
        <v>0.0934248390295205</v>
      </c>
      <c r="AC52" s="1" t="n">
        <f aca="false">AB52/(1+AC51)</f>
        <v>0.0866352969318497</v>
      </c>
      <c r="AD52" s="1" t="n">
        <f aca="false">AC52/(1+AD51)</f>
        <v>0.0804530217818393</v>
      </c>
      <c r="AE52" s="1" t="n">
        <f aca="false">AD52/(1+AE51)</f>
        <v>0.0745010891726078</v>
      </c>
      <c r="AF52" s="1" t="n">
        <f aca="false">AE52/(1+AF51)</f>
        <v>0.0693762288496068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0.109377639543399</v>
      </c>
      <c r="D53" s="1" t="n">
        <f aca="false">D8-(D51-INDEX(finrate_infl,D4))*C10</f>
        <v>0.116008681616878</v>
      </c>
      <c r="E53" s="1" t="n">
        <f aca="false">E8-(E51-INDEX(finrate_infl,E4))*D10</f>
        <v>0.122685378273177</v>
      </c>
      <c r="F53" s="1" t="n">
        <f aca="false">F8-(F51-INDEX(finrate_infl,F4))*E10</f>
        <v>0.12949562622885</v>
      </c>
      <c r="G53" s="1" t="n">
        <f aca="false">G8-(G51-INDEX(finrate_infl,G4))*F10</f>
        <v>-0.00380102050773743</v>
      </c>
      <c r="H53" s="1" t="n">
        <f aca="false">H8-(H51-INDEX(finrate_infl,H4))*G10</f>
        <v>-0.00386236718042703</v>
      </c>
      <c r="I53" s="1" t="n">
        <f aca="false">I8-(I51-INDEX(finrate_infl,I4))*H10</f>
        <v>-0.00394455149268262</v>
      </c>
      <c r="J53" s="1" t="n">
        <f aca="false">J8-(J51-INDEX(finrate_infl,J4))*I10</f>
        <v>-0.00404294665670694</v>
      </c>
      <c r="K53" s="1" t="n">
        <f aca="false">K8-(K51-INDEX(finrate_infl,K4))*J10</f>
        <v>-0.00415176153697765</v>
      </c>
      <c r="L53" s="1" t="n">
        <f aca="false">L8-(L51-INDEX(finrate_infl,L4))*K10</f>
        <v>-0.00426944190696767</v>
      </c>
      <c r="M53" s="1" t="n">
        <f aca="false">M8-(M51-INDEX(finrate_infl,M4))*L10</f>
        <v>-0.0043922480655911</v>
      </c>
      <c r="N53" s="1" t="n">
        <f aca="false">N8-(N51-INDEX(finrate_infl,N4))*M10</f>
        <v>-0.0045186475602135</v>
      </c>
      <c r="O53" s="1" t="n">
        <f aca="false">O8-(O51-INDEX(finrate_infl,O4))*N10</f>
        <v>-0.00464655702824183</v>
      </c>
      <c r="P53" s="1" t="n">
        <f aca="false">P8-(P51-INDEX(finrate_infl,P4))*O10</f>
        <v>-0.00477189446780452</v>
      </c>
      <c r="Q53" s="1" t="n">
        <f aca="false">Q8-(Q51-INDEX(finrate_infl,Q4))*P10</f>
        <v>-0.00489732024758759</v>
      </c>
      <c r="R53" s="1" t="n">
        <f aca="false">R8-(R51-INDEX(finrate_infl,R4))*Q10</f>
        <v>-0.00501941710287032</v>
      </c>
      <c r="S53" s="1" t="n">
        <f aca="false">S8-(S51-INDEX(finrate_infl,S4))*R10</f>
        <v>-0.00513843341200132</v>
      </c>
      <c r="T53" s="1" t="n">
        <f aca="false">T8-(T51-INDEX(finrate_infl,T4))*S10</f>
        <v>-0.00524633151734025</v>
      </c>
      <c r="U53" s="1" t="n">
        <f aca="false">U8-(U51-INDEX(finrate_infl,U4))*T10</f>
        <v>-0.00535093831378219</v>
      </c>
      <c r="V53" s="1" t="n">
        <f aca="false">V8-(V51-INDEX(finrate_infl,V4))*U10</f>
        <v>-0.0054449244076838</v>
      </c>
      <c r="W53" s="1" t="n">
        <f aca="false">W8-(W51-INDEX(finrate_infl,W4))*V10</f>
        <v>-0.00553102937267721</v>
      </c>
      <c r="X53" s="1" t="n">
        <f aca="false">X8-(X51-INDEX(finrate_infl,X4))*W10</f>
        <v>-0.00559998066477452</v>
      </c>
      <c r="Y53" s="1" t="n">
        <f aca="false">Y8-(Y51-INDEX(finrate_infl,Y4))*X10</f>
        <v>-0.00565880594624868</v>
      </c>
      <c r="Z53" s="1" t="n">
        <f aca="false">Z8-(Z51-INDEX(finrate_infl,Z4))*Y10</f>
        <v>-0.0057017795109264</v>
      </c>
      <c r="AA53" s="1" t="n">
        <f aca="false">AA8-(AA51-INDEX(finrate_infl,AA4))*Z10</f>
        <v>-0.00572590068802556</v>
      </c>
      <c r="AB53" s="1" t="n">
        <f aca="false">AB8-(AB51-INDEX(finrate_infl,AB4))*AA10</f>
        <v>-0.00573303596740072</v>
      </c>
      <c r="AC53" s="1" t="n">
        <f aca="false">AC8-(AC51-INDEX(finrate_infl,AC4))*AB10</f>
        <v>-0.00571553934177376</v>
      </c>
      <c r="AD53" s="1" t="n">
        <f aca="false">AD8-(AD51-INDEX(finrate_infl,AD4))*AC10</f>
        <v>-0.00567562024822255</v>
      </c>
      <c r="AE53" s="1" t="n">
        <f aca="false">AE8-(AE51-INDEX(finrate_infl,AE4))*AD10</f>
        <v>0.0955342075567475</v>
      </c>
      <c r="AF53" s="1" t="n">
        <f aca="false">AF8-(AF51-INDEX(finrate_infl,AF4))*AE10</f>
        <v>-0.00107149129162949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0.0977090299515274</v>
      </c>
      <c r="D54" s="1" t="n">
        <f aca="false">IF(D4&lt;=cfg_N,D53*D52,0)</f>
        <v>0.0930617442795241</v>
      </c>
      <c r="E54" s="1" t="n">
        <f aca="false">IF(E4&lt;=cfg_N,E53*E52,0)</f>
        <v>0.0887110188575262</v>
      </c>
      <c r="F54" s="1" t="n">
        <f aca="false">IF(F4&lt;=cfg_N,F53*F52,0)</f>
        <v>0.0846314629720877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2.25852600725579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
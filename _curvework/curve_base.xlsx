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Audi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Market Data" sheetId="6" state="visible" r:id="rId6"/>
    <sheet xmlns:r="http://schemas.openxmlformats.org/officeDocument/2006/relationships" name="Cap Engine" sheetId="7" state="visible" r:id="rId7"/>
    <sheet xmlns:r="http://schemas.openxmlformats.org/officeDocument/2006/relationships" name="Econ Statements" sheetId="8" state="visible" r:id="rId8"/>
    <sheet xmlns:r="http://schemas.openxmlformats.org/officeDocument/2006/relationships" name="Forecast" sheetId="9" state="visible" r:id="rId9"/>
    <sheet xmlns:r="http://schemas.openxmlformats.org/officeDocument/2006/relationships" name="Valuation" sheetId="10" state="visible" r:id="rId10"/>
    <sheet xmlns:r="http://schemas.openxmlformats.org/officeDocument/2006/relationships" name="Scenarios" sheetId="11" state="visible" r:id="rId11"/>
    <sheet xmlns:r="http://schemas.openxmlformats.org/officeDocument/2006/relationships" name="Implied" sheetId="12" state="visible" r:id="rId12"/>
    <sheet xmlns:r="http://schemas.openxmlformats.org/officeDocument/2006/relationships" name="DCF Reconciliation" sheetId="13" state="visible" r:id="rId13"/>
  </sheets>
  <definedNames>
    <definedName name="anchor_cse0" hidden="0" function="0" vbProcedure="0">Inputs!$B$10</definedName>
    <definedName name="anchor_dps0" hidden="0" function="0" vbProcedure="0">Inputs!$B$15</definedName>
    <definedName name="anchor_econ_dep" hidden="0" function="0" vbProcedure="0">'Cap Engine'!$B$49</definedName>
    <definedName name="anchor_eps0" hidden="0" function="0" vbProcedure="0">Inputs!$B$13</definedName>
    <definedName name="anchor_gp0" hidden="0" function="0" vbProcedure="0">'Econ Statements'!$S$83</definedName>
    <definedName name="anchor_nfo0" hidden="0" function="0" vbProcedure="0">Inputs!$B$18</definedName>
    <definedName name="anchor_ni0" hidden="0" function="0" vbProcedure="0">'Econ Statements'!$S$77</definedName>
    <definedName name="anchor_oi_at0" hidden="0" function="0" vbProcedure="0">'Econ Statements'!$S$76</definedName>
    <definedName name="anchor_rd_reserve" hidden="0" function="0" vbProcedure="0">'Cap Engine'!$B$61</definedName>
    <definedName name="anchor_real_accum_dep" hidden="0" function="0" vbProcedure="0">'Cap Engine'!$B$48</definedName>
    <definedName name="anchor_real_cse0" hidden="0" function="0" vbProcedure="0">'Econ Statements'!$S$75</definedName>
    <definedName name="anchor_real_gross_ppe" hidden="0" function="0" vbProcedure="0">'Cap Engine'!$B$46</definedName>
    <definedName name="anchor_real_net_ppe" hidden="0" function="0" vbProcedure="0">'Cap Engine'!$B$47</definedName>
    <definedName name="anchor_real_nfo0" hidden="0" function="0" vbProcedure="0">'Econ Statements'!$S$74</definedName>
    <definedName name="anchor_real_noa0" hidden="0" function="0" vbProcedure="0">'Econ Statements'!$S$73</definedName>
    <definedName name="anchor_rev0" hidden="0" function="0" vbProcedure="0">'Econ Statements'!$S$81</definedName>
    <definedName name="anchor_rnoa0" hidden="0" function="0" vbProcedure="0">'Econ Statements'!$S$78</definedName>
    <definedName name="anchor_sga0" hidden="0" function="0" vbProcedure="0">'Econ Statements'!$S$84</definedName>
    <definedName name="anchor_shares0" hidden="0" function="0" vbProcedure="0">Inputs!$B$9</definedName>
    <definedName name="bb_vp6_tie" hidden="0" function="0" vbProcedure="0">'Econ Statements'!$B$114</definedName>
    <definedName name="ce_econ_dep_series" hidden="0" function="0" vbProcedure="0">'Cap Engine'!$B$68:$S$68</definedName>
    <definedName name="ce_real_gross_series" hidden="0" function="0" vbProcedure="0">'Cap Engine'!$B$66:$S$66</definedName>
    <definedName name="ce_real_net_series" hidden="0" function="0" vbProcedure="0">'Cap Engine'!$B$67:$S$67</definedName>
    <definedName name="ce_years" hidden="0" function="0" vbProcedure="0">'Cap Engine'!$B$65:$S$65</definedName>
    <definedName name="cfg_buyback" hidden="0" function="0" vbProcedure="0">Inputs!$B$47</definedName>
    <definedName name="cfg_coe_mode" hidden="0" function="0" vbProcedure="0">Inputs!$B$29</definedName>
    <definedName name="cfg_funding" hidden="0" function="0" vbProcedure="0">Inputs!$B$68</definedName>
    <definedName name="cfg_mode" hidden="0" function="0" vbProcedure="0">Inputs!$B$37</definedName>
    <definedName name="cfg_N" hidden="0" function="0" vbProcedure="0">Inputs!$B$26</definedName>
    <definedName name="cfg_rd_mode" hidden="0" function="0" vbProcedure="0">Inputs!$B$33</definedName>
    <definedName name="cfg_restatement" hidden="0" function="0" vbProcedure="0">Inputs!$B$67</definedName>
    <definedName name="cfg_rf_mode" hidden="0" function="0" vbProcedure="0">Inputs!$B$30</definedName>
    <definedName name="cfg_scenario" hidden="0" function="0" vbProcedure="0">Inputs!$B$69</definedName>
    <definedName name="cfg_valread" hidden="0" function="0" vbProcedure="0">Inputs!$B$34</definedName>
    <definedName name="dcf_fcfe" hidden="0" function="0" vbProcedure="0">'DCF Reconciliation'!$B$35</definedName>
    <definedName name="dcf_fcff_eq" hidden="0" function="0" vbProcedure="0">'DCF Reconciliation'!$B$38</definedName>
    <definedName name="dcf_ri" hidden="0" function="0" vbProcedure="0">'DCF Reconciliation'!$B$34</definedName>
    <definedName name="dcf_tie_fcfe" hidden="0" function="0" vbProcedure="0">'DCF Reconciliation'!$B$43</definedName>
    <definedName name="dcf_tie_fcff" hidden="0" function="0" vbProcedure="0">'DCF Reconciliation'!$B$44</definedName>
    <definedName name="es_cse" hidden="0" function="0" vbProcedure="0">'Econ Statements'!$B$45:$S$45</definedName>
    <definedName name="es_dep" hidden="0" function="0" vbProcedure="0">'Econ Statements'!$B$50:$S$50</definedName>
    <definedName name="es_nfo" hidden="0" function="0" vbProcedure="0">'Econ Statements'!$B$44:$S$44</definedName>
    <definedName name="es_ni" hidden="0" function="0" vbProcedure="0">'Econ Statements'!$B$54:$S$54</definedName>
    <definedName name="es_noa" hidden="0" function="0" vbProcedure="0">'Econ Statements'!$B$43:$S$43</definedName>
    <definedName name="es_oiat" hidden="0" function="0" vbProcedure="0">'Econ Statements'!$B$52:$S$52</definedName>
    <definedName name="es_ppe" hidden="0" function="0" vbProcedure="0">'Econ Statements'!$B$40:$S$40</definedName>
    <definedName name="es_real_gp" hidden="0" function="0" vbProcedure="0">'Econ Statements'!$B$83:$S$83</definedName>
    <definedName name="es_real_rev" hidden="0" function="0" vbProcedure="0">'Econ Statements'!$B$81:$S$81</definedName>
    <definedName name="es_real_sga" hidden="0" function="0" vbProcedure="0">'Econ Statements'!$B$84:$S$84</definedName>
    <definedName name="es_tie_partition" hidden="0" function="0" vbProcedure="0">'Econ Statements'!$B$37:$S$37</definedName>
    <definedName name="es_tie_real" hidden="0" function="0" vbProcedure="0">'Econ Statements'!$B$46:$S$46</definedName>
    <definedName name="es_years" hidden="0" function="0" vbProcedure="0">'Econ Statements'!$B$5:$S$5</definedName>
    <definedName name="ev_equityps" hidden="0" function="0" vbProcedure="0">Valuation!$B$39</definedName>
    <definedName name="ev_tie" hidden="0" function="0" vbProcedure="0">Valuation!$B$40</definedName>
    <definedName name="fc_shares" hidden="0" function="0" vbProcedure="0">Forecast!$G$20:$AJ$20</definedName>
    <definedName name="fc_tie_bs" hidden="0" function="0" vbProcedure="0">Forecast!$G$56:$AJ$56</definedName>
    <definedName name="fc_tie_eps" hidden="0" function="0" vbProcedure="0">Forecast!$G$57:$AJ$57</definedName>
    <definedName name="fc_tie_fcfe" hidden="0" function="0" vbProcedure="0">Forecast!$G$58:$AJ$58</definedName>
    <definedName name="finrate_cod" hidden="0" function="0" vbProcedure="0">'Market Data'!$B$29:$AE$29</definedName>
    <definedName name="finrate_coe" hidden="0" function="0" vbProcedure="0">'Market Data'!$B$26:$AE$26</definedName>
    <definedName name="finrate_erp" hidden="0" function="0" vbProcedure="0">'Market Data'!$B$25</definedName>
    <definedName name="finrate_infl" hidden="0" function="0" vbProcedure="0">'Market Data'!$B$22:$AE$22</definedName>
    <definedName name="finrate_tenor" hidden="0" function="0" vbProcedure="0">'Market Data'!$B$20:$AE$20</definedName>
    <definedName name="in_anchor_year" hidden="0" function="0" vbProcedure="0">Inputs!$B$66</definedName>
    <definedName name="in_bps0" hidden="0" function="0" vbProcedure="0">Inputs!$B$21</definedName>
    <definedName name="in_cash" hidden="0" function="0" vbProcedure="0">Inputs!$B$6</definedName>
    <definedName name="in_daycount" hidden="0" function="0" vbProcedure="0">Inputs!$B$51</definedName>
    <definedName name="in_debt" hidden="0" function="0" vbProcedure="0">Inputs!$B$5</definedName>
    <definedName name="in_deflator_base" hidden="0" function="0" vbProcedure="0">Inputs!$B$44</definedName>
    <definedName name="in_econ_thresh" hidden="0" function="0" vbProcedure="0">Inputs!$B$50</definedName>
    <definedName name="in_ent_noa_growth" hidden="0" function="0" vbProcedure="0">Inputs!$B$60</definedName>
    <definedName name="in_erp" hidden="0" function="0" vbProcedure="0">Inputs!$B$28</definedName>
    <definedName name="in_finlease" hidden="0" function="0" vbProcedure="0">Inputs!$B$8</definedName>
    <definedName name="in_flev0" hidden="0" function="0" vbProcedure="0">Inputs!$B$22</definedName>
    <definedName name="in_g_terminal" hidden="0" function="0" vbProcedure="0">Inputs!$B$27</definedName>
    <definedName name="in_implied_g_start" hidden="0" function="0" vbProcedure="0">Inputs!$B$70</definedName>
    <definedName name="in_implied_g_step" hidden="0" function="0" vbProcedure="0">Inputs!$B$71</definedName>
    <definedName name="in_intexp0" hidden="0" function="0" vbProcedure="0">Inputs!$B$11</definedName>
    <definedName name="in_nfops0" hidden="0" function="0" vbProcedure="0">Inputs!$B$20</definedName>
    <definedName name="in_noa0" hidden="0" function="0" vbProcedure="0">Inputs!$B$19</definedName>
    <definedName name="in_oiadj0" hidden="0" function="0" vbProcedure="0">Inputs!$B$12</definedName>
    <definedName name="in_payout_seed" hidden="0" function="0" vbProcedure="0">Inputs!$B$39</definedName>
    <definedName name="in_ppe_life" hidden="0" function="0" vbProcedure="0">Inputs!$B$42</definedName>
    <definedName name="in_pres_coe1" hidden="0" function="0" vbProcedure="0">Inputs!$B$52</definedName>
    <definedName name="in_pres_coe2" hidden="0" function="0" vbProcedure="0">Inputs!$B$53</definedName>
    <definedName name="in_pres_coe3" hidden="0" function="0" vbProcedure="0">Inputs!$B$54</definedName>
    <definedName name="in_pres_coe4" hidden="0" function="0" vbProcedure="0">Inputs!$B$55</definedName>
    <definedName name="in_pres_coe5" hidden="0" function="0" vbProcedure="0">Inputs!$B$56</definedName>
    <definedName name="in_pres_ghi" hidden="0" function="0" vbProcedure="0">Inputs!$B$59</definedName>
    <definedName name="in_pres_glo" hidden="0" function="0" vbProcedure="0">Inputs!$B$57</definedName>
    <definedName name="in_pres_gmid" hidden="0" function="0" vbProcedure="0">Inputs!$B$58</definedName>
    <definedName name="in_price" hidden="0" function="0" vbProcedure="0">Inputs!$B$25</definedName>
    <definedName name="in_rd_expense0" hidden="0" function="0" vbProcedure="0">Inputs!$B$45</definedName>
    <definedName name="in_rd_life" hidden="0" function="0" vbProcedure="0">Inputs!$B$43</definedName>
    <definedName name="in_rf_lr" hidden="0" function="0" vbProcedure="0">Inputs!$B$32</definedName>
    <definedName name="in_rf_single" hidden="0" function="0" vbProcedure="0">Inputs!$B$31</definedName>
    <definedName name="in_sti" hidden="0" function="0" vbProcedure="0">Inputs!$B$7</definedName>
    <definedName name="in_tax0" hidden="0" function="0" vbProcedure="0">Inputs!$B$14</definedName>
    <definedName name="in_tie_tol" hidden="0" function="0" vbProcedure="0">Inputs!$B$64</definedName>
    <definedName name="md_bea" hidden="0" function="0" vbProcedure="0">'Market Data'!$B$14:$AP$14</definedName>
    <definedName name="md_bea_base" hidden="0" function="0" vbProcedure="0">'Market Data'!$B$12</definedName>
    <definedName name="md_cpi" hidden="0" function="0" vbProcedure="0">'Market Data'!$B$8:$AP$8</definedName>
    <definedName name="md_cpi_base" hidden="0" function="0" vbProcedure="0">'Market Data'!$B$5</definedName>
    <definedName name="md_deflator" hidden="0" function="0" vbProcedure="0">'Market Data'!$B$9:$AP$9</definedName>
    <definedName name="md_deflator_ppe" hidden="0" function="0" vbProcedure="0">'Market Data'!$B$15:$AP$15</definedName>
    <definedName name="md_years" hidden="0" function="0" vbProcedure="0">'Market Data'!$B$7:$AP$7</definedName>
    <definedName name="md_years_bea" hidden="0" function="0" vbProcedure="0">'Market Data'!$B$13:$AP$13</definedName>
    <definedName name="md_yeprice" hidden="0" function="0" vbProcedure="0">'Market Data'!$B$16:$AP$16</definedName>
    <definedName name="rep_capex" hidden="0" function="0" vbProcedure="0">'Cash Flow'!$B$76:$AL$76</definedName>
    <definedName name="rep_cash" hidden="0" function="0" vbProcedure="0">'Balance Sheet'!$B$7:$AP$7</definedName>
    <definedName name="rep_cash_fy0" hidden="0" function="0" vbProcedure="0">'Balance Sheet'!$AP$7</definedName>
    <definedName name="rep_cogs" hidden="0" function="0" vbProcedure="0">'Income Statement'!$B$6:$AP$6</definedName>
    <definedName name="rep_cse" hidden="0" function="0" vbProcedure="0">'Balance Sheet'!$B$94:$AP$94</definedName>
    <definedName name="rep_cse_fy0" hidden="0" function="0" vbProcedure="0">'Balance Sheet'!$AP$94</definedName>
    <definedName name="rep_da" hidden="0" function="0" vbProcedure="0">'Income Statement'!$B$54:$AP$54</definedName>
    <definedName name="rep_debt_fy0" hidden="0" function="0" vbProcedure="0">'Balance Sheet'!$AP$100</definedName>
    <definedName name="rep_div" hidden="0" function="0" vbProcedure="0">'Cash Flow'!$B$66:$AL$66</definedName>
    <definedName name="rep_eps_fy0" hidden="0" function="0" vbProcedure="0">'Income Statement'!$AP$41</definedName>
    <definedName name="rep_gross_ppe" hidden="0" function="0" vbProcedure="0">'Balance Sheet'!$B$27:$AP$27</definedName>
    <definedName name="rep_intexp" hidden="0" function="0" vbProcedure="0">'Income Statement'!$B$49:$AP$49</definedName>
    <definedName name="rep_intexp_fy0" hidden="0" function="0" vbProcedure="0">'Income Statement'!$AP$49</definedName>
    <definedName name="rep_mi" hidden="0" function="0" vbProcedure="0">'Balance Sheet'!$B$92:$AP$92</definedName>
    <definedName name="rep_net_ppe" hidden="0" function="0" vbProcedure="0">'Balance Sheet'!$B$26:$AP$26</definedName>
    <definedName name="rep_ni" hidden="0" function="0" vbProcedure="0">'Income Statement'!$B$28:$AP$28</definedName>
    <definedName name="rep_oci" hidden="0" function="0" vbProcedure="0">'Balance Sheet'!$B$86:$AP$86</definedName>
    <definedName name="rep_oi" hidden="0" function="0" vbProcedure="0">'Income Statement'!$B$13:$AP$13</definedName>
    <definedName name="rep_oi_fy0" hidden="0" function="0" vbProcedure="0">'Income Statement'!$AP$13</definedName>
    <definedName name="rep_pension" hidden="0" function="0" vbProcedure="0">'Balance Sheet'!$B$75:$AP$75</definedName>
    <definedName name="rep_repurch" hidden="0" function="0" vbProcedure="0">'Cash Flow'!$B$80:$AL$80</definedName>
    <definedName name="rep_revenue" hidden="0" function="0" vbProcedure="0">'Income Statement'!$B$4:$AP$4</definedName>
    <definedName name="rep_sga" hidden="0" function="0" vbProcedure="0">'Income Statement'!$B$9:$AP$9</definedName>
    <definedName name="rep_shares" hidden="0" function="0" vbProcedure="0">'Balance Sheet'!$B$103:$AP$103</definedName>
    <definedName name="rep_shares_fy0" hidden="0" function="0" vbProcedure="0">'Balance Sheet'!$AP$103</definedName>
    <definedName name="rep_sti" hidden="0" function="0" vbProcedure="0">'Balance Sheet'!$B$10:$AP$10</definedName>
    <definedName name="rep_taxrate" hidden="0" function="0" vbProcedure="0">'Income Statement'!$B$59:$AP$59</definedName>
    <definedName name="rep_tax_fy0" hidden="0" function="0" vbProcedure="0">'Income Statement'!$AP$59</definedName>
    <definedName name="rep_total_assets" hidden="0" function="0" vbProcedure="0">'Balance Sheet'!$B$4:$AP$4</definedName>
    <definedName name="rep_total_debt" hidden="0" function="0" vbProcedure="0">'Balance Sheet'!$B$100:$AP$100</definedName>
    <definedName name="rep_total_liab" hidden="0" function="0" vbProcedure="0">'Balance Sheet'!$B$46:$AP$46</definedName>
    <definedName name="rep_years_bs" hidden="0" function="0" vbProcedure="0">'Balance Sheet'!$B$3:$AP$3</definedName>
    <definedName name="rep_years_cf" hidden="0" function="0" vbProcedure="0">'Cash Flow'!$B$3:$AL$3</definedName>
    <definedName name="rep_years_is" hidden="0" function="0" vbProcedure="0">'Income Statement'!$B$3:$AP$3</definedName>
    <definedName name="scen_buyback" hidden="0" function="0" vbProcedure="0">Scenarios!$B$7:$E$7</definedName>
    <definedName name="scen_cols" hidden="0" function="0" vbProcedure="0">Scenarios!$B$4:$E$4</definedName>
    <definedName name="scen_noagrowth" hidden="0" function="0" vbProcedure="0">Scenarios!$B$6:$E$6</definedName>
    <definedName name="scen_revgrowth" hidden="0" function="0" vbProcedure="0">Scenarios!$B$5:$E$5</definedName>
    <definedName name="val_active" hidden="0" function="0" vbProcedure="0">Valuation!$B$54</definedName>
    <definedName name="val_eps1" hidden="0" function="0" vbProcedure="0">Valuation!$C$7</definedName>
    <definedName name="val_growthprem" hidden="0" function="0" vbProcedure="0">Valuation!$B$49</definedName>
    <definedName name="val_impliedg" hidden="0" function="0" vbProcedure="0">Implied!$B$15</definedName>
    <definedName name="val_impliedPE" hidden="0" function="0" vbProcedure="0">Valuation!$B$47</definedName>
    <definedName name="val_intrinsic" hidden="0" function="0" vbProcedure="0">Valuation!$B$36</definedName>
    <definedName name="val_normalPE" hidden="0" function="0" vbProcedure="0">Valuation!$B$48</definedName>
    <definedName name="val_normalval" hidden="0" function="0" vbProcedure="0">Valuation!$B$43</definedName>
    <definedName name="val_pvgo" hidden="0" function="0" vbProcedure="0">Valuation!$B$46</definedName>
    <definedName name="val_realprice" hidden="0" function="0" vbProcedure="0">Valuation!$B$45</definedName>
    <definedName name="val_rhod_lr" hidden="0" function="0" vbProcedure="0">Valuation!$C$20</definedName>
    <definedName name="val_rhoe_lr" hidden="0" function="0" vbProcedure="0">Valuation!$B$20</definedName>
    <definedName name="val_rhof_lr" hidden="0" function="0" vbProcedure="0">Valuation!$D$20</definedName>
    <definedName name="val_vnfe" hidden="0" function="0" vbProcedure="0">Valuation!$B$37</definedName>
    <definedName name="val_voi" hidden="0" function="0" vbProcedure="0">Valuation!$B$38</definedName>
    <definedName name="fc_dep">Forecast!$G$39:$AJ$39</definedName>
    <definedName name="fc_oiat">Forecast!$G$40:$AJ$40</definedName>
    <definedName name="fc_ni">Forecast!$G$41:$AJ$41</definedName>
    <definedName name="fc_capex">Forecast!$G$42:$AJ$42</definedName>
    <definedName name="fc_noa">Forecast!$G$43:$AJ$43</definedName>
    <definedName name="fc_nfo">Forecast!$G$44:$AJ$44</definedName>
    <definedName name="fc_cse">Forecast!$G$45:$AJ$45</definedName>
    <definedName name="fc_dps">Forecast!$G$46:$AJ$46</definedName>
    <definedName name="fc_eps">Forecast!$G$47:$AJ$47</definedName>
    <definedName name="md_yeprice_adj">'Market Data'!$B$17:$AP$17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2">
    <numFmt numFmtId="164" formatCode="\$#,##0;&quot;($&quot;#,##0\);\-"/>
    <numFmt numFmtId="165" formatCode="#,##0.0"/>
    <numFmt numFmtId="166" formatCode="\$#,##0.00;&quot;($&quot;#,##0.00\);\-"/>
    <numFmt numFmtId="167" formatCode="0.0%"/>
    <numFmt numFmtId="168" formatCode="0.00\x"/>
    <numFmt numFmtId="169" formatCode="0.000000"/>
    <numFmt numFmtId="170" formatCode="0.000"/>
    <numFmt numFmtId="171" formatCode="0.0000"/>
    <numFmt numFmtId="172" formatCode="\$#,##0.00"/>
    <numFmt numFmtId="173" formatCode="0.0000%"/>
    <numFmt numFmtId="174" formatCode="\$#,##0"/>
    <numFmt numFmtId="175" formatCode="0.000001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i val="1"/>
      <color rgb="FF404040"/>
      <sz val="9"/>
    </font>
    <font>
      <name val="Arial"/>
      <charset val="1"/>
      <family val="0"/>
      <b val="1"/>
      <color rgb="FF1F3864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808080"/>
      <sz val="9"/>
    </font>
    <font>
      <name val="Arial"/>
      <charset val="1"/>
      <family val="0"/>
      <color rgb="FF808080"/>
      <sz val="10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1F3864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7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168" fontId="7" fillId="0" borderId="0" applyAlignment="1" pivotButton="0" quotePrefix="0" xfId="0">
      <alignment horizontal="general" vertical="bottom"/>
    </xf>
    <xf numFmtId="1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0" fontId="8" fillId="0" borderId="0" applyAlignment="1" pivotButton="0" quotePrefix="0" xfId="0">
      <alignment horizontal="general" vertical="bottom"/>
    </xf>
    <xf numFmtId="169" fontId="8" fillId="0" borderId="0" applyAlignment="1" pivotButton="0" quotePrefix="0" xfId="0">
      <alignment horizontal="general" vertical="bottom"/>
    </xf>
    <xf numFmtId="49" fontId="11" fillId="0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49" fontId="12" fillId="0" borderId="0" applyAlignment="1" pivotButton="0" quotePrefix="0" xfId="0">
      <alignment horizontal="right" vertical="bottom"/>
    </xf>
    <xf numFmtId="164" fontId="11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7" fontId="11" fillId="0" borderId="0" applyAlignment="1" pivotButton="0" quotePrefix="0" xfId="0">
      <alignment horizontal="general" vertical="bottom"/>
    </xf>
    <xf numFmtId="170" fontId="11" fillId="0" borderId="0" applyAlignment="1" pivotButton="0" quotePrefix="0" xfId="0">
      <alignment horizontal="general" vertical="bottom"/>
    </xf>
    <xf numFmtId="171" fontId="7" fillId="0" borderId="0" applyAlignment="1" pivotButton="0" quotePrefix="0" xfId="0">
      <alignment horizontal="general" vertical="bottom"/>
    </xf>
    <xf numFmtId="172" fontId="11" fillId="0" borderId="0" applyAlignment="1" pivotButton="0" quotePrefix="0" xfId="0">
      <alignment horizontal="general" vertical="bottom"/>
    </xf>
    <xf numFmtId="1" fontId="12" fillId="0" borderId="0" applyAlignment="1" pivotButton="0" quotePrefix="0" xfId="0">
      <alignment horizontal="right" vertical="bottom"/>
    </xf>
    <xf numFmtId="173" fontId="11" fillId="0" borderId="0" applyAlignment="1" pivotButton="0" quotePrefix="0" xfId="0">
      <alignment horizontal="general" vertical="bottom"/>
    </xf>
    <xf numFmtId="173" fontId="13" fillId="0" borderId="0" applyAlignment="1" pivotButton="0" quotePrefix="0" xfId="0">
      <alignment horizontal="general" vertical="bottom"/>
    </xf>
    <xf numFmtId="173" fontId="9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right" vertical="bottom"/>
    </xf>
    <xf numFmtId="49" fontId="12" fillId="0" borderId="0" applyAlignment="1" pivotButton="0" quotePrefix="0" xfId="0">
      <alignment horizontal="general" vertical="bottom"/>
    </xf>
    <xf numFmtId="170" fontId="7" fillId="0" borderId="0" applyAlignment="1" pivotButton="0" quotePrefix="0" xfId="0">
      <alignment horizontal="general" vertical="bottom"/>
    </xf>
    <xf numFmtId="171" fontId="13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7" fontId="13" fillId="0" borderId="0" applyAlignment="1" pivotButton="0" quotePrefix="0" xfId="0">
      <alignment horizontal="general" vertical="bottom"/>
    </xf>
    <xf numFmtId="169" fontId="13" fillId="0" borderId="0" applyAlignment="1" pivotButton="0" quotePrefix="0" xfId="0">
      <alignment horizontal="general" vertical="bottom"/>
    </xf>
    <xf numFmtId="168" fontId="13" fillId="0" borderId="0" applyAlignment="1" pivotButton="0" quotePrefix="0" xfId="0">
      <alignment horizontal="general" vertical="bottom"/>
    </xf>
    <xf numFmtId="172" fontId="13" fillId="0" borderId="0" applyAlignment="1" pivotButton="0" quotePrefix="0" xfId="0">
      <alignment horizontal="general" vertical="bottom"/>
    </xf>
    <xf numFmtId="170" fontId="13" fillId="0" borderId="0" applyAlignment="1" pivotButton="0" quotePrefix="0" xfId="0">
      <alignment horizontal="general" vertical="bottom"/>
    </xf>
    <xf numFmtId="169" fontId="12" fillId="0" borderId="0" applyAlignment="1" pivotButton="0" quotePrefix="0" xfId="0">
      <alignment horizontal="general" vertical="bottom"/>
    </xf>
    <xf numFmtId="1" fontId="13" fillId="0" borderId="0" applyAlignment="1" pivotButton="0" quotePrefix="0" xfId="0">
      <alignment horizontal="right" vertical="bottom"/>
    </xf>
    <xf numFmtId="49" fontId="13" fillId="0" borderId="0" applyAlignment="1" pivotButton="0" quotePrefix="0" xfId="0">
      <alignment horizontal="right" vertical="bottom"/>
    </xf>
    <xf numFmtId="168" fontId="11" fillId="0" borderId="0" applyAlignment="1" pivotButton="0" quotePrefix="0" xfId="0">
      <alignment horizontal="general" vertical="bottom"/>
    </xf>
    <xf numFmtId="10" fontId="13" fillId="0" borderId="0" applyAlignment="1" pivotButton="0" quotePrefix="0" xfId="0">
      <alignment horizontal="general" vertical="bottom"/>
    </xf>
    <xf numFmtId="172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72" fontId="14" fillId="0" borderId="0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  <xf numFmtId="10" fontId="12" fillId="0" borderId="0" applyAlignment="1" pivotButton="0" quotePrefix="0" xfId="0">
      <alignment horizontal="general" vertical="bottom"/>
    </xf>
    <xf numFmtId="167" fontId="13" fillId="0" borderId="0" applyAlignment="1" pivotButton="0" quotePrefix="0" xfId="0">
      <alignment horizontal="right" vertical="bottom"/>
    </xf>
    <xf numFmtId="174" fontId="13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75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7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168" fontId="7" fillId="0" borderId="0" applyAlignment="1" pivotButton="0" quotePrefix="0" xfId="0">
      <alignment horizontal="general" vertical="bottom"/>
    </xf>
    <xf numFmtId="1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0" fontId="8" fillId="0" borderId="0" applyAlignment="1" pivotButton="0" quotePrefix="0" xfId="0">
      <alignment horizontal="general" vertical="bottom"/>
    </xf>
    <xf numFmtId="169" fontId="8" fillId="0" borderId="0" applyAlignment="1" pivotButton="0" quotePrefix="0" xfId="0">
      <alignment horizontal="general" vertical="bottom"/>
    </xf>
    <xf numFmtId="49" fontId="11" fillId="0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49" fontId="12" fillId="0" borderId="0" applyAlignment="1" pivotButton="0" quotePrefix="0" xfId="0">
      <alignment horizontal="right" vertical="bottom"/>
    </xf>
    <xf numFmtId="164" fontId="11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7" fontId="11" fillId="0" borderId="0" applyAlignment="1" pivotButton="0" quotePrefix="0" xfId="0">
      <alignment horizontal="general" vertical="bottom"/>
    </xf>
    <xf numFmtId="170" fontId="11" fillId="0" borderId="0" applyAlignment="1" pivotButton="0" quotePrefix="0" xfId="0">
      <alignment horizontal="general" vertical="bottom"/>
    </xf>
    <xf numFmtId="171" fontId="7" fillId="0" borderId="0" applyAlignment="1" pivotButton="0" quotePrefix="0" xfId="0">
      <alignment horizontal="general" vertical="bottom"/>
    </xf>
    <xf numFmtId="172" fontId="11" fillId="0" borderId="0" applyAlignment="1" pivotButton="0" quotePrefix="0" xfId="0">
      <alignment horizontal="general" vertical="bottom"/>
    </xf>
    <xf numFmtId="1" fontId="12" fillId="0" borderId="0" applyAlignment="1" pivotButton="0" quotePrefix="0" xfId="0">
      <alignment horizontal="right" vertical="bottom"/>
    </xf>
    <xf numFmtId="173" fontId="11" fillId="0" borderId="0" applyAlignment="1" pivotButton="0" quotePrefix="0" xfId="0">
      <alignment horizontal="general" vertical="bottom"/>
    </xf>
    <xf numFmtId="173" fontId="13" fillId="0" borderId="0" applyAlignment="1" pivotButton="0" quotePrefix="0" xfId="0">
      <alignment horizontal="general" vertical="bottom"/>
    </xf>
    <xf numFmtId="173" fontId="9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right" vertical="bottom"/>
    </xf>
    <xf numFmtId="49" fontId="12" fillId="0" borderId="0" applyAlignment="1" pivotButton="0" quotePrefix="0" xfId="0">
      <alignment horizontal="general" vertical="bottom"/>
    </xf>
    <xf numFmtId="170" fontId="7" fillId="0" borderId="0" applyAlignment="1" pivotButton="0" quotePrefix="0" xfId="0">
      <alignment horizontal="general" vertical="bottom"/>
    </xf>
    <xf numFmtId="171" fontId="13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7" fontId="13" fillId="0" borderId="0" applyAlignment="1" pivotButton="0" quotePrefix="0" xfId="0">
      <alignment horizontal="general" vertical="bottom"/>
    </xf>
    <xf numFmtId="169" fontId="13" fillId="0" borderId="0" applyAlignment="1" pivotButton="0" quotePrefix="0" xfId="0">
      <alignment horizontal="general" vertical="bottom"/>
    </xf>
    <xf numFmtId="168" fontId="13" fillId="0" borderId="0" applyAlignment="1" pivotButton="0" quotePrefix="0" xfId="0">
      <alignment horizontal="general" vertical="bottom"/>
    </xf>
    <xf numFmtId="172" fontId="13" fillId="0" borderId="0" applyAlignment="1" pivotButton="0" quotePrefix="0" xfId="0">
      <alignment horizontal="general" vertical="bottom"/>
    </xf>
    <xf numFmtId="170" fontId="13" fillId="0" borderId="0" applyAlignment="1" pivotButton="0" quotePrefix="0" xfId="0">
      <alignment horizontal="general" vertical="bottom"/>
    </xf>
    <xf numFmtId="169" fontId="12" fillId="0" borderId="0" applyAlignment="1" pivotButton="0" quotePrefix="0" xfId="0">
      <alignment horizontal="general" vertical="bottom"/>
    </xf>
    <xf numFmtId="1" fontId="13" fillId="0" borderId="0" applyAlignment="1" pivotButton="0" quotePrefix="0" xfId="0">
      <alignment horizontal="right" vertical="bottom"/>
    </xf>
    <xf numFmtId="49" fontId="13" fillId="0" borderId="0" applyAlignment="1" pivotButton="0" quotePrefix="0" xfId="0">
      <alignment horizontal="right" vertical="bottom"/>
    </xf>
    <xf numFmtId="168" fontId="11" fillId="0" borderId="0" applyAlignment="1" pivotButton="0" quotePrefix="0" xfId="0">
      <alignment horizontal="general" vertical="bottom"/>
    </xf>
    <xf numFmtId="10" fontId="13" fillId="0" borderId="0" applyAlignment="1" pivotButton="0" quotePrefix="0" xfId="0">
      <alignment horizontal="general" vertical="bottom"/>
    </xf>
    <xf numFmtId="172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72" fontId="14" fillId="0" borderId="0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  <xf numFmtId="10" fontId="12" fillId="0" borderId="0" applyAlignment="1" pivotButton="0" quotePrefix="0" xfId="0">
      <alignment horizontal="general" vertical="bottom"/>
    </xf>
    <xf numFmtId="167" fontId="13" fillId="0" borderId="0" applyAlignment="1" pivotButton="0" quotePrefix="0" xfId="0">
      <alignment horizontal="right" vertical="bottom"/>
    </xf>
    <xf numFmtId="164" fontId="9" fillId="0" borderId="0" applyAlignment="1" pivotButton="0" quotePrefix="0" xfId="0">
      <alignment horizontal="general" vertical="bottom"/>
    </xf>
    <xf numFmtId="175" fontId="12" fillId="0" borderId="0" applyAlignment="1" pivotButton="0" quotePrefix="0" xfId="0">
      <alignment horizontal="general" vertical="bottom"/>
    </xf>
    <xf numFmtId="0" fontId="11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7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0" customWidth="1" style="61" min="1" max="1"/>
    <col width="15" customWidth="1" style="61" min="2" max="2"/>
    <col width="8" customWidth="1" style="61" min="3" max="3"/>
    <col width="58" customWidth="1" style="61" min="4" max="4"/>
  </cols>
  <sheetData>
    <row r="1" ht="15" customHeight="1" s="62">
      <c r="A1" s="63" t="inlineStr">
        <is>
          <t>INPUTS  —  SINGLE SOURCE OF TRUTH</t>
        </is>
      </c>
    </row>
    <row r="2" ht="15" customHeight="1" s="62">
      <c r="A2" s="64" t="inlineStr">
        <is>
          <t>Blue = input (edit here). Black = derived formula. Green (other tabs) = link into this tab. No numeric constant may live outside this tab and the reported-data tabs (IS/BS/CF).</t>
        </is>
      </c>
    </row>
    <row r="4" ht="15" customHeight="1" s="62">
      <c r="A4" s="65" t="inlineStr">
        <is>
          <t>COMPANY BASE — Apple Inc. (AAPL) · FY2025 · nominal $mm unless noted</t>
        </is>
      </c>
    </row>
    <row r="5" ht="15" customHeight="1" s="62">
      <c r="A5" s="66" t="inlineStr">
        <is>
          <t>Total debt incl. finance leases</t>
        </is>
      </c>
      <c r="B5" s="67" t="n">
        <v>0.112377</v>
      </c>
      <c r="C5" s="68" t="inlineStr">
        <is>
          <t>$mm</t>
        </is>
      </c>
      <c r="D5" s="68" t="inlineStr">
        <is>
          <t>Source: uploaded BS, Total Debt FY2025</t>
        </is>
      </c>
    </row>
    <row r="6" ht="15" customHeight="1" s="62">
      <c r="A6" s="66" t="inlineStr">
        <is>
          <t>Cash &amp; equivalents</t>
        </is>
      </c>
      <c r="B6" s="67" t="n">
        <v>0.035934</v>
      </c>
      <c r="C6" s="68" t="inlineStr">
        <is>
          <t>$mm</t>
        </is>
      </c>
      <c r="D6" s="68" t="inlineStr">
        <is>
          <t>Source: uploaded BS FY2025</t>
        </is>
      </c>
    </row>
    <row r="7" ht="15" customHeight="1" s="62">
      <c r="A7" s="66" t="inlineStr">
        <is>
          <t>Short-term investments</t>
        </is>
      </c>
      <c r="B7" s="67" t="n">
        <v>0.018763</v>
      </c>
      <c r="C7" s="68" t="inlineStr">
        <is>
          <t>$mm</t>
        </is>
      </c>
      <c r="D7" s="68" t="inlineStr">
        <is>
          <t>Source: uploaded BS FY2025 (none reported)</t>
        </is>
      </c>
    </row>
    <row r="8" ht="15" customHeight="1" s="62">
      <c r="A8" s="66" t="inlineStr">
        <is>
          <t xml:space="preserve">  of which finance/capital lease obligation</t>
        </is>
      </c>
      <c r="B8" s="67" t="n">
        <v>0</v>
      </c>
      <c r="C8" s="68" t="inlineStr">
        <is>
          <t>$mm</t>
        </is>
      </c>
      <c r="D8" s="68" t="inlineStr">
        <is>
          <t>Source: uploaded BS FY2025 (LT capital lease)</t>
        </is>
      </c>
    </row>
    <row r="9" ht="15" customHeight="1" s="62">
      <c r="A9" s="66" t="inlineStr">
        <is>
          <t>Common shares outstanding</t>
        </is>
      </c>
      <c r="B9" s="69" t="n">
        <v>0.015005</v>
      </c>
      <c r="C9" s="68" t="inlineStr">
        <is>
          <t>mm</t>
        </is>
      </c>
      <c r="D9" s="68" t="inlineStr">
        <is>
          <t>Source: Ordinary Shares Number FY2025 (7,037,502,356 / 1e6) — full precision</t>
        </is>
      </c>
    </row>
    <row r="10" ht="15" customHeight="1" s="62">
      <c r="A10" s="66" t="inlineStr">
        <is>
          <t>Common stock equity (CSE)</t>
        </is>
      </c>
      <c r="B10" s="67" t="n">
        <v>0.07373300000000001</v>
      </c>
      <c r="C10" s="68" t="inlineStr">
        <is>
          <t>$mm</t>
        </is>
      </c>
      <c r="D10" s="68" t="inlineStr">
        <is>
          <t>Source: Common Stock Equity FY2025 (excl. $17.96bn minority int.)</t>
        </is>
      </c>
    </row>
    <row r="11" ht="15" customHeight="1" s="62">
      <c r="A11" s="66" t="inlineStr">
        <is>
          <t>Interest expense (FY2025)</t>
        </is>
      </c>
      <c r="B11" s="67" t="n">
        <v>0</v>
      </c>
      <c r="C11" s="68" t="inlineStr">
        <is>
          <t>$mm</t>
        </is>
      </c>
      <c r="D11" s="68" t="inlineStr">
        <is>
          <t>Source: uploaded IS FY2025</t>
        </is>
      </c>
    </row>
    <row r="12" ht="15" customHeight="1" s="62">
      <c r="A12" s="66" t="inlineStr">
        <is>
          <t>Operating income, adjusted (FY2025)</t>
        </is>
      </c>
      <c r="B12" s="67" t="n">
        <v>0.13305</v>
      </c>
      <c r="C12" s="68" t="inlineStr">
        <is>
          <t>$mm</t>
        </is>
      </c>
      <c r="D12" s="68" t="inlineStr">
        <is>
          <t>Source: Operating Income FY2025</t>
        </is>
      </c>
    </row>
    <row r="13" ht="15" customHeight="1" s="62">
      <c r="A13" s="66" t="inlineStr">
        <is>
          <t>Diluted EPS (FY2025)</t>
        </is>
      </c>
      <c r="B13" s="70" t="n">
        <v>7.464996</v>
      </c>
      <c r="C13" s="68" t="inlineStr">
        <is>
          <t>$</t>
        </is>
      </c>
      <c r="D13" s="68" t="inlineStr">
        <is>
          <t>Source: uploaded IS FY2025</t>
        </is>
      </c>
    </row>
    <row r="14" ht="15" customHeight="1" s="62">
      <c r="A14" s="66" t="inlineStr">
        <is>
          <t>Effective tax rate (FY2025)</t>
        </is>
      </c>
      <c r="B14" s="71" t="n">
        <v>0.1561</v>
      </c>
      <c r="C14" s="68" t="inlineStr">
        <is>
          <t>frac</t>
        </is>
      </c>
      <c r="D14" s="68" t="inlineStr">
        <is>
          <t>Source: Tax Rate for Calcs FY2025</t>
        </is>
      </c>
    </row>
    <row r="15" ht="15" customHeight="1" s="62">
      <c r="A15" s="66" t="inlineStr">
        <is>
          <t>Dividends per share, period-0 (FY2025)</t>
        </is>
      </c>
      <c r="B15" s="70" t="n">
        <v>0.96</v>
      </c>
      <c r="C15" s="68" t="inlineStr">
        <is>
          <t>$</t>
        </is>
      </c>
      <c r="D15" s="68" t="inlineStr">
        <is>
          <t>Source: uploaded dividends CSV, 4×0.278 ex-2025</t>
        </is>
      </c>
    </row>
    <row r="17" ht="15" customHeight="1" s="62">
      <c r="A17" s="72" t="inlineStr">
        <is>
          <t>— derived —</t>
        </is>
      </c>
    </row>
    <row r="18" ht="15" customHeight="1" s="62">
      <c r="A18" s="66" t="inlineStr">
        <is>
          <t>NFO = debt − cash − STI</t>
        </is>
      </c>
      <c r="B18" s="73">
        <f>in_debt-in_cash-in_sti</f>
        <v/>
      </c>
      <c r="C18" s="68" t="inlineStr">
        <is>
          <t>$mm</t>
        </is>
      </c>
    </row>
    <row r="19" ht="15" customHeight="1" s="62">
      <c r="A19" s="66" t="inlineStr">
        <is>
          <t>NOA = CSE + NFO</t>
        </is>
      </c>
      <c r="B19" s="73">
        <f>anchor_cse0+anchor_nfo0</f>
        <v/>
      </c>
      <c r="C19" s="68" t="inlineStr">
        <is>
          <t>$mm</t>
        </is>
      </c>
      <c r="D19" s="68" t="inlineStr">
        <is>
          <t>[ADD] completes A.1 anchor</t>
        </is>
      </c>
    </row>
    <row r="20" ht="15" customHeight="1" s="62">
      <c r="A20" s="66" t="inlineStr">
        <is>
          <t>NFO per share (nominal $)</t>
        </is>
      </c>
      <c r="B20" s="74">
        <f>anchor_nfo0/anchor_shares0</f>
        <v/>
      </c>
    </row>
    <row r="21" ht="15" customHeight="1" s="62">
      <c r="A21" s="66" t="inlineStr">
        <is>
          <t>BPS = CSE / shares (nominal $)</t>
        </is>
      </c>
      <c r="B21" s="74">
        <f>anchor_cse0/anchor_shares0</f>
        <v/>
      </c>
    </row>
    <row r="22" ht="15" customHeight="1" s="62">
      <c r="A22" s="66" t="inlineStr">
        <is>
          <t>FLEV = NFO / CSE</t>
        </is>
      </c>
      <c r="B22" s="75">
        <f>anchor_nfo0/anchor_cse0</f>
        <v/>
      </c>
    </row>
    <row r="24" ht="15" customHeight="1" s="62">
      <c r="A24" s="65" t="inlineStr">
        <is>
          <t>VALUATION CONTROLS</t>
        </is>
      </c>
    </row>
    <row r="25" ht="15" customHeight="1" s="62">
      <c r="A25" s="66" t="inlineStr">
        <is>
          <t>Current price ($/sh)  [LIVE — refresh each session]</t>
        </is>
      </c>
      <c r="B25" s="70" t="n">
        <v>315</v>
      </c>
    </row>
    <row r="26" ht="15" customHeight="1" s="62">
      <c r="A26" s="66" t="inlineStr">
        <is>
          <t>Explicit forecast horizon N  (≤ 30)</t>
        </is>
      </c>
      <c r="B26" s="76" t="n">
        <v>4</v>
      </c>
    </row>
    <row r="27" ht="15" customHeight="1" s="62">
      <c r="A27" s="66" t="inlineStr">
        <is>
          <t>Terminal growth g (continuing, real)</t>
        </is>
      </c>
      <c r="B27" s="71" t="n">
        <v>0</v>
      </c>
      <c r="D27" s="68" t="inlineStr">
        <is>
          <t>Enterprise continuing NOA growth; equity AEG tail is normal-earnings capitalisation (no separate g)</t>
        </is>
      </c>
    </row>
    <row r="28" ht="15" customHeight="1" s="62">
      <c r="A28" s="66" t="inlineStr">
        <is>
          <t>Equity risk premium ERP (real)</t>
        </is>
      </c>
      <c r="B28" s="71" t="n">
        <v>0.04</v>
      </c>
      <c r="D28" s="68" t="inlineStr">
        <is>
          <t>flat; replace with beta/ERP build (Backlog)</t>
        </is>
      </c>
    </row>
    <row r="29" ht="15" customHeight="1" s="62">
      <c r="A29" s="66" t="inlineStr">
        <is>
          <t>COE mode  {Single | Term}   (ρE)</t>
        </is>
      </c>
      <c r="B29" s="77" t="inlineStr">
        <is>
          <t>Term</t>
        </is>
      </c>
      <c r="D29" s="68" t="inlineStr">
        <is>
          <t>equity ρE term-structure vs single</t>
        </is>
      </c>
    </row>
    <row r="30" ht="15" customHeight="1" s="62">
      <c r="A30" s="66" t="inlineStr">
        <is>
          <t>Enterprise ρF mode  {Single | Term}</t>
        </is>
      </c>
      <c r="B30" s="77" t="inlineStr">
        <is>
          <t>Term</t>
        </is>
      </c>
    </row>
    <row r="31" ht="15" customHeight="1" s="62">
      <c r="A31" s="66" t="inlineStr">
        <is>
          <t>Enterprise ρF single (real)</t>
        </is>
      </c>
      <c r="B31" s="78" t="n">
        <v>0.06</v>
      </c>
    </row>
    <row r="32" ht="15" customHeight="1" s="62">
      <c r="A32" s="66" t="inlineStr">
        <is>
          <t>Enterprise ρF long-run r_LR (real)</t>
        </is>
      </c>
      <c r="B32" s="78" t="n">
        <v>0.07000000000000001</v>
      </c>
    </row>
    <row r="33" ht="15" customHeight="1" s="62">
      <c r="A33" s="66" t="inlineStr">
        <is>
          <t>ρD mode  {Single | Term}</t>
        </is>
      </c>
      <c r="B33" s="77" t="inlineStr">
        <is>
          <t>Term</t>
        </is>
      </c>
    </row>
    <row r="34" ht="15" customHeight="1" s="62">
      <c r="A34" s="66" t="inlineStr">
        <is>
          <t>Valuation READ toggle  {Equity path | Enterprise path}</t>
        </is>
      </c>
      <c r="B34" s="77" t="inlineStr">
        <is>
          <t>Equity path</t>
        </is>
      </c>
      <c r="D34" s="68" t="inlineStr">
        <is>
          <t>[ADD] second toggle (C.2): which forecast series valuation reads</t>
        </is>
      </c>
    </row>
    <row r="36" ht="15" customHeight="1" s="62">
      <c r="A36" s="65" t="inlineStr">
        <is>
          <t>FORECAST CONTROLS   (toggle wired in Step 5)</t>
        </is>
      </c>
    </row>
    <row r="37" ht="15" customHeight="1" s="62">
      <c r="A37" s="66" t="inlineStr">
        <is>
          <t>Forecast-side  {Equity | Enterprise}</t>
        </is>
      </c>
      <c r="B37" s="77" t="inlineStr">
        <is>
          <t>Enterprise</t>
        </is>
      </c>
      <c r="D37" s="68" t="inlineStr">
        <is>
          <t>Equity default: type EPS/DPS → derive OI, NOA</t>
        </is>
      </c>
    </row>
    <row r="38" ht="15" customHeight="1" s="62">
      <c r="A38" s="72" t="inlineStr">
        <is>
          <t>EPS / DPS path</t>
        </is>
      </c>
      <c r="B38" s="68" t="inlineStr">
        <is>
          <t>(forecast-tab driver rows)</t>
        </is>
      </c>
      <c r="D38" s="68" t="inlineStr">
        <is>
          <t>per-year drivers on the forecast tab (G.1); migrate in Step 5</t>
        </is>
      </c>
    </row>
    <row r="39" ht="15" customHeight="1" s="62">
      <c r="A39" s="66" t="inlineStr">
        <is>
          <t>Default dividend payout (seed; per-year driver in Step 5)</t>
        </is>
      </c>
      <c r="B39" s="71" t="n">
        <v>0.1286</v>
      </c>
      <c r="D39" s="68" t="inlineStr">
        <is>
          <t>[ADD reserved] seed = DPS0/EPS0 = 1.112/3.04; payout is a driver, not a scalar (fork 2)</t>
        </is>
      </c>
    </row>
    <row r="41" ht="15" customHeight="1" s="62">
      <c r="A41" s="65" t="inlineStr">
        <is>
          <t>REFORMULATION ASSUMPTIONS   (wired in Step 3)</t>
        </is>
      </c>
    </row>
    <row r="42" ht="15" customHeight="1" s="62">
      <c r="A42" s="66" t="inlineStr">
        <is>
          <t>PP&amp;E composite depreciable life L (yr)</t>
        </is>
      </c>
      <c r="B42" s="76" t="n">
        <v>10.37</v>
      </c>
      <c r="D42" s="68" t="inlineStr">
        <is>
          <t>gross PP&amp;E $370B ÷ deprec $20.7B ≈ 18; avg age ≈11</t>
        </is>
      </c>
    </row>
    <row r="43" ht="15" customHeight="1" s="62">
      <c r="A43" s="66" t="inlineStr">
        <is>
          <t>R&amp;D amortization life (yr; ≈0 telecom)</t>
        </is>
      </c>
      <c r="B43" s="76" t="n">
        <v>5</v>
      </c>
      <c r="D43" s="68" t="inlineStr">
        <is>
          <t>R&amp;D reserve life (yr); 0 if R&amp;D immaterial</t>
        </is>
      </c>
    </row>
    <row r="44" ht="15" customHeight="1" s="62">
      <c r="A44" s="66" t="inlineStr">
        <is>
          <t>Deflator base year</t>
        </is>
      </c>
      <c r="B44" s="76" t="n">
        <v>2026</v>
      </c>
    </row>
    <row r="45" ht="15" customHeight="1" s="62">
      <c r="A45" s="66" t="inlineStr">
        <is>
          <t>R&amp;D expense, period-0 ($mm)</t>
        </is>
      </c>
      <c r="B45" s="67" t="n">
        <v>0</v>
      </c>
      <c r="D45" s="68" t="inlineStr">
        <is>
          <t>Reported R&amp;D read here; 0 if none reported.</t>
        </is>
      </c>
    </row>
    <row r="46" ht="15" customHeight="1" s="62">
      <c r="A46" s="65" t="inlineStr">
        <is>
          <t>BUYBACK CONTROLS   (wired in Step 7)</t>
        </is>
      </c>
    </row>
    <row r="47" ht="15" customHeight="1" s="62">
      <c r="A47" s="66" t="inlineStr">
        <is>
          <t>Buyback adjustment  {On | Off}</t>
        </is>
      </c>
      <c r="B47" s="77" t="inlineStr">
        <is>
          <t>On</t>
        </is>
      </c>
      <c r="D47" s="68" t="inlineStr">
        <is>
          <t>default On; wire into mainline equity+enterprise</t>
        </is>
      </c>
    </row>
    <row r="49" ht="15" customHeight="1" s="62">
      <c r="A49" s="65" t="inlineStr">
        <is>
          <t>PROMOTED MAGIC NUMBERS   (named here; formulas repointed in their step)</t>
        </is>
      </c>
    </row>
    <row r="50" ht="15" customHeight="1" s="62">
      <c r="A50" s="66" t="inlineStr">
        <is>
          <t>Econ materiality threshold (frac)</t>
        </is>
      </c>
      <c r="B50" s="71" t="n">
        <v>0.15</v>
      </c>
      <c r="D50" s="68" t="inlineStr">
        <is>
          <t>Econ Statements flag; Step 3</t>
        </is>
      </c>
    </row>
    <row r="51" ht="15" customHeight="1" s="62">
      <c r="A51" s="66" t="inlineStr">
        <is>
          <t>Bridge day-count (days/yr)</t>
        </is>
      </c>
      <c r="B51" s="76" t="n">
        <v>365</v>
      </c>
      <c r="D51" s="68" t="inlineStr">
        <is>
          <t>Bridge tenor conversion; also allow-list structural</t>
        </is>
      </c>
    </row>
    <row r="52" ht="15" customHeight="1" s="62">
      <c r="A52" s="66" t="inlineStr">
        <is>
          <t>Presentation COE grid — pt 1 (low)</t>
        </is>
      </c>
      <c r="B52" s="78" t="n">
        <v>0.05</v>
      </c>
    </row>
    <row r="53" ht="15" customHeight="1" s="62">
      <c r="A53" s="66" t="inlineStr">
        <is>
          <t>Presentation COE grid — pt 2</t>
        </is>
      </c>
      <c r="B53" s="78" t="n">
        <v>0.055</v>
      </c>
    </row>
    <row r="54" ht="15" customHeight="1" s="62">
      <c r="A54" s="66" t="inlineStr">
        <is>
          <t>Presentation COE grid — pt 3 (mid)</t>
        </is>
      </c>
      <c r="B54" s="78" t="n">
        <v>0.06</v>
      </c>
    </row>
    <row r="55" ht="15" customHeight="1" s="62">
      <c r="A55" s="66" t="inlineStr">
        <is>
          <t>Presentation COE grid — pt 4</t>
        </is>
      </c>
      <c r="B55" s="78" t="n">
        <v>0.065</v>
      </c>
    </row>
    <row r="56" ht="15" customHeight="1" s="62">
      <c r="A56" s="66" t="inlineStr">
        <is>
          <t>Presentation COE grid — pt 5 (high)</t>
        </is>
      </c>
      <c r="B56" s="78" t="n">
        <v>0.07000000000000001</v>
      </c>
    </row>
    <row r="57" ht="15" customHeight="1" s="62">
      <c r="A57" s="66" t="inlineStr">
        <is>
          <t>Presentation growth axis — low</t>
        </is>
      </c>
      <c r="B57" s="71" t="n">
        <v>0.04</v>
      </c>
    </row>
    <row r="58" ht="15" customHeight="1" s="62">
      <c r="A58" s="66" t="inlineStr">
        <is>
          <t>Presentation growth axis — mid</t>
        </is>
      </c>
      <c r="B58" s="71" t="n">
        <v>0.06</v>
      </c>
    </row>
    <row r="59" ht="15" customHeight="1" s="62">
      <c r="A59" s="66" t="inlineStr">
        <is>
          <t>Presentation growth axis — high</t>
        </is>
      </c>
      <c r="B59" s="71" t="n">
        <v>0.08</v>
      </c>
    </row>
    <row r="60" ht="15" customHeight="1" s="62">
      <c r="A60" s="66" t="inlineStr">
        <is>
          <t>Enterprise NOA growth (real) — placeholder</t>
        </is>
      </c>
      <c r="B60" s="71" t="n">
        <v>0.02</v>
      </c>
      <c r="D60" s="68" t="inlineStr">
        <is>
          <t>Step 3 rebuild redefines the enterprise growth path</t>
        </is>
      </c>
    </row>
    <row r="62" ht="15" customHeight="1" s="62">
      <c r="A62" s="65" t="inlineStr">
        <is>
          <t>ALLOW-LIST  (structural constants tolerated inside formulas)</t>
        </is>
      </c>
    </row>
    <row r="63" ht="15" customHeight="1" s="62">
      <c r="A63" s="64" t="inlineStr">
        <is>
          <t>0, 1, unit conversion 1e6, day-count 365, tenor index 1..30. Market Data rate SPOT rows and tenor axis are SOURCED market observations — the rate-side data tab — not violations.</t>
        </is>
      </c>
    </row>
    <row r="64" ht="15" customHeight="1" s="62">
      <c r="A64" s="66" t="inlineStr">
        <is>
          <t>Tie tolerance (structural ε)</t>
        </is>
      </c>
      <c r="B64" s="79" t="n">
        <v>1e-05</v>
      </c>
    </row>
    <row r="65" ht="15" customHeight="1" s="62">
      <c r="A65" s="65" t="inlineStr">
        <is>
          <t>AS-OF / GLOBAL</t>
        </is>
      </c>
    </row>
    <row r="66" ht="15" customHeight="1" s="62">
      <c r="A66" s="66" t="inlineStr">
        <is>
          <t>Anchor / period-0 fiscal year</t>
        </is>
      </c>
      <c r="B66" s="80" t="n">
        <v>2025</v>
      </c>
      <c r="D66" s="68" t="inlineStr">
        <is>
          <t>Latest reported FY; the reformulation period-0.</t>
        </is>
      </c>
    </row>
    <row r="67" ht="15" customHeight="1" s="62">
      <c r="A67" s="66" t="inlineStr">
        <is>
          <t>Restatement view  {Economic | Reported}</t>
        </is>
      </c>
      <c r="B67" s="77" t="inlineStr">
        <is>
          <t>Economic</t>
        </is>
      </c>
      <c r="D67" s="68" t="inlineStr">
        <is>
          <t>Economic = BEA-restated real 2026$; Reported = as-filed nominal basic reformulation.</t>
        </is>
      </c>
    </row>
    <row r="68" ht="15" customHeight="1" s="62">
      <c r="A68" s="66" t="inlineStr">
        <is>
          <t>Financing mode  {Target FLEV | Funding policy}</t>
        </is>
      </c>
      <c r="B68" s="77" t="inlineStr">
        <is>
          <t>Target FLEV</t>
        </is>
      </c>
    </row>
    <row r="69" ht="15" customHeight="1" s="62">
      <c r="A69" s="66" t="inlineStr">
        <is>
          <t>Scenario  {Bear | Consensus | Bull | Normal}</t>
        </is>
      </c>
      <c r="B69" s="77" t="inlineStr">
        <is>
          <t>Consensus</t>
        </is>
      </c>
      <c r="D69" s="68" t="inlineStr">
        <is>
          <t>Normal = zero-economic-profit structural floor (no growth, no buyback).</t>
        </is>
      </c>
    </row>
    <row r="70" ht="15" customHeight="1" s="62">
      <c r="A70" s="66" t="inlineStr">
        <is>
          <t>Implied grid — g start</t>
        </is>
      </c>
      <c r="B70" s="71" t="n">
        <v>-0.08</v>
      </c>
    </row>
    <row r="71" ht="15" customHeight="1" s="62">
      <c r="A71" s="66" t="inlineStr">
        <is>
          <t>Implied grid — g step</t>
        </is>
      </c>
      <c r="B71" s="71" t="n">
        <v>0.01</v>
      </c>
    </row>
  </sheetData>
  <dataValidations count="10">
    <dataValidation sqref="B29" showDropDown="0" showInputMessage="0" showErrorMessage="0" allowBlank="0" errorTitle="Invalid toggle" error="Pick a listed value exactly (case-sensitive)." promptTitle="Toggle" prompt="Allowed: Single,Term" type="list" errorStyle="stop" operator="between">
      <formula1>"Single,Term"</formula1>
      <formula2>0</formula2>
    </dataValidation>
    <dataValidation sqref="B30" showDropDown="0" showInputMessage="0" showErrorMessage="0" allowBlank="0" errorTitle="Invalid toggle" error="Pick a listed value exactly (case-sensitive)." promptTitle="Toggle" prompt="Allowed: Single,Term" type="list" errorStyle="stop" operator="between">
      <formula1>"Single,Term"</formula1>
      <formula2>0</formula2>
    </dataValidation>
    <dataValidation sqref="B33" showDropDown="0" showInputMessage="0" showErrorMessage="0" allowBlank="0" errorTitle="Invalid toggle" error="Pick a listed value exactly (case-sensitive)." promptTitle="Toggle" prompt="Allowed: Single,Term" type="list" errorStyle="stop" operator="between">
      <formula1>"Single,Term"</formula1>
      <formula2>0</formula2>
    </dataValidation>
    <dataValidation sqref="B34" showDropDown="0" showInputMessage="0" showErrorMessage="0" allowBlank="0" errorTitle="Invalid toggle" error="Pick a listed value exactly (case-sensitive)." promptTitle="Toggle" prompt="Allowed: Equity path,Enterprise path" type="list" errorStyle="stop" operator="between">
      <formula1>"Equity path,Enterprise path"</formula1>
      <formula2>0</formula2>
    </dataValidation>
    <dataValidation sqref="B37" showDropDown="0" showInputMessage="0" showErrorMessage="0" allowBlank="0" errorTitle="Invalid toggle" error="Pick a listed value exactly (case-sensitive)." promptTitle="Toggle" prompt="Allowed: Equity,Enterprise" type="list" errorStyle="stop" operator="between">
      <formula1>"Equity,Enterprise"</formula1>
      <formula2>0</formula2>
    </dataValidation>
    <dataValidation sqref="B47" showDropDown="0" showInputMessage="0" showErrorMessage="0" allowBlank="0" errorTitle="Invalid toggle" error="Pick a listed value exactly (case-sensitive)." promptTitle="Toggle" prompt="Allowed: On,Off" type="list" errorStyle="stop" operator="between">
      <formula1>"On,Off"</formula1>
      <formula2>0</formula2>
    </dataValidation>
    <dataValidation sqref="B67" showDropDown="0" showInputMessage="0" showErrorMessage="0" allowBlank="0" errorTitle="Invalid toggle" error="Pick a listed value exactly (case-sensitive)." promptTitle="Toggle" prompt="Allowed: Economic,Reported" type="list" errorStyle="stop" operator="between">
      <formula1>"Economic,Reported"</formula1>
      <formula2>0</formula2>
    </dataValidation>
    <dataValidation sqref="B68" showDropDown="0" showInputMessage="0" showErrorMessage="0" allowBlank="0" errorTitle="Invalid toggle" error="Pick a listed value exactly (case-sensitive)." promptTitle="Toggle" prompt="Allowed: Target FLEV,Funding policy" type="list" errorStyle="stop" operator="between">
      <formula1>"Target FLEV,Funding policy"</formula1>
      <formula2>0</formula2>
    </dataValidation>
    <dataValidation sqref="B69" showDropDown="0" showInputMessage="0" showErrorMessage="0" allowBlank="0" errorTitle="Invalid toggle" error="Pick a listed value exactly (case-sensitive)." promptTitle="Toggle" prompt="Allowed: Bear,Consensus,Bull,Normal" type="list" errorStyle="stop" operator="between">
      <formula1>"Bear,Consensus,Bull,Normal"</formula1>
      <formula2>0</formula2>
    </dataValidation>
    <dataValidation sqref="B26" showDropDown="0" showInputMessage="0" showErrorMessage="0" allowBlank="0" errorTitle="Invalid N" error="Horizon N must be a whole number 1..30." type="whole" errorStyle="stop" operator="between">
      <formula1>1</formula1>
      <formula2>30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7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8" customWidth="1" style="61" min="1" max="1"/>
    <col width="14" customWidth="1" style="61" min="2" max="2"/>
    <col width="10" customWidth="1" style="61" min="3" max="3"/>
    <col width="50" customWidth="1" style="61" min="4" max="4"/>
  </cols>
  <sheetData>
    <row r="1" ht="15" customHeight="1" s="62">
      <c r="A1" s="63" t="inlineStr">
        <is>
          <t>AUDIT — STANDING FORMULA-INTEGRITY &amp; TIE CHECKS</t>
        </is>
      </c>
    </row>
    <row r="2" ht="15" customHeight="1" s="62">
      <c r="A2" s="64" t="inlineStr">
        <is>
          <t>B5/B6 cover the LIVE in-sheet identity ties only. Constants/magic/colour are NOT computed in-sheet: run the out-of-band auditor (audit.py) separately — it must read TOTAL 0. BOTH gates (this PASS and audit.py TOTAL 0) must be green to trust output.</t>
        </is>
      </c>
    </row>
    <row r="4" ht="15" customHeight="1" s="62">
      <c r="A4" s="65" t="inlineStr">
        <is>
          <t>MASTER STATUS</t>
        </is>
      </c>
    </row>
    <row r="5" ht="15" customHeight="1" s="62">
      <c r="A5" s="66" t="inlineStr">
        <is>
          <t>Grand total (LIVE identity residuals only; target 0) — tautological terms excluded, see rows 27/28</t>
        </is>
      </c>
      <c r="B5" s="81">
        <f>B31+B44+B50+B58+B29+B63+B72+B77</f>
        <v/>
      </c>
    </row>
    <row r="6" ht="15" customHeight="1" s="62">
      <c r="A6" s="66" t="inlineStr">
        <is>
          <t>Status</t>
        </is>
      </c>
      <c r="B6" s="66">
        <f>IF(B5&lt;in_tie_tol,"PASS — all identities tie","FAIL — investigate")</f>
        <v/>
      </c>
      <c r="D6" s="68" t="inlineStr">
        <is>
          <t>tolerance 1e-5 absorbs floating-point residuals on the FCFE/clean-surplus ties</t>
        </is>
      </c>
    </row>
    <row r="8" ht="15" customHeight="1" s="62">
      <c r="A8" s="65" t="inlineStr">
        <is>
          <t>CHECK 1-3 — EXTERNAL AUDITOR (audit.py): constants / magic / colour. Run separately; NOT summed into B5.</t>
        </is>
      </c>
    </row>
    <row r="9" ht="15" customHeight="1" s="62">
      <c r="A9" s="66" t="inlineStr">
        <is>
          <t xml:space="preserve">  (external) stray-constant count — informational mirror, may be stale</t>
        </is>
      </c>
      <c r="B9" s="81">
        <f>SUM(B11:B12)</f>
        <v/>
      </c>
    </row>
    <row r="10" ht="15" customHeight="1" s="62">
      <c r="A10" s="68" t="inlineStr">
        <is>
          <t xml:space="preserve">  Tab</t>
        </is>
      </c>
      <c r="B10" s="68" t="inlineStr">
        <is>
          <t>count</t>
        </is>
      </c>
      <c r="C10" s="68" t="inlineStr">
        <is>
          <t>target</t>
        </is>
      </c>
    </row>
    <row r="11" ht="15" customHeight="1" s="62">
      <c r="A11" s="68" t="inlineStr">
        <is>
          <t>(no calc tabs yet — rows added as IS/BS/CF/reform/rates/forecast/val land)</t>
        </is>
      </c>
    </row>
    <row r="12" ht="15" customHeight="1" s="62">
      <c r="A12" s="68" t="n"/>
    </row>
    <row r="14" ht="15" customHeight="1" s="62">
      <c r="A14" s="65" t="inlineStr">
        <is>
          <t>CHECK 2 — Magic numbers in formulas (auditor-fed; run audit.py to refresh)</t>
        </is>
      </c>
      <c r="D14" s="68" t="n"/>
    </row>
    <row r="15" ht="15" customHeight="1" s="62">
      <c r="A15" s="66" t="inlineStr">
        <is>
          <t xml:space="preserve">  (external) magic-literal count — informational mirror, may be stale</t>
        </is>
      </c>
      <c r="B15" s="81" t="n">
        <v>0</v>
      </c>
      <c r="C15" s="68" t="inlineStr">
        <is>
          <t>→ target 0</t>
        </is>
      </c>
      <c r="D15" s="68" t="inlineStr">
        <is>
          <t>auditor diagnostic readout; 0 = fresh book, no formulas off-surface</t>
        </is>
      </c>
    </row>
    <row r="17" ht="15" customHeight="1" s="62">
      <c r="A17" s="65" t="inlineStr">
        <is>
          <t>CHECK 3 — Colour integrity (auditor-fed)</t>
        </is>
      </c>
    </row>
    <row r="18" ht="15" customHeight="1" s="62">
      <c r="A18" s="66" t="inlineStr">
        <is>
          <t xml:space="preserve">  (external) colour-violation count — informational mirror, may be stale</t>
        </is>
      </c>
      <c r="B18" s="81" t="n">
        <v>0</v>
      </c>
      <c r="C18" s="68" t="inlineStr">
        <is>
          <t>→ target 0</t>
        </is>
      </c>
      <c r="D18" s="68" t="inlineStr">
        <is>
          <t>blue only on Inputs / reported-data / forecast driver surface (G.1)</t>
        </is>
      </c>
    </row>
    <row r="20" ht="15" customHeight="1" s="62">
      <c r="A20" s="65" t="inlineStr">
        <is>
          <t>CHECK 4 — Tie block (identities = 0; live in-sheet)</t>
        </is>
      </c>
    </row>
    <row r="21" ht="15" customHeight="1" s="62">
      <c r="A21" s="68" t="inlineStr">
        <is>
          <t xml:space="preserve">  Identity</t>
        </is>
      </c>
      <c r="B21" s="68" t="inlineStr">
        <is>
          <t>residual</t>
        </is>
      </c>
      <c r="C21" s="68" t="inlineStr">
        <is>
          <t>target</t>
        </is>
      </c>
      <c r="D21" s="68" t="inlineStr">
        <is>
          <t>status</t>
        </is>
      </c>
    </row>
    <row r="22" ht="15" customHeight="1" s="62">
      <c r="A22" s="66" t="inlineStr">
        <is>
          <t xml:space="preserve">  NOA = CSE + NFO</t>
        </is>
      </c>
      <c r="B22" s="82">
        <f>in_noa0-anchor_cse0-anchor_nfo0</f>
        <v/>
      </c>
      <c r="C22" s="81" t="n">
        <v>0</v>
      </c>
      <c r="D22" s="66">
        <f>IF(ABS(B22)&lt;0.000001,"tie","BREAK")</f>
        <v/>
      </c>
    </row>
    <row r="23" ht="15" customHeight="1" s="62">
      <c r="A23" s="66" t="inlineStr">
        <is>
          <t xml:space="preserve">  FLEV·CSE = NFO</t>
        </is>
      </c>
      <c r="B23" s="82">
        <f>in_flev0*anchor_cse0-anchor_nfo0</f>
        <v/>
      </c>
      <c r="C23" s="81" t="n">
        <v>0</v>
      </c>
      <c r="D23" s="66">
        <f>IF(ABS(B23)&lt;0.000001,"tie","BREAK")</f>
        <v/>
      </c>
    </row>
    <row r="24" ht="15" customHeight="1" s="62">
      <c r="A24" s="66" t="inlineStr">
        <is>
          <t xml:space="preserve">  BPS·shares = CSE</t>
        </is>
      </c>
      <c r="B24" s="82">
        <f>in_bps0*anchor_shares0-anchor_cse0</f>
        <v/>
      </c>
      <c r="C24" s="81" t="n">
        <v>0</v>
      </c>
      <c r="D24" s="66">
        <f>IF(ABS(B24)&lt;0.000001,"tie","BREAK")</f>
        <v/>
      </c>
    </row>
    <row r="25" ht="15" customHeight="1" s="62">
      <c r="A25" s="66" t="inlineStr">
        <is>
          <t xml:space="preserve">  NFO/sh·shares = NFO</t>
        </is>
      </c>
      <c r="B25" s="82">
        <f>in_nfops0*anchor_shares0-anchor_nfo0</f>
        <v/>
      </c>
      <c r="C25" s="81" t="n">
        <v>0</v>
      </c>
      <c r="D25" s="66">
        <f>IF(ABS(B25)&lt;0.000001,"tie","BREAK")</f>
        <v/>
      </c>
    </row>
    <row r="26" ht="15" customHeight="1" s="62">
      <c r="A26" s="68" t="inlineStr">
        <is>
          <t xml:space="preserve">  Clean-surplus articulation (Step 3)</t>
        </is>
      </c>
      <c r="D26" s="68" t="inlineStr">
        <is>
          <t>(reserved)</t>
        </is>
      </c>
    </row>
    <row r="27" ht="15" customHeight="1" s="62">
      <c r="A27" s="66" t="inlineStr">
        <is>
          <t xml:space="preserve">  (decorative) Equity↔Enterprise tie — identically 0; NOT summed into B5</t>
        </is>
      </c>
      <c r="B27" s="82">
        <f>ABS(ev_tie)</f>
        <v/>
      </c>
      <c r="D27" s="66">
        <f>IF(ABS(B27)&lt;0.00001,"tie","BREAK")</f>
        <v/>
      </c>
    </row>
    <row r="28" ht="15" customHeight="1" s="62">
      <c r="A28" s="66" t="inlineStr">
        <is>
          <t xml:space="preserve">  (decorative) Value-additivity V(OI)=V(EPS)+V(NFE) — identically 0 by definition; NOT summed into B5</t>
        </is>
      </c>
      <c r="B28" s="82">
        <f>ABS(val_voi-val_intrinsic-val_vnfe)</f>
        <v/>
      </c>
      <c r="D28" s="66">
        <f>IF(ABS(B28)&lt;0.00001,"tie","BREAK")</f>
        <v/>
      </c>
    </row>
    <row r="29" ht="15" customHeight="1" s="62">
      <c r="A29" s="66" t="inlineStr">
        <is>
          <t xml:space="preserve">  Buyback VP6 invariance (V_with=V_without)</t>
        </is>
      </c>
      <c r="B29" s="82">
        <f>ABS(bb_vp6_tie)</f>
        <v/>
      </c>
      <c r="D29" s="66">
        <f>IF(ABS(B29)&lt;in_tie_tol,"tie","BREAK")</f>
        <v/>
      </c>
    </row>
    <row r="31" ht="15" customHeight="1" s="62">
      <c r="A31" s="66" t="inlineStr">
        <is>
          <t>Σ |tie residuals| (target 0)</t>
        </is>
      </c>
      <c r="B31" s="82">
        <f>SUMPRODUCT(ABS(B22:B25))</f>
        <v/>
      </c>
    </row>
    <row r="33" ht="15" customHeight="1" s="62">
      <c r="A33" s="65" t="inlineStr">
        <is>
          <t>CHECK 4b — Inputs anchor = reported FY2025 (reconciliation ties)</t>
        </is>
      </c>
    </row>
    <row r="34" ht="15" customHeight="1" s="62">
      <c r="A34" s="68" t="inlineStr">
        <is>
          <t xml:space="preserve">  Identity</t>
        </is>
      </c>
      <c r="B34" s="68" t="inlineStr">
        <is>
          <t>residual</t>
        </is>
      </c>
      <c r="C34" s="68" t="inlineStr">
        <is>
          <t>target</t>
        </is>
      </c>
      <c r="D34" s="68" t="inlineStr">
        <is>
          <t>status</t>
        </is>
      </c>
    </row>
    <row r="35" ht="15" customHeight="1" s="62">
      <c r="A35" s="66" t="inlineStr">
        <is>
          <t xml:space="preserve">  in_debt = reported Total Debt</t>
        </is>
      </c>
      <c r="B35" s="82">
        <f>in_debt-rep_debt_fy0</f>
        <v/>
      </c>
      <c r="C35" s="81" t="n">
        <v>0</v>
      </c>
      <c r="D35" s="66">
        <f>IF(ABS(B35)&lt;0.000001,"tie","BREAK")</f>
        <v/>
      </c>
    </row>
    <row r="36" ht="15" customHeight="1" s="62">
      <c r="A36" s="66" t="inlineStr">
        <is>
          <t xml:space="preserve">  in_cash = reported Cash</t>
        </is>
      </c>
      <c r="B36" s="82">
        <f>in_cash-rep_cash_fy0</f>
        <v/>
      </c>
      <c r="C36" s="81" t="n">
        <v>0</v>
      </c>
      <c r="D36" s="66">
        <f>IF(ABS(B36)&lt;0.000001,"tie","BREAK")</f>
        <v/>
      </c>
    </row>
    <row r="37" ht="15" customHeight="1" s="62">
      <c r="A37" s="66" t="inlineStr">
        <is>
          <t xml:space="preserve">  anchor_cse0 = reported CSE</t>
        </is>
      </c>
      <c r="B37" s="82">
        <f>anchor_cse0-rep_cse_fy0</f>
        <v/>
      </c>
      <c r="C37" s="81" t="n">
        <v>0</v>
      </c>
      <c r="D37" s="66">
        <f>IF(ABS(B37)&lt;0.000001,"tie","BREAK")</f>
        <v/>
      </c>
    </row>
    <row r="38" ht="15" customHeight="1" s="62">
      <c r="A38" s="66" t="inlineStr">
        <is>
          <t xml:space="preserve">  anchor_shares0 = reported shares</t>
        </is>
      </c>
      <c r="B38" s="82">
        <f>anchor_shares0-rep_shares_fy0</f>
        <v/>
      </c>
      <c r="C38" s="81" t="n">
        <v>0</v>
      </c>
      <c r="D38" s="66">
        <f>IF(ABS(B38)&lt;0.000001,"tie","BREAK")</f>
        <v/>
      </c>
    </row>
    <row r="39" ht="15" customHeight="1" s="62">
      <c r="A39" s="66" t="inlineStr">
        <is>
          <t xml:space="preserve">  anchor_eps0 = reported Diluted EPS</t>
        </is>
      </c>
      <c r="B39" s="82">
        <f>anchor_eps0-rep_eps_fy0</f>
        <v/>
      </c>
      <c r="C39" s="81" t="n">
        <v>0</v>
      </c>
      <c r="D39" s="66">
        <f>IF(ABS(B39)&lt;0.000001,"tie","BREAK")</f>
        <v/>
      </c>
    </row>
    <row r="40" ht="15" customHeight="1" s="62">
      <c r="A40" s="66" t="inlineStr">
        <is>
          <t xml:space="preserve">  in_intexp0 = reported Interest Exp</t>
        </is>
      </c>
      <c r="B40" s="82">
        <f>in_intexp0-rep_intexp_fy0</f>
        <v/>
      </c>
      <c r="C40" s="81" t="n">
        <v>0</v>
      </c>
      <c r="D40" s="66">
        <f>IF(ABS(B40)&lt;0.000001,"tie","BREAK")</f>
        <v/>
      </c>
    </row>
    <row r="41" ht="15" customHeight="1" s="62">
      <c r="A41" s="66" t="inlineStr">
        <is>
          <t xml:space="preserve">  in_oiadj0 = reported Operating Income</t>
        </is>
      </c>
      <c r="B41" s="82">
        <f>in_oiadj0-rep_oi_fy0</f>
        <v/>
      </c>
      <c r="C41" s="81" t="n">
        <v>0</v>
      </c>
      <c r="D41" s="66">
        <f>IF(ABS(B41)&lt;0.000001,"tie","BREAK")</f>
        <v/>
      </c>
    </row>
    <row r="42" ht="15" customHeight="1" s="62">
      <c r="A42" s="66" t="inlineStr">
        <is>
          <t xml:space="preserve">  in_tax0 = reported Tax Rate</t>
        </is>
      </c>
      <c r="B42" s="82">
        <f>in_tax0-rep_tax_fy0</f>
        <v/>
      </c>
      <c r="C42" s="81" t="n">
        <v>0</v>
      </c>
      <c r="D42" s="66">
        <f>IF(ABS(B42)&lt;0.000001,"tie","BREAK")</f>
        <v/>
      </c>
    </row>
    <row r="44" ht="15" customHeight="1" s="62">
      <c r="A44" s="66" t="inlineStr">
        <is>
          <t>Σ |reconciliation residuals| (target 0)</t>
        </is>
      </c>
      <c r="B44" s="82">
        <f>SUMPRODUCT(ABS(B35:B42))</f>
        <v/>
      </c>
    </row>
    <row r="46" ht="15" customHeight="1" s="62">
      <c r="A46" s="65" t="inlineStr">
        <is>
          <t>CHECK 4c — Reformulation ties (=0)</t>
        </is>
      </c>
    </row>
    <row r="47" ht="15" customHeight="1" s="62">
      <c r="A47" s="66" t="inlineStr">
        <is>
          <t xml:space="preserve">  Σ|partition tie NOA−NFO−CSE (nom)|</t>
        </is>
      </c>
      <c r="B47" s="82">
        <f>SUMPRODUCT(ABS(es_tie_partition))</f>
        <v/>
      </c>
      <c r="D47" s="66">
        <f>IF(ABS(B47)&lt;0.000001,"tie","BREAK")</f>
        <v/>
      </c>
    </row>
    <row r="48" ht="15" customHeight="1" s="62">
      <c r="A48" s="66" t="inlineStr">
        <is>
          <t xml:space="preserve">  Σ|real tie NOA−NFO−CSE|</t>
        </is>
      </c>
      <c r="B48" s="82">
        <f>SUMPRODUCT(ABS(es_tie_real))</f>
        <v/>
      </c>
      <c r="D48" s="66">
        <f>IF(ABS(B48)&lt;0.000001,"tie","BREAK")</f>
        <v/>
      </c>
    </row>
    <row r="49" ht="15" customHeight="1" s="62">
      <c r="A49" s="66" t="inlineStr">
        <is>
          <t xml:space="preserve">  Cap Engine anchor = per-year 2025</t>
        </is>
      </c>
      <c r="B49" s="82">
        <f>anchor_real_net_ppe-INDEX(ce_real_net_series,MATCH(in_anchor_year,ce_years,0))</f>
        <v/>
      </c>
      <c r="D49" s="66">
        <f>IF(ABS(B49)&lt;0.000001,"tie","BREAK")</f>
        <v/>
      </c>
    </row>
    <row r="50" ht="15" customHeight="1" s="62">
      <c r="A50" s="66" t="inlineStr">
        <is>
          <t>Σ |reformulation ties|</t>
        </is>
      </c>
      <c r="B50" s="82">
        <f>SUMPRODUCT(ABS(B47:B49))</f>
        <v/>
      </c>
    </row>
    <row r="52" ht="15" customHeight="1" s="62">
      <c r="A52" s="68" t="inlineStr">
        <is>
          <t>memo: clean-surplus is a dirty-surplus residual (Econ St r70), not a =0 tie; reformulated CI absorbs it.</t>
        </is>
      </c>
    </row>
    <row r="54" ht="15" customHeight="1" s="62">
      <c r="A54" s="65" t="inlineStr">
        <is>
          <t>CHECK 4d — Forecast engine identities (=0)</t>
        </is>
      </c>
    </row>
    <row r="55" ht="15" customHeight="1" s="62">
      <c r="A55" s="66" t="inlineStr">
        <is>
          <t xml:space="preserve">  Σ|NOA−NFO−CSE|</t>
        </is>
      </c>
      <c r="B55" s="82">
        <f>SUMPRODUCT(ABS(fc_tie_bs))</f>
        <v/>
      </c>
      <c r="D55" s="66">
        <f>IF(ABS(B55)&lt;0.00001,"tie","BREAK")</f>
        <v/>
      </c>
    </row>
    <row r="56" ht="15" customHeight="1" s="62">
      <c r="A56" s="66" t="inlineStr">
        <is>
          <t xml:space="preserve">  Σ|EPS×sh−NI|</t>
        </is>
      </c>
      <c r="B56" s="82">
        <f>SUMPRODUCT(ABS(fc_tie_eps))</f>
        <v/>
      </c>
      <c r="D56" s="66">
        <f>IF(ABS(B56)&lt;0.00001,"tie","BREAK")</f>
        <v/>
      </c>
    </row>
    <row r="57" ht="15" customHeight="1" s="62">
      <c r="A57" s="66" t="inlineStr">
        <is>
          <t xml:space="preserve">  Σ|FCFE−distribution|</t>
        </is>
      </c>
      <c r="B57" s="82">
        <f>SUMPRODUCT(ABS(fc_tie_fcfe))</f>
        <v/>
      </c>
      <c r="D57" s="66">
        <f>IF(ABS(B57)&lt;0.00001,"tie","BREAK")</f>
        <v/>
      </c>
    </row>
    <row r="58" ht="15" customHeight="1" s="62">
      <c r="A58" s="66" t="inlineStr">
        <is>
          <t>Σ |forecast ties|</t>
        </is>
      </c>
      <c r="B58" s="82">
        <f>SUMPRODUCT(ABS(B55:B57))</f>
        <v/>
      </c>
    </row>
    <row r="60" ht="15" customHeight="1" s="62">
      <c r="A60" s="65" t="inlineStr">
        <is>
          <t>CHECK 5 — DCF / RI / FCFE / FCFF reconciliation (=0)</t>
        </is>
      </c>
    </row>
    <row r="61" ht="15" customHeight="1" s="62">
      <c r="A61" s="66" t="inlineStr">
        <is>
          <t xml:space="preserve">  V(FCFE) − V(RI)</t>
        </is>
      </c>
      <c r="B61" s="82">
        <f>ABS(dcf_tie_fcfe)</f>
        <v/>
      </c>
      <c r="D61" s="66">
        <f>IF(ABS(B61)&lt;in_tie_tol*ABS(dcf_ri),"tie","BREAK")</f>
        <v/>
      </c>
    </row>
    <row r="62" ht="15" customHeight="1" s="62">
      <c r="A62" s="66" t="inlineStr">
        <is>
          <t xml:space="preserve">  Equity(FCFF) − V(RI)</t>
        </is>
      </c>
      <c r="B62" s="82">
        <f>ABS(dcf_tie_fcff)</f>
        <v/>
      </c>
      <c r="D62" s="66">
        <f>IF(ABS(B62)&lt;in_tie_tol*ABS(dcf_ri),"tie","BREAK")</f>
        <v/>
      </c>
    </row>
    <row r="63" ht="15" customHeight="1" s="62">
      <c r="A63" s="66" t="inlineStr">
        <is>
          <t>Σ |DCF recon ties|</t>
        </is>
      </c>
      <c r="B63" s="82">
        <f>B61+B62</f>
        <v/>
      </c>
    </row>
    <row r="66">
      <c r="A66" s="61" t="inlineStr">
        <is>
          <t>CHECK 6 — cross-tab: Valuation AEG form vs DCF Reconciliation RI form (=0)</t>
        </is>
      </c>
    </row>
    <row r="67">
      <c r="A67" s="61" t="inlineStr">
        <is>
          <t xml:space="preserve">  Valuation V(EPS) $/sh  [HEADLINE, AEG form]</t>
        </is>
      </c>
      <c r="B67" s="61">
        <f>Valuation!B52</f>
        <v/>
      </c>
    </row>
    <row r="68">
      <c r="A68" s="61" t="inlineStr">
        <is>
          <t xml:space="preserve">  DCF Rec V(RI) $/sh     [residual-income form, four-method tied]</t>
        </is>
      </c>
      <c r="B68" s="61">
        <f>'DCF Reconciliation'!B45</f>
        <v/>
      </c>
    </row>
    <row r="69">
      <c r="A69" s="61" t="inlineStr">
        <is>
          <t xml:space="preserve">  gap $/sh  (AEG - RI)</t>
        </is>
      </c>
      <c r="B69" s="61">
        <f>B67-B68</f>
        <v/>
      </c>
    </row>
    <row r="70">
      <c r="A70" s="61" t="inlineStr">
        <is>
          <t xml:space="preserve">  gap as % of RI form</t>
        </is>
      </c>
      <c r="B70" s="61">
        <f>IF(B68=0,"",B69/B68)</f>
        <v/>
      </c>
    </row>
    <row r="71">
      <c r="A71" s="61" t="inlineStr">
        <is>
          <t xml:space="preserve">  NOTE: identical only when the AEG terms are capitalised with the annuity factor implied by the ACTUAL cost-of-equity curve.</t>
        </is>
      </c>
    </row>
    <row r="72">
      <c r="A72" s="61" t="inlineStr">
        <is>
          <t>Sigma |cross-tab tie|   [GATE: summed into B5]</t>
        </is>
      </c>
      <c r="B72" s="61">
        <f>ABS(B69)</f>
        <v/>
      </c>
    </row>
    <row r="74">
      <c r="A74" s="61" t="inlineStr">
        <is>
          <t>CHECK 7 — operations: value-weighted direct vs additive, and flow additivity  [both LIVE, both summed into B5]</t>
        </is>
      </c>
    </row>
    <row r="75">
      <c r="A75" s="61" t="inlineStr">
        <is>
          <t xml:space="preserve">  V(ops)@rho_F* − V(ops) additive</t>
        </is>
      </c>
      <c r="B75" s="61">
        <f>ABS('DCF Reconciliation'!B56)</f>
        <v/>
      </c>
    </row>
    <row r="76">
      <c r="A76" s="61" t="inlineStr">
        <is>
          <t xml:space="preserve">  Σ|FCFF − (FCFE + FCFD)|</t>
        </is>
      </c>
      <c r="B76" s="61">
        <f>ABS('DCF Reconciliation'!B57)</f>
        <v/>
      </c>
    </row>
    <row r="77">
      <c r="A77" s="61" t="inlineStr">
        <is>
          <t>Σ |CHECK 7|   [GATE: summed into B5]</t>
        </is>
      </c>
      <c r="B77" s="61">
        <f>B75+B76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P6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61" min="1" max="1"/>
    <col width="12" customWidth="1" style="61" min="2" max="42"/>
  </cols>
  <sheetData>
    <row r="1" ht="15" customHeight="1" s="62">
      <c r="A1" s="63" t="inlineStr">
        <is>
          <t>INCOME STATEMENT — Apple Inc. (AAPL)</t>
        </is>
      </c>
    </row>
    <row r="2" ht="15" customHeight="1" s="62">
      <c r="A2" s="64" t="inlineStr">
        <is>
          <t>Filed data (Apple Inc.). $mm unless noted · per-share $ · ratios frac · shares mm. Blue = filed input. Loaded by the AEG data pipeline.</t>
        </is>
      </c>
    </row>
    <row r="3" ht="15" customHeight="1" s="62">
      <c r="A3" s="83" t="inlineStr">
        <is>
          <t>Line item</t>
        </is>
      </c>
      <c r="B3" s="84" t="inlineStr">
        <is>
          <t>1985</t>
        </is>
      </c>
      <c r="C3" s="84" t="inlineStr">
        <is>
          <t>1986</t>
        </is>
      </c>
      <c r="D3" s="84" t="inlineStr">
        <is>
          <t>1987</t>
        </is>
      </c>
      <c r="E3" s="84" t="inlineStr">
        <is>
          <t>1988</t>
        </is>
      </c>
      <c r="F3" s="84" t="inlineStr">
        <is>
          <t>1989</t>
        </is>
      </c>
      <c r="G3" s="84" t="inlineStr">
        <is>
          <t>1990</t>
        </is>
      </c>
      <c r="H3" s="84" t="inlineStr">
        <is>
          <t>1991</t>
        </is>
      </c>
      <c r="I3" s="84" t="inlineStr">
        <is>
          <t>1992</t>
        </is>
      </c>
      <c r="J3" s="84" t="inlineStr">
        <is>
          <t>1993</t>
        </is>
      </c>
      <c r="K3" s="84" t="inlineStr">
        <is>
          <t>1994</t>
        </is>
      </c>
      <c r="L3" s="84" t="inlineStr">
        <is>
          <t>1995</t>
        </is>
      </c>
      <c r="M3" s="84" t="inlineStr">
        <is>
          <t>1996</t>
        </is>
      </c>
      <c r="N3" s="84" t="inlineStr">
        <is>
          <t>1997</t>
        </is>
      </c>
      <c r="O3" s="84" t="inlineStr">
        <is>
          <t>1998</t>
        </is>
      </c>
      <c r="P3" s="84" t="inlineStr">
        <is>
          <t>1999</t>
        </is>
      </c>
      <c r="Q3" s="84" t="inlineStr">
        <is>
          <t>2000</t>
        </is>
      </c>
      <c r="R3" s="84" t="inlineStr">
        <is>
          <t>2001</t>
        </is>
      </c>
      <c r="S3" s="84" t="inlineStr">
        <is>
          <t>2002</t>
        </is>
      </c>
      <c r="T3" s="84" t="inlineStr">
        <is>
          <t>2003</t>
        </is>
      </c>
      <c r="U3" s="84" t="inlineStr">
        <is>
          <t>2004</t>
        </is>
      </c>
      <c r="V3" s="84" t="inlineStr">
        <is>
          <t>2005</t>
        </is>
      </c>
      <c r="W3" s="84" t="inlineStr">
        <is>
          <t>2006</t>
        </is>
      </c>
      <c r="X3" s="84" t="inlineStr">
        <is>
          <t>2007</t>
        </is>
      </c>
      <c r="Y3" s="84" t="inlineStr">
        <is>
          <t>2008</t>
        </is>
      </c>
      <c r="Z3" s="84" t="inlineStr">
        <is>
          <t>2009</t>
        </is>
      </c>
      <c r="AA3" s="84" t="inlineStr">
        <is>
          <t>2010</t>
        </is>
      </c>
      <c r="AB3" s="84" t="inlineStr">
        <is>
          <t>2011</t>
        </is>
      </c>
      <c r="AC3" s="84" t="inlineStr">
        <is>
          <t>2012</t>
        </is>
      </c>
      <c r="AD3" s="84" t="inlineStr">
        <is>
          <t>2013</t>
        </is>
      </c>
      <c r="AE3" s="84" t="inlineStr">
        <is>
          <t>2014</t>
        </is>
      </c>
      <c r="AF3" s="84" t="inlineStr">
        <is>
          <t>2015</t>
        </is>
      </c>
      <c r="AG3" s="84" t="inlineStr">
        <is>
          <t>2016</t>
        </is>
      </c>
      <c r="AH3" s="84" t="inlineStr">
        <is>
          <t>2017</t>
        </is>
      </c>
      <c r="AI3" s="84" t="inlineStr">
        <is>
          <t>2018</t>
        </is>
      </c>
      <c r="AJ3" s="84" t="inlineStr">
        <is>
          <t>2019</t>
        </is>
      </c>
      <c r="AK3" s="84" t="inlineStr">
        <is>
          <t>2020</t>
        </is>
      </c>
      <c r="AL3" s="84" t="inlineStr">
        <is>
          <t>2021</t>
        </is>
      </c>
      <c r="AM3" s="84" t="inlineStr">
        <is>
          <t>2022</t>
        </is>
      </c>
      <c r="AN3" s="84" t="inlineStr">
        <is>
          <t>2023</t>
        </is>
      </c>
      <c r="AO3" s="84" t="inlineStr">
        <is>
          <t>2024</t>
        </is>
      </c>
      <c r="AP3" s="84" t="inlineStr">
        <is>
          <t>2025</t>
        </is>
      </c>
    </row>
    <row r="4" ht="15" customHeight="1" s="62">
      <c r="A4" s="83" t="inlineStr">
        <is>
          <t>Total Revenue</t>
        </is>
      </c>
      <c r="B4" s="85" t="n">
        <v>0.001918</v>
      </c>
      <c r="C4" s="85" t="n">
        <v>0.001902</v>
      </c>
      <c r="D4" s="85" t="n">
        <v>0.002661</v>
      </c>
      <c r="E4" s="85" t="n">
        <v>0.004071</v>
      </c>
      <c r="F4" s="85" t="n">
        <v>0.005284</v>
      </c>
      <c r="G4" s="85" t="n">
        <v>0.005558</v>
      </c>
      <c r="H4" s="85" t="n">
        <v>0.006309</v>
      </c>
      <c r="I4" s="85" t="n">
        <v>0.007087</v>
      </c>
      <c r="J4" s="85" t="n">
        <v>0.007977</v>
      </c>
      <c r="K4" s="85" t="n">
        <v>0.009188999999999999</v>
      </c>
      <c r="L4" s="85" t="n">
        <v>0.011062</v>
      </c>
      <c r="M4" s="85" t="n">
        <v>0.009833</v>
      </c>
      <c r="N4" s="85" t="n">
        <v>0.007081</v>
      </c>
      <c r="O4" s="85" t="n">
        <v>0.005941</v>
      </c>
      <c r="P4" s="85" t="n">
        <v>0.006134</v>
      </c>
      <c r="Q4" s="85" t="n">
        <v>0.007983000000000001</v>
      </c>
      <c r="R4" s="85" t="n">
        <v>0.005363</v>
      </c>
      <c r="S4" s="85" t="n">
        <v>0.005742</v>
      </c>
      <c r="T4" s="85" t="n">
        <v>0.006207</v>
      </c>
      <c r="U4" s="85" t="n">
        <v>0.008279</v>
      </c>
      <c r="V4" s="85" t="n">
        <v>0.013931</v>
      </c>
      <c r="W4" s="85" t="n">
        <v>0.019315</v>
      </c>
      <c r="X4" s="85" t="n">
        <v>0.024006</v>
      </c>
      <c r="Y4" s="85" t="n">
        <v>0.032479</v>
      </c>
      <c r="Z4" s="85" t="n">
        <v>0.042603</v>
      </c>
      <c r="AA4" s="85" t="n">
        <v>0.06522500000000001</v>
      </c>
      <c r="AB4" s="85" t="n">
        <v>0.108249</v>
      </c>
      <c r="AC4" s="85" t="n">
        <v>0.156508</v>
      </c>
      <c r="AD4" s="85" t="n">
        <v>0.17091</v>
      </c>
      <c r="AE4" s="85" t="n">
        <v>0.182795</v>
      </c>
      <c r="AF4" s="85" t="n">
        <v>0.233715</v>
      </c>
      <c r="AG4" s="85" t="n">
        <v>0.215639</v>
      </c>
      <c r="AH4" s="85" t="n">
        <v>0.229234</v>
      </c>
      <c r="AI4" s="85" t="n">
        <v>0.265595</v>
      </c>
      <c r="AJ4" s="85" t="n">
        <v>0.260174</v>
      </c>
      <c r="AK4" s="85" t="n">
        <v>0.274515</v>
      </c>
      <c r="AL4" s="85" t="n">
        <v>0.365817</v>
      </c>
      <c r="AM4" s="85" t="n">
        <v>0.394328</v>
      </c>
      <c r="AN4" s="85" t="n">
        <v>0.383285</v>
      </c>
      <c r="AO4" s="85" t="n">
        <v>0.391035</v>
      </c>
      <c r="AP4" s="85" t="n">
        <v>0.416161</v>
      </c>
    </row>
    <row r="5" ht="15" customHeight="1" s="62">
      <c r="A5" s="86" t="inlineStr">
        <is>
          <t xml:space="preserve">  Operating Revenue</t>
        </is>
      </c>
      <c r="B5" s="85" t="n"/>
      <c r="C5" s="85" t="n"/>
      <c r="D5" s="85" t="n"/>
      <c r="E5" s="85" t="n"/>
      <c r="F5" s="85" t="n"/>
      <c r="G5" s="85" t="n"/>
      <c r="H5" s="85" t="n"/>
      <c r="I5" s="85" t="n"/>
      <c r="J5" s="85" t="n"/>
      <c r="K5" s="85" t="n"/>
      <c r="L5" s="85" t="n"/>
      <c r="M5" s="85" t="n"/>
      <c r="N5" s="85" t="n"/>
      <c r="O5" s="85" t="n"/>
      <c r="P5" s="85" t="n"/>
      <c r="Q5" s="85" t="n"/>
      <c r="R5" s="85" t="n"/>
      <c r="S5" s="85" t="n"/>
      <c r="T5" s="85" t="n"/>
      <c r="U5" s="85" t="n"/>
      <c r="V5" s="85" t="n"/>
      <c r="W5" s="85" t="n"/>
      <c r="X5" s="85" t="n"/>
      <c r="Y5" s="85" t="n"/>
      <c r="Z5" s="85" t="n"/>
      <c r="AA5" s="85" t="n"/>
      <c r="AB5" s="85" t="n"/>
      <c r="AC5" s="85" t="n"/>
      <c r="AD5" s="85" t="n"/>
      <c r="AE5" s="85" t="n"/>
      <c r="AF5" s="85" t="n"/>
      <c r="AG5" s="85" t="n"/>
      <c r="AH5" s="85" t="n"/>
      <c r="AI5" s="85" t="n"/>
      <c r="AJ5" s="85" t="n"/>
      <c r="AK5" s="85" t="n"/>
      <c r="AL5" s="85" t="n"/>
      <c r="AM5" s="85" t="n"/>
      <c r="AN5" s="85" t="n"/>
      <c r="AO5" s="85" t="n"/>
      <c r="AP5" s="85" t="n"/>
    </row>
    <row r="6" ht="15" customHeight="1" s="62">
      <c r="A6" s="83" t="inlineStr">
        <is>
          <t>Cost of Revenue</t>
        </is>
      </c>
      <c r="B6" s="85" t="n">
        <v>0.001076</v>
      </c>
      <c r="C6" s="85" t="n">
        <v>0.00084</v>
      </c>
      <c r="D6" s="85" t="n">
        <v>0.001226</v>
      </c>
      <c r="E6" s="85" t="n">
        <v>0.001913</v>
      </c>
      <c r="F6" s="85" t="n">
        <v>0.00257</v>
      </c>
      <c r="G6" s="85" t="n">
        <v>0.002403</v>
      </c>
      <c r="H6" s="85" t="n">
        <v>0.00311</v>
      </c>
      <c r="I6" s="85" t="n">
        <v>0.003991</v>
      </c>
      <c r="J6" s="85" t="n">
        <v>0.005249</v>
      </c>
      <c r="K6" s="85" t="n">
        <v>0.006845</v>
      </c>
      <c r="L6" s="85" t="n">
        <v>0.008203999999999999</v>
      </c>
      <c r="M6" s="85" t="n">
        <v>0.008865</v>
      </c>
      <c r="N6" s="85" t="n">
        <v>0.005713</v>
      </c>
      <c r="O6" s="85" t="n">
        <v>0.004462</v>
      </c>
      <c r="P6" s="85" t="n">
        <v>0.004438</v>
      </c>
      <c r="Q6" s="85" t="n">
        <v>0.005817</v>
      </c>
      <c r="R6" s="85" t="n">
        <v>0.004128</v>
      </c>
      <c r="S6" s="85" t="n">
        <v>0.004139</v>
      </c>
      <c r="T6" s="85" t="n">
        <v>0.004499</v>
      </c>
      <c r="U6" s="85" t="n">
        <v>0.006022</v>
      </c>
      <c r="V6" s="85" t="n">
        <v>0.009889</v>
      </c>
      <c r="W6" s="85" t="n">
        <v>0.013717</v>
      </c>
      <c r="X6" s="85" t="n">
        <v>0.015852</v>
      </c>
      <c r="Y6" s="85" t="n">
        <v>0.021334</v>
      </c>
      <c r="Z6" s="85" t="n">
        <v>0.025751</v>
      </c>
      <c r="AA6" s="85" t="n">
        <v>0.039541</v>
      </c>
      <c r="AB6" s="85" t="n">
        <v>0.064431</v>
      </c>
      <c r="AC6" s="85" t="n">
        <v>0.08784599999999999</v>
      </c>
      <c r="AD6" s="85" t="n">
        <v>0.106606</v>
      </c>
      <c r="AE6" s="85" t="n">
        <v>0.112258</v>
      </c>
      <c r="AF6" s="85" t="n">
        <v>0.140089</v>
      </c>
      <c r="AG6" s="85" t="n">
        <v>0.131376</v>
      </c>
      <c r="AH6" s="85" t="n">
        <v>0.141048</v>
      </c>
      <c r="AI6" s="85" t="n">
        <v>0.163756</v>
      </c>
      <c r="AJ6" s="85" t="n">
        <v>0.161782</v>
      </c>
      <c r="AK6" s="85" t="n">
        <v>0.169559</v>
      </c>
      <c r="AL6" s="85" t="n">
        <v>0.212981</v>
      </c>
      <c r="AM6" s="85" t="n">
        <v>0.223546</v>
      </c>
      <c r="AN6" s="85" t="n">
        <v>0.214137</v>
      </c>
      <c r="AO6" s="85" t="n">
        <v>0.210352</v>
      </c>
      <c r="AP6" s="85" t="n">
        <v>0.22096</v>
      </c>
    </row>
    <row r="7" ht="15" customHeight="1" s="62">
      <c r="A7" s="83" t="inlineStr">
        <is>
          <t>Gross Profit</t>
        </is>
      </c>
      <c r="B7" s="85" t="n">
        <v>0.000842</v>
      </c>
      <c r="C7" s="85" t="n">
        <v>0.001062</v>
      </c>
      <c r="D7" s="85" t="n">
        <v>0.001435</v>
      </c>
      <c r="E7" s="85" t="n">
        <v>0.002158</v>
      </c>
      <c r="F7" s="85" t="n">
        <v>0.002714</v>
      </c>
      <c r="G7" s="85" t="n">
        <v>0.003155</v>
      </c>
      <c r="H7" s="85" t="n">
        <v>0.003199</v>
      </c>
      <c r="I7" s="85" t="n">
        <v>0.003095</v>
      </c>
      <c r="J7" s="85" t="n">
        <v>0.002728</v>
      </c>
      <c r="K7" s="85" t="n">
        <v>0.002344</v>
      </c>
      <c r="L7" s="85" t="n">
        <v>0.002858</v>
      </c>
      <c r="M7" s="85" t="n">
        <v>0.000968</v>
      </c>
      <c r="N7" s="85" t="n">
        <v>0.001368</v>
      </c>
      <c r="O7" s="85" t="n">
        <v>0.001479</v>
      </c>
      <c r="P7" s="85" t="n">
        <v>0.001696</v>
      </c>
      <c r="Q7" s="85" t="n">
        <v>0.002166</v>
      </c>
      <c r="R7" s="85" t="n">
        <v>0.001235</v>
      </c>
      <c r="S7" s="85" t="n">
        <v>0.001603</v>
      </c>
      <c r="T7" s="85" t="n">
        <v>0.001708</v>
      </c>
      <c r="U7" s="85" t="n">
        <v>0.002259</v>
      </c>
      <c r="V7" s="85" t="n">
        <v>0.004042</v>
      </c>
      <c r="W7" s="85" t="n">
        <v>0.005598</v>
      </c>
      <c r="X7" s="85" t="n">
        <v>0.008154</v>
      </c>
      <c r="Y7" s="85" t="n">
        <v>0.011145</v>
      </c>
      <c r="Z7" s="85" t="n">
        <v>0.016852</v>
      </c>
      <c r="AA7" s="85" t="n">
        <v>0.025684</v>
      </c>
      <c r="AB7" s="85" t="n">
        <v>0.043818</v>
      </c>
      <c r="AC7" s="85" t="n">
        <v>0.068662</v>
      </c>
      <c r="AD7" s="85" t="n">
        <v>0.064304</v>
      </c>
      <c r="AE7" s="85" t="n">
        <v>0.070537</v>
      </c>
      <c r="AF7" s="85" t="n">
        <v>0.093626</v>
      </c>
      <c r="AG7" s="85" t="n">
        <v>0.084263</v>
      </c>
      <c r="AH7" s="85" t="n">
        <v>0.088186</v>
      </c>
      <c r="AI7" s="85" t="n">
        <v>0.101839</v>
      </c>
      <c r="AJ7" s="85" t="n">
        <v>0.09839199999999999</v>
      </c>
      <c r="AK7" s="85" t="n">
        <v>0.104956</v>
      </c>
      <c r="AL7" s="85" t="n">
        <v>0.152836</v>
      </c>
      <c r="AM7" s="85" t="n">
        <v>0.170782</v>
      </c>
      <c r="AN7" s="85" t="n">
        <v>0.169148</v>
      </c>
      <c r="AO7" s="85" t="n">
        <v>0.180683</v>
      </c>
      <c r="AP7" s="85" t="n">
        <v>0.195201</v>
      </c>
    </row>
    <row r="8" ht="15" customHeight="1" s="62">
      <c r="A8" s="83" t="inlineStr">
        <is>
          <t>Operating Expense</t>
        </is>
      </c>
      <c r="B8" s="85" t="n"/>
      <c r="C8" s="85" t="n"/>
      <c r="D8" s="85" t="n"/>
      <c r="E8" s="85" t="n"/>
      <c r="F8" s="85" t="n"/>
      <c r="G8" s="85" t="n"/>
      <c r="H8" s="85" t="n"/>
      <c r="I8" s="85" t="n"/>
      <c r="J8" s="85" t="n"/>
      <c r="K8" s="85" t="n"/>
      <c r="L8" s="85" t="n"/>
      <c r="M8" s="85" t="n"/>
      <c r="N8" s="85" t="n"/>
      <c r="O8" s="85" t="n"/>
      <c r="P8" s="85" t="n"/>
      <c r="Q8" s="85" t="n"/>
      <c r="R8" s="85" t="n"/>
      <c r="S8" s="85" t="n"/>
      <c r="T8" s="85" t="n"/>
      <c r="U8" s="85" t="n"/>
      <c r="V8" s="85" t="n"/>
      <c r="W8" s="85" t="n"/>
      <c r="X8" s="85" t="n"/>
      <c r="Y8" s="85" t="n"/>
      <c r="Z8" s="85" t="n"/>
      <c r="AA8" s="85" t="n"/>
      <c r="AB8" s="85" t="n"/>
      <c r="AC8" s="85" t="n"/>
      <c r="AD8" s="85" t="n"/>
      <c r="AE8" s="85" t="n"/>
      <c r="AF8" s="85" t="n"/>
      <c r="AG8" s="85" t="n"/>
      <c r="AH8" s="85" t="n"/>
      <c r="AI8" s="85" t="n"/>
      <c r="AJ8" s="85" t="n"/>
      <c r="AK8" s="85" t="n"/>
      <c r="AL8" s="85" t="n"/>
      <c r="AM8" s="85" t="n"/>
      <c r="AN8" s="85" t="n"/>
      <c r="AO8" s="85" t="n"/>
      <c r="AP8" s="85" t="n"/>
    </row>
    <row r="9" ht="15" customHeight="1" s="62">
      <c r="A9" s="86" t="inlineStr">
        <is>
          <t xml:space="preserve">  Selling General and Administrative</t>
        </is>
      </c>
      <c r="B9" s="85" t="n">
        <v>0.000653</v>
      </c>
      <c r="C9" s="85" t="n">
        <v>0.000737</v>
      </c>
      <c r="D9" s="85" t="n">
        <v>0.000993</v>
      </c>
      <c r="E9" s="85" t="n">
        <v>0.00146</v>
      </c>
      <c r="F9" s="85" t="n">
        <v>0.001955</v>
      </c>
      <c r="G9" s="85" t="n">
        <v>0.00224</v>
      </c>
      <c r="H9" s="85" t="n">
        <v>0.002547</v>
      </c>
      <c r="I9" s="85" t="n">
        <v>0.002289</v>
      </c>
      <c r="J9" s="85" t="n">
        <v>0.002618</v>
      </c>
      <c r="K9" s="85" t="n">
        <v>0.001384</v>
      </c>
      <c r="L9" s="85" t="n">
        <v>0.001583</v>
      </c>
      <c r="M9" s="85" t="n">
        <v>0.001568</v>
      </c>
      <c r="N9" s="85" t="n">
        <v>0.001286</v>
      </c>
      <c r="O9" s="121" t="n">
        <v>0.000908</v>
      </c>
      <c r="P9" s="121" t="n">
        <v>0.0009959999999999999</v>
      </c>
      <c r="Q9" s="121" t="n">
        <v>0.001166</v>
      </c>
      <c r="R9" s="85" t="n">
        <v>0.001138</v>
      </c>
      <c r="S9" s="85" t="n">
        <v>0.001111</v>
      </c>
      <c r="T9" s="85" t="n">
        <v>0.001212</v>
      </c>
      <c r="U9" s="85" t="n">
        <v>0.001421</v>
      </c>
      <c r="V9" s="85" t="n">
        <v>0.001859</v>
      </c>
      <c r="W9" s="85" t="n">
        <v>0.002433</v>
      </c>
      <c r="X9" s="85" t="n">
        <v>0.002963</v>
      </c>
      <c r="Y9" s="85" t="n">
        <v>0.003761</v>
      </c>
      <c r="Z9" s="85" t="n">
        <v>0.004149</v>
      </c>
      <c r="AA9" s="85" t="n">
        <v>0.005517</v>
      </c>
      <c r="AB9" s="85" t="n">
        <v>0.007599</v>
      </c>
      <c r="AC9" s="85" t="n">
        <v>0.009039999999999999</v>
      </c>
      <c r="AD9" s="85" t="n">
        <v>0.009730000000000001</v>
      </c>
      <c r="AE9" s="85" t="n">
        <v>0.011993</v>
      </c>
      <c r="AF9" s="85" t="n">
        <v>0.014329</v>
      </c>
      <c r="AG9" s="85" t="n">
        <v>0.014194</v>
      </c>
      <c r="AH9" s="85" t="n">
        <v>0.015261</v>
      </c>
      <c r="AI9" s="85" t="n">
        <v>0.016705</v>
      </c>
      <c r="AJ9" s="85" t="n">
        <v>0.018245</v>
      </c>
      <c r="AK9" s="85" t="n">
        <v>0.019916</v>
      </c>
      <c r="AL9" s="85" t="n">
        <v>0.021973</v>
      </c>
      <c r="AM9" s="85" t="n">
        <v>0.025094</v>
      </c>
      <c r="AN9" s="85" t="n">
        <v>0.024932</v>
      </c>
      <c r="AO9" s="85" t="n">
        <v>0.026097</v>
      </c>
      <c r="AP9" s="85" t="n">
        <v>0.027601</v>
      </c>
    </row>
    <row r="10" ht="15" customHeight="1" s="62">
      <c r="A10" s="86" t="inlineStr">
        <is>
          <t xml:space="preserve">  Depreciation Amortization Depletion</t>
        </is>
      </c>
      <c r="B10" s="85" t="n"/>
      <c r="C10" s="85" t="n"/>
      <c r="D10" s="85" t="n"/>
      <c r="E10" s="85" t="n"/>
      <c r="F10" s="85" t="n"/>
      <c r="G10" s="85" t="n"/>
      <c r="H10" s="85" t="n"/>
      <c r="I10" s="85" t="n"/>
      <c r="J10" s="85" t="n"/>
      <c r="K10" s="85" t="n"/>
      <c r="L10" s="85" t="n"/>
      <c r="M10" s="85" t="n"/>
      <c r="N10" s="85" t="n"/>
      <c r="O10" s="85" t="n"/>
      <c r="P10" s="85" t="n"/>
      <c r="Q10" s="85" t="n"/>
      <c r="R10" s="85" t="n"/>
      <c r="S10" s="85" t="n"/>
      <c r="T10" s="85" t="n"/>
      <c r="U10" s="85" t="n"/>
      <c r="V10" s="85" t="n"/>
      <c r="W10" s="85" t="n"/>
      <c r="X10" s="85" t="n"/>
      <c r="Y10" s="85" t="n"/>
      <c r="Z10" s="85" t="n"/>
      <c r="AA10" s="85" t="n"/>
      <c r="AB10" s="85" t="n"/>
      <c r="AC10" s="85" t="n"/>
      <c r="AD10" s="85" t="n"/>
      <c r="AE10" s="85" t="n"/>
      <c r="AF10" s="85" t="n"/>
      <c r="AG10" s="85" t="n"/>
      <c r="AH10" s="85" t="n"/>
      <c r="AI10" s="85" t="n"/>
      <c r="AJ10" s="85" t="n"/>
      <c r="AK10" s="85" t="n"/>
      <c r="AL10" s="85" t="n"/>
      <c r="AM10" s="85" t="n"/>
      <c r="AN10" s="85" t="n"/>
      <c r="AO10" s="85" t="n"/>
      <c r="AP10" s="85" t="n"/>
    </row>
    <row r="11" ht="15" customHeight="1" s="62">
      <c r="A11" s="86" t="inlineStr">
        <is>
          <t xml:space="preserve">    Depreciation &amp; amortization</t>
        </is>
      </c>
      <c r="B11" s="85" t="n"/>
      <c r="C11" s="85" t="n"/>
      <c r="D11" s="85" t="n"/>
      <c r="E11" s="85" t="n"/>
      <c r="F11" s="85" t="n"/>
      <c r="G11" s="85" t="n"/>
      <c r="H11" s="85" t="n"/>
      <c r="I11" s="85" t="n"/>
      <c r="J11" s="85" t="n"/>
      <c r="K11" s="85" t="n"/>
      <c r="L11" s="85" t="n"/>
      <c r="M11" s="85" t="n"/>
      <c r="N11" s="85" t="n"/>
      <c r="O11" s="85" t="n"/>
      <c r="P11" s="85" t="n"/>
      <c r="Q11" s="85" t="n"/>
      <c r="R11" s="85" t="n"/>
      <c r="S11" s="85" t="n"/>
      <c r="T11" s="85" t="n"/>
      <c r="U11" s="85" t="n"/>
      <c r="V11" s="85" t="n"/>
      <c r="W11" s="85" t="n"/>
      <c r="X11" s="85" t="n"/>
      <c r="Y11" s="85" t="n"/>
      <c r="Z11" s="85" t="n"/>
      <c r="AA11" s="85" t="n"/>
      <c r="AB11" s="85" t="n"/>
      <c r="AC11" s="85" t="n"/>
      <c r="AD11" s="85" t="n"/>
      <c r="AE11" s="85" t="n"/>
      <c r="AF11" s="85" t="n"/>
      <c r="AG11" s="85" t="n"/>
      <c r="AH11" s="85" t="n"/>
      <c r="AI11" s="85" t="n"/>
      <c r="AJ11" s="85" t="n"/>
      <c r="AK11" s="85" t="n"/>
      <c r="AL11" s="85" t="n"/>
      <c r="AM11" s="85" t="n"/>
      <c r="AN11" s="85" t="n"/>
      <c r="AO11" s="85" t="n"/>
      <c r="AP11" s="85" t="n"/>
    </row>
    <row r="12" ht="15" customHeight="1" s="62">
      <c r="A12" s="86" t="inlineStr">
        <is>
          <t xml:space="preserve">  Other Operating Expenses</t>
        </is>
      </c>
      <c r="B12" s="85" t="n"/>
    </row>
    <row r="13" ht="15" customHeight="1" s="62">
      <c r="A13" s="83" t="inlineStr">
        <is>
          <t>Operating Income</t>
        </is>
      </c>
      <c r="B13" s="85" t="n">
        <v>0.000147</v>
      </c>
      <c r="C13" s="85" t="n">
        <v>0.000273</v>
      </c>
      <c r="D13" s="85" t="n">
        <v>0.000371</v>
      </c>
      <c r="E13" s="85" t="n">
        <v>0.00062</v>
      </c>
      <c r="F13" s="85" t="n">
        <v>0.000634</v>
      </c>
      <c r="G13" s="85" t="n">
        <v>0.000712</v>
      </c>
      <c r="H13" s="85" t="n">
        <v>0.000447</v>
      </c>
      <c r="I13" s="85" t="n">
        <v>0.000806</v>
      </c>
      <c r="J13" s="85" t="n">
        <v>0.00011</v>
      </c>
      <c r="K13" s="85" t="n">
        <v>0.000522</v>
      </c>
      <c r="L13" s="85" t="n">
        <v>0.000684</v>
      </c>
      <c r="M13" s="85" t="n">
        <v>-0.001383</v>
      </c>
      <c r="N13" s="85" t="n">
        <v>-0.00107</v>
      </c>
      <c r="O13" s="85" t="n">
        <v>0.000261</v>
      </c>
      <c r="P13" s="85" t="n">
        <v>0.000359</v>
      </c>
      <c r="Q13" s="85" t="n">
        <v>0.000522</v>
      </c>
      <c r="R13" s="85" t="n">
        <v>-0.000344</v>
      </c>
      <c r="S13" s="85" t="n">
        <v>1.7e-05</v>
      </c>
      <c r="T13" s="85" t="n">
        <v>-1e-06</v>
      </c>
      <c r="U13" s="85" t="n">
        <v>0.000313</v>
      </c>
      <c r="V13" s="85" t="n">
        <v>0.001643</v>
      </c>
      <c r="W13" s="85" t="n">
        <v>0.002453</v>
      </c>
      <c r="X13" s="85" t="n">
        <v>0.004409</v>
      </c>
      <c r="Y13" s="85" t="n">
        <v>0.006275</v>
      </c>
      <c r="Z13" s="85" t="n">
        <v>0.01137</v>
      </c>
      <c r="AA13" s="85" t="n">
        <v>0.018385</v>
      </c>
      <c r="AB13" s="85" t="n">
        <v>0.03379</v>
      </c>
      <c r="AC13" s="85" t="n">
        <v>0.055241</v>
      </c>
      <c r="AD13" s="85" t="n">
        <v>0.048999</v>
      </c>
      <c r="AE13" s="85" t="n">
        <v>0.052503</v>
      </c>
      <c r="AF13" s="85" t="n">
        <v>0.07123</v>
      </c>
      <c r="AG13" s="85" t="n">
        <v>0.060024</v>
      </c>
      <c r="AH13" s="85" t="n">
        <v>0.061344</v>
      </c>
      <c r="AI13" s="85" t="n">
        <v>0.070898</v>
      </c>
      <c r="AJ13" s="85" t="n">
        <v>0.06393</v>
      </c>
      <c r="AK13" s="85" t="n">
        <v>0.066288</v>
      </c>
      <c r="AL13" s="85" t="n">
        <v>0.108949</v>
      </c>
      <c r="AM13" s="85" t="n">
        <v>0.119437</v>
      </c>
      <c r="AN13" s="85" t="n">
        <v>0.114301</v>
      </c>
      <c r="AO13" s="85" t="n">
        <v>0.123216</v>
      </c>
      <c r="AP13" s="85" t="n">
        <v>0.13305</v>
      </c>
    </row>
    <row r="14" ht="15" customHeight="1" s="62">
      <c r="A14" s="83" t="inlineStr">
        <is>
          <t>Net Non Operating Interest Income Expense</t>
        </is>
      </c>
      <c r="I14" s="85" t="n"/>
      <c r="J14" s="85" t="n"/>
      <c r="K14" s="85" t="n"/>
      <c r="L14" s="85" t="n"/>
      <c r="M14" s="85" t="n"/>
      <c r="N14" s="85" t="n"/>
      <c r="O14" s="85" t="n"/>
      <c r="P14" s="85" t="n"/>
      <c r="Q14" s="85" t="n"/>
      <c r="R14" s="85" t="n"/>
      <c r="S14" s="85" t="n"/>
      <c r="T14" s="85" t="n"/>
      <c r="U14" s="85" t="n"/>
      <c r="V14" s="85" t="n"/>
      <c r="W14" s="85" t="n"/>
      <c r="X14" s="85" t="n"/>
      <c r="Y14" s="85" t="n"/>
      <c r="Z14" s="85" t="n"/>
      <c r="AA14" s="85" t="n"/>
      <c r="AB14" s="85" t="n"/>
      <c r="AC14" s="85" t="n"/>
      <c r="AD14" s="85" t="n"/>
      <c r="AE14" s="85" t="n"/>
      <c r="AF14" s="85" t="n"/>
      <c r="AG14" s="85" t="n"/>
      <c r="AH14" s="85" t="n"/>
      <c r="AI14" s="85" t="n"/>
      <c r="AJ14" s="85" t="n"/>
      <c r="AK14" s="85" t="n"/>
      <c r="AL14" s="85" t="n"/>
      <c r="AM14" s="85" t="n"/>
      <c r="AN14" s="85" t="n"/>
      <c r="AO14" s="85" t="n"/>
      <c r="AP14" s="85" t="n"/>
    </row>
    <row r="15" ht="15" customHeight="1" s="62">
      <c r="A15" s="86" t="inlineStr">
        <is>
          <t xml:space="preserve">  Interest Income Non Operating</t>
        </is>
      </c>
      <c r="O15" s="85" t="n"/>
      <c r="P15" s="85" t="n"/>
      <c r="Q15" s="85" t="n"/>
      <c r="R15" s="85" t="n"/>
      <c r="S15" s="85" t="n"/>
      <c r="T15" s="85" t="n"/>
      <c r="U15" s="85" t="n"/>
      <c r="V15" s="85" t="n"/>
      <c r="W15" s="85" t="n"/>
    </row>
    <row r="16" ht="15" customHeight="1" s="62">
      <c r="A16" s="86" t="inlineStr">
        <is>
          <t xml:space="preserve">  Interest Expense Non Operating</t>
        </is>
      </c>
      <c r="I16" s="85" t="n"/>
      <c r="J16" s="85" t="n"/>
      <c r="K16" s="85" t="n"/>
      <c r="L16" s="85" t="n"/>
      <c r="M16" s="85" t="n"/>
      <c r="N16" s="85" t="n"/>
      <c r="O16" s="85" t="n"/>
      <c r="P16" s="85" t="n"/>
      <c r="Q16" s="85" t="n"/>
      <c r="R16" s="85" t="n"/>
      <c r="S16" s="85" t="n"/>
      <c r="T16" s="85" t="n"/>
      <c r="U16" s="85" t="n"/>
      <c r="V16" s="85" t="n"/>
      <c r="W16" s="85" t="n"/>
      <c r="X16" s="85" t="n"/>
      <c r="Y16" s="85" t="n"/>
      <c r="Z16" s="85" t="n"/>
      <c r="AA16" s="85" t="n"/>
      <c r="AB16" s="85" t="n"/>
      <c r="AC16" s="85" t="n"/>
      <c r="AD16" s="85" t="n"/>
      <c r="AE16" s="85" t="n"/>
      <c r="AF16" s="85" t="n"/>
      <c r="AG16" s="85" t="n"/>
      <c r="AH16" s="85" t="n"/>
      <c r="AI16" s="85" t="n"/>
      <c r="AJ16" s="85" t="n"/>
      <c r="AK16" s="85" t="n"/>
      <c r="AL16" s="85" t="n"/>
      <c r="AM16" s="85" t="n"/>
      <c r="AN16" s="85" t="n"/>
      <c r="AO16" s="85" t="n"/>
      <c r="AP16" s="85" t="n"/>
    </row>
    <row r="17" ht="15" customHeight="1" s="62">
      <c r="A17" s="83" t="inlineStr">
        <is>
          <t>Other Income Expense</t>
        </is>
      </c>
      <c r="B17" s="85" t="n"/>
      <c r="C17" s="85" t="n"/>
      <c r="D17" s="85" t="n"/>
      <c r="E17" s="85" t="n"/>
      <c r="F17" s="85" t="n"/>
      <c r="G17" s="85" t="n"/>
      <c r="H17" s="85" t="n"/>
      <c r="I17" s="85" t="n"/>
      <c r="J17" s="85" t="n"/>
      <c r="K17" s="85" t="n"/>
      <c r="L17" s="85" t="n"/>
      <c r="M17" s="85" t="n"/>
      <c r="N17" s="85" t="n"/>
      <c r="O17" s="85" t="n"/>
      <c r="P17" s="85" t="n"/>
      <c r="Q17" s="85" t="n"/>
      <c r="R17" s="85" t="n"/>
      <c r="S17" s="85" t="n"/>
      <c r="T17" s="85" t="n"/>
      <c r="U17" s="85" t="n"/>
      <c r="V17" s="85" t="n"/>
      <c r="W17" s="85" t="n"/>
      <c r="X17" s="85" t="n"/>
      <c r="Y17" s="85" t="n"/>
      <c r="Z17" s="85" t="n"/>
      <c r="AA17" s="85" t="n"/>
      <c r="AB17" s="85" t="n"/>
      <c r="AC17" s="85" t="n"/>
      <c r="AD17" s="85" t="n"/>
      <c r="AE17" s="85" t="n"/>
      <c r="AF17" s="85" t="n"/>
      <c r="AG17" s="85" t="n"/>
      <c r="AH17" s="85" t="n"/>
      <c r="AI17" s="85" t="n"/>
      <c r="AJ17" s="85" t="n"/>
      <c r="AK17" s="85" t="n"/>
      <c r="AL17" s="85" t="n"/>
      <c r="AM17" s="85" t="n"/>
      <c r="AN17" s="85" t="n"/>
      <c r="AO17" s="85" t="n"/>
      <c r="AP17" s="85" t="n"/>
    </row>
    <row r="18" ht="15" customHeight="1" s="62">
      <c r="A18" s="86" t="inlineStr">
        <is>
          <t xml:space="preserve">  Earnings from Equity Interest</t>
        </is>
      </c>
      <c r="I18" s="85" t="n"/>
      <c r="J18" s="85" t="n"/>
      <c r="K18" s="85" t="n"/>
      <c r="L18" s="85" t="n"/>
      <c r="M18" s="85" t="n"/>
      <c r="N18" s="85" t="n"/>
      <c r="O18" s="85" t="n"/>
      <c r="P18" s="85" t="n"/>
      <c r="Q18" s="85" t="n"/>
      <c r="R18" s="85" t="n"/>
      <c r="S18" s="85" t="n"/>
      <c r="T18" s="85" t="n"/>
      <c r="U18" s="85" t="n"/>
      <c r="V18" s="85" t="n"/>
      <c r="W18" s="85" t="n"/>
      <c r="X18" s="85" t="n"/>
      <c r="Y18" s="85" t="n"/>
      <c r="Z18" s="85" t="n"/>
      <c r="AA18" s="85" t="n"/>
      <c r="AB18" s="85" t="n"/>
      <c r="AC18" s="85" t="n"/>
      <c r="AD18" s="85" t="n"/>
      <c r="AE18" s="85" t="n"/>
      <c r="AF18" s="85" t="n"/>
      <c r="AG18" s="85" t="n"/>
      <c r="AH18" s="85" t="n"/>
      <c r="AI18" s="85" t="n"/>
      <c r="AJ18" s="85" t="n"/>
      <c r="AK18" s="85" t="n"/>
      <c r="AL18" s="85" t="n"/>
      <c r="AM18" s="85" t="n"/>
      <c r="AN18" s="85" t="n"/>
      <c r="AO18" s="85" t="n"/>
      <c r="AP18" s="85" t="n"/>
    </row>
    <row r="19" ht="15" customHeight="1" s="62">
      <c r="A19" s="86" t="inlineStr">
        <is>
          <t xml:space="preserve">  Special Income Charges</t>
        </is>
      </c>
      <c r="B19" s="85" t="n"/>
      <c r="C19" s="85" t="n"/>
      <c r="D19" s="85" t="n"/>
      <c r="E19" s="85" t="n"/>
      <c r="F19" s="85" t="n"/>
      <c r="G19" s="85" t="n"/>
      <c r="H19" s="85" t="n"/>
      <c r="I19" s="85" t="n"/>
      <c r="J19" s="85" t="n"/>
      <c r="K19" s="85" t="n"/>
      <c r="L19" s="85" t="n"/>
      <c r="M19" s="85" t="n"/>
      <c r="N19" s="85" t="n"/>
      <c r="O19" s="85" t="n"/>
      <c r="P19" s="85" t="n"/>
      <c r="Q19" s="85" t="n"/>
      <c r="R19" s="85" t="n"/>
      <c r="S19" s="85" t="n"/>
      <c r="T19" s="85" t="n"/>
      <c r="U19" s="85" t="n"/>
      <c r="V19" s="85" t="n"/>
      <c r="W19" s="85" t="n"/>
      <c r="X19" s="85" t="n"/>
      <c r="Y19" s="85" t="n"/>
      <c r="Z19" s="85" t="n"/>
      <c r="AA19" s="85" t="n"/>
      <c r="AB19" s="85" t="n"/>
      <c r="AC19" s="85" t="n"/>
      <c r="AD19" s="85" t="n"/>
      <c r="AE19" s="85" t="n"/>
      <c r="AF19" s="85" t="n"/>
      <c r="AG19" s="85" t="n"/>
      <c r="AH19" s="85" t="n"/>
      <c r="AI19" s="85" t="n"/>
      <c r="AJ19" s="85" t="n"/>
      <c r="AK19" s="85" t="n"/>
      <c r="AL19" s="85" t="n"/>
      <c r="AM19" s="85" t="n"/>
      <c r="AN19" s="85" t="n"/>
      <c r="AO19" s="85" t="n"/>
      <c r="AP19" s="85" t="n"/>
    </row>
    <row r="20" ht="15" customHeight="1" s="62">
      <c r="A20" s="86" t="inlineStr">
        <is>
          <t xml:space="preserve">    Restructuring &amp; Mergers Acquisition</t>
        </is>
      </c>
      <c r="AM20" s="85" t="n"/>
    </row>
    <row r="21" ht="15" customHeight="1" s="62">
      <c r="A21" s="86" t="inlineStr">
        <is>
          <t xml:space="preserve">    Impairment of Capital Assets</t>
        </is>
      </c>
      <c r="Z21" s="85" t="n"/>
      <c r="AA21" s="85" t="n"/>
      <c r="AB21" s="85" t="n"/>
      <c r="AC21" s="85" t="n"/>
      <c r="AD21" s="85" t="n"/>
      <c r="AE21" s="85" t="n"/>
      <c r="AF21" s="85" t="n"/>
      <c r="AG21" s="85" t="n"/>
      <c r="AH21" s="85" t="n"/>
      <c r="AI21" s="85" t="n"/>
      <c r="AJ21" s="85" t="n"/>
      <c r="AK21" s="85" t="n"/>
      <c r="AL21" s="85" t="n"/>
      <c r="AM21" s="85" t="n"/>
    </row>
    <row r="22" ht="15" customHeight="1" s="62">
      <c r="A22" s="86" t="inlineStr">
        <is>
          <t xml:space="preserve">    Write Off</t>
        </is>
      </c>
      <c r="AE22" s="85" t="n"/>
      <c r="AF22" s="85" t="n"/>
      <c r="AG22" s="85" t="n"/>
      <c r="AH22" s="85" t="n"/>
      <c r="AI22" s="85" t="n"/>
      <c r="AJ22" s="85" t="n"/>
      <c r="AK22" s="85" t="n"/>
      <c r="AL22" s="85" t="n"/>
      <c r="AM22" s="85" t="n"/>
      <c r="AN22" s="85" t="n"/>
      <c r="AO22" s="85" t="n"/>
      <c r="AP22" s="85" t="n"/>
    </row>
    <row r="23" ht="15" customHeight="1" s="62">
      <c r="A23" s="86" t="inlineStr">
        <is>
          <t xml:space="preserve">    Other Special Charges</t>
        </is>
      </c>
      <c r="AB23" s="85" t="n"/>
    </row>
    <row r="24" ht="15" customHeight="1" s="62">
      <c r="A24" s="86" t="inlineStr">
        <is>
          <t xml:space="preserve">    Gain on Sale of PPE</t>
        </is>
      </c>
      <c r="AC24" s="85" t="n"/>
      <c r="AD24" s="85" t="n"/>
      <c r="AE24" s="85" t="n"/>
      <c r="AF24" s="85" t="n"/>
      <c r="AG24" s="85" t="n"/>
      <c r="AH24" s="85" t="n"/>
      <c r="AI24" s="85" t="n"/>
      <c r="AJ24" s="85" t="n"/>
      <c r="AM24" s="85" t="n"/>
    </row>
    <row r="25" ht="15" customHeight="1" s="62">
      <c r="A25" s="86" t="inlineStr">
        <is>
          <t xml:space="preserve">  Other Non Operating Income Expenses</t>
        </is>
      </c>
      <c r="I25" s="85" t="n"/>
      <c r="J25" s="85" t="n"/>
      <c r="K25" s="85" t="n"/>
      <c r="L25" s="85" t="n"/>
      <c r="M25" s="85" t="n"/>
      <c r="N25" s="85" t="n"/>
      <c r="O25" s="85" t="n"/>
      <c r="P25" s="85" t="n"/>
      <c r="Q25" s="85" t="n"/>
      <c r="R25" s="85" t="n"/>
      <c r="S25" s="85" t="n"/>
      <c r="T25" s="85" t="n"/>
      <c r="U25" s="85" t="n"/>
      <c r="V25" s="85" t="n"/>
      <c r="W25" s="85" t="n"/>
      <c r="X25" s="85" t="n"/>
      <c r="Y25" s="85" t="n"/>
      <c r="Z25" s="85" t="n"/>
      <c r="AA25" s="85" t="n"/>
      <c r="AB25" s="85" t="n"/>
      <c r="AC25" s="85" t="n"/>
      <c r="AD25" s="85" t="n"/>
      <c r="AE25" s="85" t="n"/>
      <c r="AF25" s="85" t="n"/>
      <c r="AG25" s="85" t="n"/>
      <c r="AH25" s="85" t="n"/>
      <c r="AI25" s="85" t="n"/>
      <c r="AJ25" s="85" t="n"/>
      <c r="AK25" s="85" t="n"/>
      <c r="AL25" s="85" t="n"/>
      <c r="AM25" s="85" t="n"/>
      <c r="AN25" s="85" t="n"/>
      <c r="AO25" s="85" t="n"/>
      <c r="AP25" s="85" t="n"/>
    </row>
    <row r="26" ht="15" customHeight="1" s="62">
      <c r="A26" s="83" t="inlineStr">
        <is>
          <t>Pretax Income</t>
        </is>
      </c>
      <c r="B26" s="85" t="n">
        <v>0.00012</v>
      </c>
      <c r="C26" s="85" t="n">
        <v>0.00031</v>
      </c>
      <c r="D26" s="85" t="n">
        <v>0.00041</v>
      </c>
      <c r="E26" s="85" t="n">
        <v>0.000656</v>
      </c>
      <c r="F26" s="85" t="n">
        <v>0.000744</v>
      </c>
      <c r="G26" s="85" t="n">
        <v>0.000779</v>
      </c>
      <c r="H26" s="85" t="n">
        <v>0.0005</v>
      </c>
      <c r="I26" s="85" t="n">
        <v>0.000856</v>
      </c>
      <c r="J26" s="85" t="n">
        <v>0.00014</v>
      </c>
      <c r="K26" s="85" t="n">
        <v>0.0005</v>
      </c>
      <c r="L26" s="85" t="n">
        <v>0.000674</v>
      </c>
      <c r="M26" s="85" t="n">
        <v>-0.001295</v>
      </c>
      <c r="N26" s="85" t="n">
        <v>-0.001045</v>
      </c>
      <c r="O26" s="85" t="n">
        <v>0.000329</v>
      </c>
      <c r="P26" s="85" t="n">
        <v>0.000676</v>
      </c>
      <c r="Q26" s="85" t="n">
        <v>0.001092</v>
      </c>
      <c r="R26" s="85" t="n">
        <v>-5.2e-05</v>
      </c>
      <c r="S26" s="85" t="n">
        <v>8.7e-05</v>
      </c>
      <c r="T26" s="85" t="n">
        <v>9.2e-05</v>
      </c>
      <c r="U26" s="85" t="n">
        <v>0.00037</v>
      </c>
      <c r="V26" s="85" t="n">
        <v>0.001808</v>
      </c>
      <c r="W26" s="85" t="n">
        <v>0.002818</v>
      </c>
      <c r="X26" s="85" t="n">
        <v>0.005008</v>
      </c>
      <c r="Y26" s="85" t="n">
        <v>0.006895</v>
      </c>
      <c r="Z26" s="85" t="n">
        <v>0.012066</v>
      </c>
      <c r="AA26" s="85" t="n">
        <v>0.01854</v>
      </c>
      <c r="AB26" s="85" t="n">
        <v>0.034205</v>
      </c>
      <c r="AC26" s="85" t="n">
        <v>0.055763</v>
      </c>
      <c r="AD26" s="85" t="n">
        <v>0.050155</v>
      </c>
      <c r="AE26" s="85" t="n">
        <v>0.053483</v>
      </c>
      <c r="AF26" s="85" t="n">
        <v>0.072515</v>
      </c>
      <c r="AG26" s="85" t="n">
        <v>0.061372</v>
      </c>
      <c r="AH26" s="85" t="n">
        <v>0.06408899999999999</v>
      </c>
      <c r="AI26" s="85" t="n">
        <v>0.072903</v>
      </c>
      <c r="AJ26" s="85" t="n">
        <v>0.065737</v>
      </c>
      <c r="AK26" s="85" t="n">
        <v>0.067091</v>
      </c>
      <c r="AL26" s="85" t="n">
        <v>0.109207</v>
      </c>
      <c r="AM26" s="85" t="n">
        <v>0.119103</v>
      </c>
      <c r="AN26" s="85" t="n">
        <v>0.113736</v>
      </c>
      <c r="AO26" s="85" t="n">
        <v>0.123485</v>
      </c>
      <c r="AP26" s="85" t="n">
        <v>0.132729</v>
      </c>
    </row>
    <row r="27" ht="15" customHeight="1" s="62">
      <c r="A27" s="83" t="inlineStr">
        <is>
          <t>Tax Provision</t>
        </is>
      </c>
      <c r="B27" s="85" t="n">
        <v>5.9e-05</v>
      </c>
      <c r="C27" s="85" t="n">
        <v>0.000156</v>
      </c>
      <c r="D27" s="85" t="n">
        <v>0.000193</v>
      </c>
      <c r="E27" s="85" t="n">
        <v>0.000256</v>
      </c>
      <c r="F27" s="85" t="n">
        <v>0.00029</v>
      </c>
      <c r="G27" s="85" t="n">
        <v>0.000304</v>
      </c>
      <c r="H27" s="85" t="n">
        <v>0.00019</v>
      </c>
      <c r="I27" s="85" t="n">
        <v>0.000325</v>
      </c>
      <c r="J27" s="85" t="n">
        <v>5.3e-05</v>
      </c>
      <c r="K27" s="85" t="n">
        <v>0.00019</v>
      </c>
      <c r="L27" s="85" t="n">
        <v>0.00025</v>
      </c>
      <c r="M27" s="85" t="n">
        <v>-0.000479</v>
      </c>
      <c r="N27" s="85" t="n">
        <v>0.000281</v>
      </c>
      <c r="O27" s="85" t="n">
        <v>2e-05</v>
      </c>
      <c r="P27" s="85" t="n">
        <v>7.499999999999999e-05</v>
      </c>
      <c r="Q27" s="85" t="n">
        <v>0.000306</v>
      </c>
      <c r="R27" s="85" t="n">
        <v>-1.5e-05</v>
      </c>
      <c r="S27" s="85" t="n">
        <v>2.2e-05</v>
      </c>
      <c r="T27" s="85" t="n">
        <v>2.4e-05</v>
      </c>
      <c r="U27" s="85" t="n">
        <v>0.000104</v>
      </c>
      <c r="V27" s="85" t="n">
        <v>0.00048</v>
      </c>
      <c r="W27" s="85" t="n">
        <v>0.000829</v>
      </c>
      <c r="X27" s="85" t="n">
        <v>0.001512</v>
      </c>
      <c r="Y27" s="85" t="n">
        <v>0.002061</v>
      </c>
      <c r="Z27" s="85" t="n">
        <v>0.003831</v>
      </c>
      <c r="AA27" s="85" t="n">
        <v>0.004527</v>
      </c>
      <c r="AB27" s="85" t="n">
        <v>0.008283</v>
      </c>
      <c r="AC27" s="85" t="n">
        <v>0.01403</v>
      </c>
      <c r="AD27" s="85" t="n">
        <v>0.013118</v>
      </c>
      <c r="AE27" s="85" t="n">
        <v>0.013973</v>
      </c>
      <c r="AF27" s="85" t="n">
        <v>0.019121</v>
      </c>
      <c r="AG27" s="85" t="n">
        <v>0.015685</v>
      </c>
      <c r="AH27" s="85" t="n">
        <v>0.015738</v>
      </c>
      <c r="AI27" s="85" t="n">
        <v>0.013372</v>
      </c>
      <c r="AJ27" s="85" t="n">
        <v>0.010481</v>
      </c>
      <c r="AK27" s="85" t="n">
        <v>0.009679999999999999</v>
      </c>
      <c r="AL27" s="85" t="n">
        <v>0.014527</v>
      </c>
      <c r="AM27" s="85" t="n">
        <v>0.0193</v>
      </c>
      <c r="AN27" s="85" t="n">
        <v>0.016741</v>
      </c>
      <c r="AO27" s="85" t="n">
        <v>0.029749</v>
      </c>
      <c r="AP27" s="85" t="n">
        <v>0.020719</v>
      </c>
    </row>
    <row r="28" ht="15" customHeight="1" s="62">
      <c r="A28" s="83" t="inlineStr">
        <is>
          <t>Net Income Common Stockholders</t>
        </is>
      </c>
      <c r="B28" s="85" t="n"/>
      <c r="C28" s="85" t="n"/>
      <c r="D28" s="85" t="n"/>
      <c r="E28" s="85" t="n"/>
      <c r="F28" s="85" t="n"/>
      <c r="G28" s="85" t="n"/>
      <c r="H28" s="85" t="n"/>
      <c r="I28" s="85" t="n"/>
      <c r="J28" s="85" t="n"/>
      <c r="K28" s="85" t="n"/>
      <c r="L28" s="85" t="n"/>
      <c r="M28" s="85" t="n"/>
      <c r="N28" s="85" t="n"/>
      <c r="O28" s="85" t="n"/>
      <c r="P28" s="85" t="n"/>
      <c r="Q28" s="85" t="n">
        <v>0.000786</v>
      </c>
      <c r="R28" s="85" t="n"/>
      <c r="S28" s="85" t="n">
        <v>6.499999999999999e-05</v>
      </c>
      <c r="T28" s="85" t="n">
        <v>6.8e-05</v>
      </c>
      <c r="U28" s="85" t="n">
        <v>0.000276</v>
      </c>
      <c r="V28" s="85" t="n">
        <v>0.001335</v>
      </c>
      <c r="W28" s="85" t="n">
        <v>0.001989</v>
      </c>
      <c r="X28" s="85" t="n">
        <v>0.003496</v>
      </c>
      <c r="Y28" s="85" t="n">
        <v>0.004834</v>
      </c>
      <c r="Z28" s="85" t="n">
        <v>0.008234999999999999</v>
      </c>
      <c r="AA28" s="85" t="n">
        <v>0.014013</v>
      </c>
      <c r="AB28" s="85" t="n">
        <v>0.025922</v>
      </c>
      <c r="AC28" s="85" t="n">
        <v>0.041733</v>
      </c>
      <c r="AD28" s="85" t="n">
        <v>0.037037</v>
      </c>
      <c r="AE28" s="85" t="n">
        <v>0.03951</v>
      </c>
      <c r="AF28" s="85" t="n">
        <v>0.053394</v>
      </c>
      <c r="AG28" s="85" t="n">
        <v>0.045687</v>
      </c>
      <c r="AH28" s="85" t="n">
        <v>0.048351</v>
      </c>
      <c r="AI28" s="85" t="n">
        <v>0.059531</v>
      </c>
      <c r="AJ28" s="85" t="n">
        <v>0.055256</v>
      </c>
      <c r="AK28" s="85" t="n">
        <v>0.057411</v>
      </c>
      <c r="AL28" s="85" t="n">
        <v>0.09468</v>
      </c>
      <c r="AM28" s="85" t="n">
        <v>0.099803</v>
      </c>
      <c r="AN28" s="85" t="n">
        <v>0.096995</v>
      </c>
      <c r="AO28" s="85" t="n">
        <v>0.093736</v>
      </c>
      <c r="AP28" s="85" t="n">
        <v>0.11201</v>
      </c>
    </row>
    <row r="29" ht="15" customHeight="1" s="62">
      <c r="A29" s="86" t="inlineStr">
        <is>
          <t xml:space="preserve">  Net Income</t>
        </is>
      </c>
      <c r="B29" s="85" t="n"/>
      <c r="C29" s="85" t="n"/>
      <c r="D29" s="85" t="n"/>
      <c r="E29" s="85" t="n"/>
      <c r="F29" s="85" t="n"/>
      <c r="G29" s="85" t="n"/>
      <c r="H29" s="85" t="n"/>
      <c r="I29" s="85" t="n"/>
      <c r="J29" s="85" t="n"/>
      <c r="K29" s="85" t="n"/>
      <c r="L29" s="85" t="n"/>
      <c r="M29" s="85" t="n"/>
      <c r="N29" s="85" t="n"/>
      <c r="O29" s="85" t="n"/>
      <c r="P29" s="85" t="n"/>
      <c r="Q29" s="85" t="n"/>
      <c r="R29" s="85" t="n"/>
      <c r="S29" s="85" t="n"/>
      <c r="T29" s="85" t="n"/>
      <c r="U29" s="85" t="n"/>
      <c r="V29" s="85" t="n"/>
      <c r="W29" s="85" t="n"/>
      <c r="X29" s="85" t="n"/>
      <c r="Y29" s="85" t="n"/>
      <c r="Z29" s="85" t="n"/>
      <c r="AA29" s="85" t="n"/>
      <c r="AB29" s="85" t="n"/>
      <c r="AC29" s="85" t="n"/>
      <c r="AD29" s="85" t="n"/>
      <c r="AE29" s="85" t="n"/>
      <c r="AF29" s="85" t="n"/>
      <c r="AG29" s="85" t="n"/>
      <c r="AH29" s="85" t="n"/>
      <c r="AI29" s="85" t="n"/>
      <c r="AJ29" s="85" t="n"/>
      <c r="AK29" s="85" t="n"/>
      <c r="AL29" s="85" t="n"/>
      <c r="AM29" s="85" t="n"/>
      <c r="AN29" s="85" t="n"/>
      <c r="AO29" s="85" t="n"/>
      <c r="AP29" s="85" t="n"/>
    </row>
    <row r="30" ht="15" customHeight="1" s="62">
      <c r="A30" s="86" t="inlineStr">
        <is>
          <t xml:space="preserve">    Net Income Including Non-Controlling Interests</t>
        </is>
      </c>
      <c r="B30" s="85" t="n"/>
      <c r="C30" s="85" t="n"/>
      <c r="D30" s="85" t="n"/>
      <c r="E30" s="85" t="n"/>
      <c r="F30" s="85" t="n"/>
      <c r="G30" s="85" t="n"/>
      <c r="H30" s="85" t="n"/>
      <c r="I30" s="85" t="n"/>
      <c r="J30" s="85" t="n"/>
      <c r="K30" s="85" t="n"/>
      <c r="L30" s="85" t="n"/>
      <c r="M30" s="85" t="n"/>
      <c r="N30" s="85" t="n"/>
      <c r="O30" s="85" t="n"/>
      <c r="P30" s="85" t="n"/>
      <c r="Q30" s="85" t="n"/>
      <c r="R30" s="85" t="n"/>
      <c r="S30" s="85" t="n"/>
      <c r="T30" s="85" t="n"/>
      <c r="U30" s="85" t="n"/>
      <c r="V30" s="85" t="n"/>
      <c r="W30" s="85" t="n"/>
      <c r="X30" s="85" t="n"/>
      <c r="Y30" s="85" t="n"/>
      <c r="Z30" s="85" t="n"/>
      <c r="AA30" s="85" t="n"/>
      <c r="AB30" s="85" t="n"/>
      <c r="AC30" s="85" t="n"/>
      <c r="AD30" s="85" t="n"/>
      <c r="AE30" s="85" t="n"/>
      <c r="AF30" s="85" t="n"/>
      <c r="AG30" s="85" t="n"/>
      <c r="AH30" s="85" t="n"/>
      <c r="AI30" s="85" t="n"/>
      <c r="AJ30" s="85" t="n"/>
      <c r="AK30" s="85" t="n"/>
      <c r="AL30" s="85" t="n"/>
      <c r="AM30" s="85" t="n"/>
      <c r="AN30" s="85" t="n"/>
      <c r="AO30" s="85" t="n"/>
      <c r="AP30" s="85" t="n"/>
    </row>
    <row r="31" ht="15" customHeight="1" s="62">
      <c r="A31" s="86" t="inlineStr">
        <is>
          <t xml:space="preserve">      Net Income Continuous Operations</t>
        </is>
      </c>
      <c r="B31" s="85" t="n"/>
      <c r="C31" s="85" t="n"/>
      <c r="D31" s="85" t="n"/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5" t="n"/>
      <c r="O31" s="85" t="n"/>
      <c r="P31" s="85" t="n"/>
      <c r="Q31" s="85" t="n"/>
      <c r="R31" s="85" t="n"/>
      <c r="S31" s="85" t="n"/>
      <c r="T31" s="85" t="n"/>
      <c r="U31" s="85" t="n"/>
      <c r="V31" s="85" t="n"/>
      <c r="W31" s="85" t="n"/>
      <c r="X31" s="85" t="n"/>
      <c r="Y31" s="85" t="n"/>
      <c r="Z31" s="85" t="n"/>
      <c r="AA31" s="85" t="n"/>
      <c r="AB31" s="85" t="n"/>
      <c r="AC31" s="85" t="n"/>
      <c r="AD31" s="85" t="n"/>
      <c r="AE31" s="85" t="n"/>
      <c r="AF31" s="85" t="n"/>
      <c r="AG31" s="85" t="n"/>
      <c r="AH31" s="85" t="n"/>
      <c r="AI31" s="85" t="n"/>
      <c r="AJ31" s="85" t="n"/>
      <c r="AK31" s="85" t="n"/>
      <c r="AL31" s="85" t="n"/>
      <c r="AM31" s="85" t="n"/>
      <c r="AN31" s="85" t="n"/>
      <c r="AO31" s="85" t="n"/>
      <c r="AP31" s="85" t="n"/>
    </row>
    <row r="32" ht="15" customHeight="1" s="62">
      <c r="A32" s="86" t="inlineStr">
        <is>
          <t xml:space="preserve">      Net Income Discontinuous Operations</t>
        </is>
      </c>
      <c r="S32" s="85" t="n"/>
      <c r="T32" s="85" t="n"/>
      <c r="U32" s="85" t="n"/>
      <c r="V32" s="85" t="n"/>
      <c r="W32" s="85" t="n"/>
      <c r="Y32" s="85" t="n"/>
      <c r="Z32" s="85" t="n"/>
      <c r="AA32" s="85" t="n"/>
      <c r="AB32" s="85" t="n"/>
      <c r="AC32" s="85" t="n"/>
      <c r="AK32" s="85" t="n"/>
      <c r="AL32" s="85" t="n"/>
      <c r="AM32" s="85" t="n"/>
      <c r="AN32" s="85" t="n"/>
      <c r="AO32" s="85" t="n"/>
    </row>
    <row r="33" ht="15" customHeight="1" s="62">
      <c r="A33" s="86" t="inlineStr">
        <is>
          <t xml:space="preserve">      Net Income Extraordinary</t>
        </is>
      </c>
      <c r="I33" s="85" t="n"/>
      <c r="J33" s="85" t="n"/>
      <c r="K33" s="85" t="n"/>
      <c r="L33" s="85" t="n"/>
      <c r="M33" s="85" t="n"/>
      <c r="N33" s="85" t="n"/>
      <c r="O33" s="85" t="n"/>
      <c r="P33" s="85" t="n"/>
      <c r="Q33" s="85" t="n"/>
      <c r="R33" s="85" t="n"/>
      <c r="S33" s="85" t="n"/>
      <c r="T33" s="85" t="n"/>
      <c r="U33" s="85" t="n"/>
      <c r="V33" s="85" t="n"/>
    </row>
    <row r="34" ht="15" customHeight="1" s="62">
      <c r="A34" s="86" t="inlineStr">
        <is>
          <t xml:space="preserve">      Net Income from Tax Loss Carryforward</t>
        </is>
      </c>
      <c r="I34" s="85" t="n"/>
      <c r="J34" s="85" t="n"/>
      <c r="K34" s="85" t="n"/>
      <c r="L34" s="85" t="n"/>
      <c r="M34" s="85" t="n"/>
      <c r="N34" s="85" t="n"/>
      <c r="O34" s="85" t="n"/>
      <c r="P34" s="85" t="n"/>
      <c r="Q34" s="85" t="n"/>
      <c r="R34" s="85" t="n"/>
      <c r="S34" s="85" t="n"/>
      <c r="T34" s="85" t="n"/>
      <c r="U34" s="85" t="n"/>
      <c r="V34" s="85" t="n"/>
    </row>
    <row r="35" ht="15" customHeight="1" s="62">
      <c r="A35" s="86" t="inlineStr">
        <is>
          <t xml:space="preserve">    Minority Interests</t>
        </is>
      </c>
      <c r="X35" s="85" t="n"/>
      <c r="Y35" s="85" t="n"/>
      <c r="Z35" s="85" t="n"/>
      <c r="AA35" s="85" t="n"/>
      <c r="AB35" s="85" t="n"/>
      <c r="AC35" s="85" t="n"/>
      <c r="AD35" s="85" t="n"/>
      <c r="AE35" s="85" t="n"/>
      <c r="AF35" s="85" t="n"/>
      <c r="AG35" s="85" t="n"/>
      <c r="AH35" s="85" t="n"/>
      <c r="AI35" s="85" t="n"/>
      <c r="AJ35" s="85" t="n"/>
      <c r="AK35" s="85" t="n"/>
      <c r="AL35" s="85" t="n"/>
      <c r="AM35" s="85" t="n"/>
      <c r="AN35" s="85" t="n"/>
      <c r="AO35" s="85" t="n"/>
      <c r="AP35" s="85" t="n"/>
    </row>
    <row r="36" ht="15" customHeight="1" s="62">
      <c r="A36" s="86" t="inlineStr">
        <is>
          <t xml:space="preserve">  Preferred Stock Dividends</t>
        </is>
      </c>
      <c r="AJ36" s="85" t="n"/>
      <c r="AK36" s="85" t="n"/>
      <c r="AL36" s="85" t="n"/>
      <c r="AM36" s="85" t="n"/>
      <c r="AN36" s="85" t="n"/>
      <c r="AO36" s="85" t="n"/>
      <c r="AP36" s="85" t="n"/>
    </row>
    <row r="37" ht="15" customHeight="1" s="62">
      <c r="A37" s="86" t="inlineStr">
        <is>
          <t xml:space="preserve">  Otherunder Preferred Stock Dividend</t>
        </is>
      </c>
      <c r="AK37" s="85" t="n"/>
      <c r="AL37" s="85" t="n"/>
      <c r="AM37" s="85" t="n"/>
      <c r="AN37" s="85" t="n"/>
      <c r="AO37" s="85" t="n"/>
    </row>
    <row r="38" ht="15" customHeight="1" s="62">
      <c r="A38" s="83" t="inlineStr">
        <is>
          <t>Average Dilution Earnings</t>
        </is>
      </c>
      <c r="L38" s="87" t="n"/>
      <c r="M38" s="87" t="n"/>
      <c r="N38" s="87" t="n"/>
      <c r="O38" s="87" t="n"/>
      <c r="P38" s="87" t="n"/>
      <c r="Q38" s="87" t="n"/>
      <c r="R38" s="87" t="n"/>
      <c r="S38" s="87" t="n"/>
      <c r="T38" s="87" t="n"/>
      <c r="U38" s="87" t="n"/>
      <c r="V38" s="87" t="n"/>
      <c r="W38" s="87" t="n"/>
      <c r="X38" s="87" t="n"/>
      <c r="Y38" s="87" t="n"/>
      <c r="Z38" s="87" t="n"/>
      <c r="AA38" s="87" t="n"/>
      <c r="AB38" s="87" t="n"/>
      <c r="AC38" s="87" t="n"/>
      <c r="AD38" s="87" t="n"/>
      <c r="AE38" s="87" t="n"/>
      <c r="AF38" s="87" t="n"/>
      <c r="AG38" s="87" t="n"/>
      <c r="AH38" s="87" t="n"/>
      <c r="AI38" s="87" t="n"/>
      <c r="AJ38" s="87" t="n"/>
      <c r="AK38" s="87" t="n"/>
      <c r="AL38" s="87" t="n"/>
      <c r="AM38" s="87" t="n"/>
      <c r="AN38" s="87" t="n"/>
      <c r="AO38" s="87" t="n"/>
      <c r="AP38" s="87" t="n"/>
    </row>
    <row r="39" ht="15" customHeight="1" s="62">
      <c r="A39" s="83" t="inlineStr">
        <is>
          <t>Diluted NI Available to Com Stockholders</t>
        </is>
      </c>
      <c r="B39" s="85" t="n"/>
      <c r="C39" s="85" t="n"/>
      <c r="D39" s="85" t="n"/>
      <c r="E39" s="85" t="n"/>
      <c r="F39" s="85" t="n"/>
      <c r="G39" s="85" t="n"/>
      <c r="H39" s="85" t="n"/>
      <c r="I39" s="85" t="n"/>
      <c r="J39" s="85" t="n"/>
      <c r="K39" s="85" t="n"/>
      <c r="L39" s="85" t="n"/>
      <c r="M39" s="85" t="n"/>
      <c r="N39" s="85" t="n"/>
      <c r="O39" s="85" t="n"/>
      <c r="P39" s="85" t="n"/>
      <c r="Q39" s="85" t="n"/>
      <c r="R39" s="85" t="n"/>
      <c r="S39" s="85" t="n"/>
      <c r="T39" s="85" t="n"/>
      <c r="U39" s="85" t="n"/>
      <c r="V39" s="85" t="n"/>
      <c r="W39" s="85" t="n"/>
      <c r="X39" s="85" t="n"/>
      <c r="Y39" s="85" t="n"/>
      <c r="Z39" s="85" t="n"/>
      <c r="AA39" s="85" t="n"/>
      <c r="AB39" s="85" t="n"/>
      <c r="AC39" s="85" t="n"/>
      <c r="AD39" s="85" t="n"/>
      <c r="AE39" s="85" t="n"/>
      <c r="AF39" s="85" t="n"/>
      <c r="AG39" s="85" t="n"/>
      <c r="AH39" s="85" t="n"/>
      <c r="AI39" s="85" t="n"/>
      <c r="AJ39" s="85" t="n"/>
      <c r="AK39" s="85" t="n"/>
      <c r="AL39" s="85" t="n"/>
      <c r="AM39" s="85" t="n"/>
      <c r="AN39" s="85" t="n"/>
      <c r="AO39" s="85" t="n"/>
      <c r="AP39" s="85" t="n"/>
    </row>
    <row r="40" ht="15" customHeight="1" s="62">
      <c r="A40" s="83" t="inlineStr">
        <is>
          <t>Basic EPS</t>
        </is>
      </c>
      <c r="B40" s="88" t="n"/>
      <c r="C40" s="88" t="n"/>
      <c r="D40" s="88" t="n"/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8" t="n"/>
      <c r="W40" s="88" t="n"/>
      <c r="X40" s="88" t="n"/>
      <c r="Y40" s="88" t="n"/>
      <c r="Z40" s="88" t="n"/>
      <c r="AA40" s="88" t="n"/>
      <c r="AB40" s="88" t="n"/>
      <c r="AC40" s="88" t="n"/>
      <c r="AD40" s="88" t="n"/>
      <c r="AE40" s="88" t="n"/>
      <c r="AF40" s="88" t="n"/>
      <c r="AG40" s="88" t="n"/>
      <c r="AH40" s="88" t="n"/>
      <c r="AI40" s="88" t="n"/>
      <c r="AJ40" s="88" t="n"/>
      <c r="AK40" s="88" t="n"/>
      <c r="AL40" s="88" t="n"/>
      <c r="AM40" s="88" t="n"/>
      <c r="AN40" s="88" t="n"/>
      <c r="AO40" s="88" t="n"/>
      <c r="AP40" s="88" t="n"/>
    </row>
    <row r="41" ht="15" customHeight="1" s="62">
      <c r="A41" s="83" t="inlineStr">
        <is>
          <t>Diluted EPS</t>
        </is>
      </c>
      <c r="B41" s="88" t="n">
        <v>0.004464</v>
      </c>
      <c r="C41" s="88" t="n">
        <v>0.010714</v>
      </c>
      <c r="D41" s="88" t="n">
        <v>0.014821</v>
      </c>
      <c r="E41" s="88" t="n">
        <v>0.0275</v>
      </c>
      <c r="F41" s="88" t="n">
        <v>0.031607</v>
      </c>
      <c r="G41" s="88" t="n">
        <v>0.03375</v>
      </c>
      <c r="H41" s="88" t="n">
        <v>0.023036</v>
      </c>
      <c r="I41" s="88" t="n">
        <v>0.03863</v>
      </c>
      <c r="J41" s="88" t="n">
        <v>0.006481</v>
      </c>
      <c r="K41" s="88" t="n">
        <v>0.023311</v>
      </c>
      <c r="L41" s="88" t="n">
        <v>0.030766</v>
      </c>
      <c r="M41" s="88" t="n">
        <v>-0.058882</v>
      </c>
      <c r="N41" s="88" t="n">
        <v>-0.074014</v>
      </c>
      <c r="O41" s="88" t="n">
        <v>0.01643</v>
      </c>
      <c r="P41" s="88" t="n">
        <v>0.03081</v>
      </c>
      <c r="Q41" s="88" t="n">
        <v>0.038953</v>
      </c>
      <c r="R41" s="88" t="n">
        <v>-0.001292</v>
      </c>
      <c r="S41" s="88" t="n">
        <v>0.003208</v>
      </c>
      <c r="T41" s="88" t="n">
        <v>0.003341</v>
      </c>
      <c r="U41" s="88" t="n">
        <v>0.012723</v>
      </c>
      <c r="V41" s="88" t="n">
        <v>0.055642</v>
      </c>
      <c r="W41" s="88" t="n">
        <v>0.08094999999999999</v>
      </c>
      <c r="X41" s="88" t="n">
        <v>0.140401</v>
      </c>
      <c r="Y41" s="88" t="n">
        <v>0.191371</v>
      </c>
      <c r="Z41" s="88" t="n">
        <v>0.324262</v>
      </c>
      <c r="AA41" s="88" t="n">
        <v>0.541211</v>
      </c>
      <c r="AB41" s="88" t="n">
        <v>0.988406</v>
      </c>
      <c r="AC41" s="88" t="n">
        <v>1.576619</v>
      </c>
      <c r="AD41" s="88" t="n">
        <v>1.419775</v>
      </c>
      <c r="AE41" s="88" t="n">
        <v>1.613269</v>
      </c>
      <c r="AF41" s="88" t="n">
        <v>2.304219</v>
      </c>
      <c r="AG41" s="88" t="n">
        <v>2.076576</v>
      </c>
      <c r="AH41" s="88" t="n">
        <v>2.301687</v>
      </c>
      <c r="AI41" s="88" t="n">
        <v>2.976485</v>
      </c>
      <c r="AJ41" s="88" t="n">
        <v>2.971447</v>
      </c>
      <c r="AK41" s="88" t="n">
        <v>3.275348</v>
      </c>
      <c r="AL41" s="88" t="n">
        <v>5.61402</v>
      </c>
      <c r="AM41" s="88" t="n">
        <v>6.1132</v>
      </c>
      <c r="AN41" s="88" t="n">
        <v>6.134053</v>
      </c>
      <c r="AO41" s="88" t="n">
        <v>6.083555</v>
      </c>
      <c r="AP41" s="88" t="n">
        <v>7.464996</v>
      </c>
    </row>
    <row r="42" ht="15" customHeight="1" s="62">
      <c r="A42" s="83" t="inlineStr">
        <is>
          <t>Basic Average Shares</t>
        </is>
      </c>
      <c r="B42" s="87" t="n"/>
      <c r="C42" s="87" t="n"/>
      <c r="D42" s="87" t="n"/>
      <c r="E42" s="87" t="n"/>
      <c r="F42" s="87" t="n"/>
      <c r="G42" s="87" t="n"/>
      <c r="H42" s="87" t="n"/>
      <c r="I42" s="87" t="n"/>
      <c r="J42" s="87" t="n"/>
      <c r="K42" s="87" t="n"/>
      <c r="L42" s="87" t="n"/>
      <c r="M42" s="87" t="n"/>
      <c r="N42" s="87" t="n"/>
      <c r="O42" s="87" t="n"/>
      <c r="P42" s="87" t="n"/>
      <c r="Q42" s="87" t="n"/>
      <c r="R42" s="87" t="n"/>
      <c r="S42" s="87" t="n"/>
      <c r="T42" s="87" t="n"/>
      <c r="U42" s="87" t="n"/>
      <c r="V42" s="87" t="n"/>
      <c r="W42" s="87" t="n"/>
      <c r="X42" s="87" t="n"/>
      <c r="Y42" s="87" t="n"/>
      <c r="Z42" s="87" t="n"/>
      <c r="AA42" s="87" t="n"/>
      <c r="AB42" s="87" t="n"/>
      <c r="AC42" s="87" t="n"/>
      <c r="AD42" s="87" t="n"/>
      <c r="AE42" s="87" t="n"/>
      <c r="AF42" s="87" t="n"/>
      <c r="AG42" s="87" t="n"/>
      <c r="AH42" s="87" t="n"/>
      <c r="AI42" s="87" t="n"/>
      <c r="AJ42" s="87" t="n"/>
      <c r="AK42" s="87" t="n"/>
      <c r="AL42" s="87" t="n"/>
      <c r="AM42" s="87" t="n"/>
      <c r="AN42" s="87" t="n"/>
      <c r="AO42" s="87" t="n"/>
      <c r="AP42" s="87" t="n"/>
    </row>
    <row r="43" ht="15" customHeight="1" s="62">
      <c r="A43" s="83" t="inlineStr">
        <is>
          <t>Diluted Average Shares</t>
        </is>
      </c>
      <c r="B43" s="87" t="n"/>
      <c r="C43" s="87" t="n"/>
      <c r="D43" s="87" t="n"/>
      <c r="E43" s="87" t="n"/>
      <c r="F43" s="87" t="n"/>
      <c r="G43" s="87" t="n"/>
      <c r="H43" s="87" t="n"/>
      <c r="I43" s="87" t="n"/>
      <c r="J43" s="87" t="n"/>
      <c r="K43" s="87" t="n"/>
      <c r="L43" s="87" t="n"/>
      <c r="M43" s="87" t="n"/>
      <c r="N43" s="87" t="n"/>
      <c r="O43" s="87" t="n"/>
      <c r="P43" s="87" t="n"/>
      <c r="Q43" s="87" t="n"/>
      <c r="R43" s="87" t="n"/>
      <c r="S43" s="87" t="n"/>
      <c r="T43" s="87" t="n"/>
      <c r="U43" s="87" t="n"/>
      <c r="V43" s="87" t="n"/>
      <c r="W43" s="87" t="n"/>
      <c r="X43" s="87" t="n"/>
      <c r="Y43" s="87" t="n"/>
      <c r="Z43" s="87" t="n"/>
      <c r="AA43" s="87" t="n"/>
      <c r="AB43" s="87" t="n"/>
      <c r="AC43" s="87" t="n"/>
      <c r="AD43" s="87" t="n"/>
      <c r="AE43" s="87" t="n"/>
      <c r="AF43" s="87" t="n"/>
      <c r="AG43" s="87" t="n"/>
      <c r="AH43" s="87" t="n"/>
      <c r="AI43" s="87" t="n"/>
      <c r="AJ43" s="87" t="n"/>
      <c r="AK43" s="87" t="n"/>
      <c r="AL43" s="87" t="n"/>
      <c r="AM43" s="87" t="n"/>
      <c r="AN43" s="87" t="n"/>
      <c r="AO43" s="87" t="n"/>
      <c r="AP43" s="87" t="n"/>
    </row>
    <row r="44" ht="15" customHeight="1" s="62">
      <c r="A44" s="83" t="inlineStr">
        <is>
          <t>Total Operating Income as Reported</t>
        </is>
      </c>
      <c r="B44" s="85" t="n"/>
      <c r="C44" s="85" t="n"/>
      <c r="D44" s="85" t="n"/>
      <c r="E44" s="85" t="n"/>
      <c r="F44" s="85" t="n"/>
      <c r="G44" s="85" t="n"/>
      <c r="H44" s="85" t="n"/>
      <c r="I44" s="85" t="n"/>
      <c r="J44" s="85" t="n"/>
      <c r="K44" s="85" t="n"/>
      <c r="L44" s="85" t="n"/>
      <c r="M44" s="85" t="n"/>
      <c r="N44" s="85" t="n"/>
      <c r="O44" s="85" t="n"/>
      <c r="P44" s="85" t="n"/>
      <c r="Q44" s="85" t="n"/>
      <c r="R44" s="85" t="n"/>
      <c r="S44" s="85" t="n"/>
      <c r="T44" s="85" t="n"/>
      <c r="U44" s="85" t="n"/>
      <c r="V44" s="85" t="n"/>
      <c r="W44" s="85" t="n"/>
      <c r="X44" s="85" t="n"/>
      <c r="Y44" s="85" t="n"/>
      <c r="Z44" s="85" t="n"/>
      <c r="AA44" s="85" t="n"/>
      <c r="AB44" s="85" t="n"/>
      <c r="AC44" s="85" t="n"/>
      <c r="AD44" s="85" t="n"/>
      <c r="AE44" s="85" t="n"/>
      <c r="AF44" s="85" t="n"/>
      <c r="AG44" s="85" t="n"/>
      <c r="AH44" s="85" t="n"/>
      <c r="AI44" s="85" t="n"/>
      <c r="AJ44" s="85" t="n"/>
      <c r="AK44" s="85" t="n"/>
      <c r="AL44" s="85" t="n"/>
      <c r="AM44" s="85" t="n"/>
      <c r="AN44" s="85" t="n"/>
      <c r="AO44" s="85" t="n"/>
      <c r="AP44" s="85" t="n"/>
    </row>
    <row r="45" ht="15" customHeight="1" s="62">
      <c r="A45" s="83" t="inlineStr">
        <is>
          <t>Total Expenses</t>
        </is>
      </c>
      <c r="B45" s="85" t="n"/>
      <c r="C45" s="85" t="n"/>
      <c r="D45" s="85" t="n"/>
      <c r="E45" s="85" t="n"/>
      <c r="F45" s="85" t="n"/>
      <c r="G45" s="85" t="n"/>
      <c r="H45" s="85" t="n"/>
      <c r="I45" s="85" t="n"/>
      <c r="J45" s="85" t="n"/>
      <c r="K45" s="85" t="n"/>
      <c r="L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n"/>
      <c r="Y45" s="85" t="n"/>
      <c r="Z45" s="85" t="n"/>
      <c r="AA45" s="85" t="n"/>
      <c r="AB45" s="85" t="n"/>
      <c r="AC45" s="85" t="n"/>
      <c r="AD45" s="85" t="n"/>
      <c r="AE45" s="85" t="n"/>
      <c r="AF45" s="85" t="n"/>
      <c r="AG45" s="85" t="n"/>
      <c r="AH45" s="85" t="n"/>
      <c r="AI45" s="85" t="n"/>
      <c r="AJ45" s="85" t="n"/>
      <c r="AK45" s="85" t="n"/>
      <c r="AL45" s="85" t="n"/>
      <c r="AM45" s="85" t="n"/>
      <c r="AN45" s="85" t="n"/>
      <c r="AO45" s="85" t="n"/>
      <c r="AP45" s="85" t="n"/>
    </row>
    <row r="46" ht="15" customHeight="1" s="62">
      <c r="A46" s="83" t="inlineStr">
        <is>
          <t>Net Income from Continuing &amp; Discontinued Operation</t>
        </is>
      </c>
      <c r="B46" s="85" t="n"/>
      <c r="C46" s="85" t="n"/>
      <c r="D46" s="85" t="n"/>
      <c r="E46" s="85" t="n"/>
      <c r="F46" s="85" t="n"/>
      <c r="G46" s="85" t="n"/>
      <c r="H46" s="85" t="n"/>
      <c r="I46" s="85" t="n"/>
      <c r="J46" s="85" t="n"/>
      <c r="K46" s="85" t="n"/>
      <c r="L46" s="85" t="n"/>
      <c r="M46" s="85" t="n"/>
      <c r="N46" s="85" t="n"/>
      <c r="O46" s="85" t="n"/>
      <c r="P46" s="85" t="n"/>
      <c r="Q46" s="85" t="n"/>
      <c r="R46" s="85" t="n"/>
      <c r="S46" s="85" t="n"/>
      <c r="T46" s="85" t="n"/>
      <c r="U46" s="85" t="n"/>
      <c r="V46" s="85" t="n"/>
      <c r="W46" s="85" t="n"/>
      <c r="X46" s="85" t="n"/>
      <c r="Y46" s="85" t="n"/>
      <c r="Z46" s="85" t="n"/>
      <c r="AA46" s="85" t="n"/>
      <c r="AB46" s="85" t="n"/>
      <c r="AC46" s="85" t="n"/>
      <c r="AD46" s="85" t="n"/>
      <c r="AE46" s="85" t="n"/>
      <c r="AF46" s="85" t="n"/>
      <c r="AG46" s="85" t="n"/>
      <c r="AH46" s="85" t="n"/>
      <c r="AI46" s="85" t="n"/>
      <c r="AJ46" s="85" t="n"/>
      <c r="AK46" s="85" t="n"/>
      <c r="AL46" s="85" t="n"/>
      <c r="AM46" s="85" t="n"/>
      <c r="AN46" s="85" t="n"/>
      <c r="AO46" s="85" t="n"/>
      <c r="AP46" s="85" t="n"/>
    </row>
    <row r="47" ht="15" customHeight="1" s="62">
      <c r="A47" s="83" t="inlineStr">
        <is>
          <t>Normalized Income</t>
        </is>
      </c>
      <c r="B47" s="85" t="n"/>
      <c r="C47" s="85" t="n"/>
      <c r="D47" s="85" t="n"/>
      <c r="E47" s="85" t="n"/>
      <c r="F47" s="85" t="n"/>
      <c r="G47" s="85" t="n"/>
      <c r="H47" s="85" t="n"/>
      <c r="I47" s="85" t="n"/>
      <c r="J47" s="85" t="n"/>
      <c r="K47" s="85" t="n"/>
      <c r="L47" s="85" t="n"/>
      <c r="M47" s="85" t="n"/>
      <c r="N47" s="85" t="n"/>
      <c r="O47" s="85" t="n"/>
      <c r="P47" s="85" t="n"/>
      <c r="Q47" s="85" t="n"/>
      <c r="R47" s="85" t="n"/>
      <c r="S47" s="85" t="n"/>
      <c r="T47" s="85" t="n"/>
      <c r="U47" s="85" t="n"/>
      <c r="V47" s="85" t="n"/>
      <c r="W47" s="85" t="n"/>
      <c r="X47" s="85" t="n"/>
      <c r="Y47" s="85" t="n"/>
      <c r="Z47" s="85" t="n"/>
      <c r="AA47" s="85" t="n"/>
      <c r="AB47" s="85" t="n"/>
      <c r="AC47" s="85" t="n"/>
      <c r="AD47" s="85" t="n"/>
      <c r="AE47" s="85" t="n"/>
      <c r="AF47" s="85" t="n"/>
      <c r="AG47" s="85" t="n"/>
      <c r="AH47" s="85" t="n"/>
      <c r="AI47" s="85" t="n"/>
      <c r="AJ47" s="85" t="n"/>
      <c r="AK47" s="85" t="n"/>
      <c r="AL47" s="85" t="n"/>
      <c r="AM47" s="85" t="n"/>
      <c r="AN47" s="85" t="n"/>
      <c r="AO47" s="85" t="n"/>
      <c r="AP47" s="85" t="n"/>
    </row>
    <row r="48" ht="15" customHeight="1" s="62">
      <c r="A48" s="83" t="inlineStr">
        <is>
          <t>Interest Income</t>
        </is>
      </c>
      <c r="O48" s="85" t="n"/>
      <c r="P48" s="85" t="n"/>
      <c r="Q48" s="85" t="n"/>
      <c r="R48" s="85" t="n"/>
      <c r="S48" s="85" t="n"/>
      <c r="T48" s="85" t="n"/>
      <c r="U48" s="85" t="n"/>
      <c r="V48" s="85" t="n"/>
      <c r="W48" s="85" t="n"/>
    </row>
    <row r="49" ht="15" customHeight="1" s="62">
      <c r="A49" s="83" t="inlineStr">
        <is>
          <t>Interest Expense</t>
        </is>
      </c>
      <c r="B49" s="121" t="n">
        <v>5.5e-05</v>
      </c>
      <c r="C49" s="121" t="n">
        <v>7.3e-05</v>
      </c>
      <c r="D49" s="121" t="n">
        <v>7.8e-05</v>
      </c>
      <c r="E49" s="121" t="n">
        <v>7.2e-05</v>
      </c>
      <c r="F49" s="121" t="n">
        <v>0.00022</v>
      </c>
      <c r="G49" s="121" t="n">
        <v>0.000133</v>
      </c>
      <c r="H49" s="121" t="n">
        <v>0.000105</v>
      </c>
      <c r="I49" s="85" t="n">
        <v>9e-06</v>
      </c>
      <c r="J49" s="85" t="n">
        <v>1.2e-05</v>
      </c>
      <c r="K49" s="85" t="n">
        <v>4e-05</v>
      </c>
      <c r="L49" s="85" t="n">
        <v>4.8e-05</v>
      </c>
      <c r="M49" s="85" t="n">
        <v>6e-05</v>
      </c>
      <c r="N49" s="85" t="n">
        <v>7.1e-05</v>
      </c>
      <c r="O49" s="85" t="n">
        <v>6.2e-05</v>
      </c>
      <c r="P49" s="85" t="n">
        <v>4.7e-05</v>
      </c>
      <c r="Q49" s="85" t="n">
        <v>2.1e-05</v>
      </c>
      <c r="R49" s="85" t="n">
        <v>1.6e-05</v>
      </c>
      <c r="S49" s="85" t="n">
        <v>1.1e-05</v>
      </c>
      <c r="T49" s="85" t="n">
        <v>8e-06</v>
      </c>
      <c r="U49" s="85" t="n">
        <v>3e-06</v>
      </c>
      <c r="V49" s="85" t="n">
        <v>0.000165</v>
      </c>
      <c r="W49" s="85" t="n">
        <v>0.000365</v>
      </c>
      <c r="X49" s="85" t="n">
        <v>0.000599</v>
      </c>
      <c r="Y49" s="85" t="n">
        <v>0.00062</v>
      </c>
      <c r="Z49" s="85" t="n">
        <v>0.000326</v>
      </c>
      <c r="AA49" s="85" t="n">
        <v>0.000155</v>
      </c>
      <c r="AB49" s="85" t="n">
        <v>0.000415</v>
      </c>
      <c r="AC49" s="85" t="n">
        <v>0.000522</v>
      </c>
      <c r="AD49" s="85" t="n">
        <v>0.000136</v>
      </c>
      <c r="AE49" s="85" t="n">
        <v>0.000384</v>
      </c>
      <c r="AF49" s="85" t="n">
        <v>0.000733</v>
      </c>
      <c r="AG49" s="85" t="n">
        <v>0.001456</v>
      </c>
      <c r="AH49" s="85" t="n">
        <v>0.002323</v>
      </c>
      <c r="AI49" s="85" t="n">
        <v>0.00324</v>
      </c>
      <c r="AJ49" s="85" t="n">
        <v>0.003576</v>
      </c>
      <c r="AK49" s="85" t="n">
        <v>0.002873</v>
      </c>
      <c r="AL49" s="85" t="n">
        <v>0.002645</v>
      </c>
      <c r="AM49" s="85" t="n">
        <v>0.002931</v>
      </c>
      <c r="AN49" s="85" t="n">
        <v>0.003933</v>
      </c>
      <c r="AO49" s="85" t="n">
        <v>0</v>
      </c>
      <c r="AP49" s="85" t="n"/>
    </row>
    <row r="50" ht="15" customHeight="1" s="62">
      <c r="A50" s="83" t="inlineStr">
        <is>
          <t>Net Interest Income</t>
        </is>
      </c>
      <c r="I50" s="85" t="n"/>
      <c r="J50" s="85" t="n"/>
      <c r="K50" s="85" t="n"/>
      <c r="L50" s="85" t="n"/>
      <c r="M50" s="85" t="n"/>
      <c r="N50" s="85" t="n"/>
      <c r="O50" s="85" t="n"/>
      <c r="P50" s="85" t="n"/>
      <c r="Q50" s="85" t="n"/>
      <c r="R50" s="85" t="n"/>
      <c r="S50" s="85" t="n"/>
      <c r="T50" s="85" t="n"/>
      <c r="U50" s="85" t="n"/>
      <c r="V50" s="85" t="n"/>
      <c r="W50" s="85" t="n"/>
      <c r="X50" s="85" t="n"/>
      <c r="Y50" s="85" t="n"/>
      <c r="Z50" s="85" t="n"/>
      <c r="AA50" s="85" t="n"/>
      <c r="AB50" s="85" t="n"/>
      <c r="AC50" s="85" t="n"/>
      <c r="AD50" s="85" t="n"/>
      <c r="AE50" s="85" t="n"/>
      <c r="AF50" s="85" t="n"/>
      <c r="AG50" s="85" t="n"/>
      <c r="AH50" s="85" t="n"/>
      <c r="AI50" s="85" t="n"/>
      <c r="AJ50" s="85" t="n"/>
      <c r="AK50" s="85" t="n"/>
      <c r="AL50" s="85" t="n"/>
      <c r="AM50" s="85" t="n"/>
      <c r="AN50" s="85" t="n"/>
      <c r="AO50" s="85" t="n"/>
      <c r="AP50" s="85" t="n"/>
    </row>
    <row r="51" ht="15" customHeight="1" s="62">
      <c r="A51" s="83" t="inlineStr">
        <is>
          <t>EBIT</t>
        </is>
      </c>
      <c r="B51" s="85" t="n"/>
      <c r="C51" s="85" t="n"/>
      <c r="D51" s="85" t="n"/>
      <c r="E51" s="85" t="n"/>
      <c r="F51" s="85" t="n"/>
      <c r="G51" s="85" t="n"/>
      <c r="H51" s="85" t="n"/>
      <c r="I51" s="85" t="n"/>
      <c r="J51" s="85" t="n"/>
      <c r="K51" s="85" t="n"/>
      <c r="L51" s="85" t="n"/>
      <c r="M51" s="85" t="n"/>
      <c r="N51" s="85" t="n"/>
      <c r="O51" s="85" t="n"/>
      <c r="P51" s="85" t="n"/>
      <c r="Q51" s="85" t="n"/>
      <c r="R51" s="85" t="n"/>
      <c r="S51" s="85" t="n"/>
      <c r="T51" s="85" t="n"/>
      <c r="U51" s="85" t="n"/>
      <c r="V51" s="85" t="n"/>
      <c r="W51" s="85" t="n"/>
      <c r="X51" s="85" t="n"/>
      <c r="Y51" s="85" t="n"/>
      <c r="Z51" s="85" t="n"/>
      <c r="AA51" s="85" t="n"/>
      <c r="AB51" s="85" t="n"/>
      <c r="AC51" s="85" t="n"/>
      <c r="AD51" s="85" t="n"/>
      <c r="AE51" s="85" t="n"/>
      <c r="AF51" s="85" t="n"/>
      <c r="AG51" s="85" t="n"/>
      <c r="AH51" s="85" t="n"/>
      <c r="AI51" s="85" t="n"/>
      <c r="AJ51" s="85" t="n"/>
      <c r="AK51" s="85" t="n"/>
      <c r="AL51" s="85" t="n"/>
      <c r="AM51" s="85" t="n"/>
      <c r="AN51" s="85" t="n"/>
      <c r="AO51" s="85" t="n"/>
      <c r="AP51" s="85" t="n"/>
    </row>
    <row r="52" ht="15" customHeight="1" s="62">
      <c r="A52" s="83" t="inlineStr">
        <is>
          <t>EBITDA</t>
        </is>
      </c>
      <c r="B52" s="85" t="n">
        <v>0.000189</v>
      </c>
      <c r="C52" s="85" t="n">
        <v>0.000325</v>
      </c>
      <c r="D52" s="85" t="n">
        <v>0.000442</v>
      </c>
      <c r="E52" s="85" t="n">
        <v>0.0006980000000000001</v>
      </c>
      <c r="F52" s="85" t="n">
        <v>0.000759</v>
      </c>
      <c r="G52" s="85" t="n">
        <v>0.000915</v>
      </c>
      <c r="H52" s="85" t="n">
        <v>0.000652</v>
      </c>
      <c r="I52" s="85" t="n">
        <v>0.001081</v>
      </c>
      <c r="J52" s="85" t="n">
        <v>0.000318</v>
      </c>
      <c r="K52" s="85" t="n">
        <v>0.000708</v>
      </c>
      <c r="L52" s="85" t="n">
        <v>0.000849</v>
      </c>
      <c r="M52" s="85" t="n">
        <v>-0.001119</v>
      </c>
      <c r="N52" s="85" t="n">
        <v>-0.000856</v>
      </c>
      <c r="O52" s="85" t="n">
        <v>0.000502</v>
      </c>
      <c r="P52" s="85" t="n">
        <v>0.000808</v>
      </c>
      <c r="Q52" s="85" t="n">
        <v>0.001197</v>
      </c>
      <c r="R52" s="85" t="n">
        <v>6.4e-05</v>
      </c>
      <c r="S52" s="85" t="n">
        <v>0.000212</v>
      </c>
      <c r="T52" s="85" t="n">
        <v>0.000138</v>
      </c>
      <c r="U52" s="85" t="n">
        <v>0.000523</v>
      </c>
      <c r="V52" s="85" t="n">
        <v>0.001822</v>
      </c>
      <c r="W52" s="85" t="n">
        <v>0.002678</v>
      </c>
      <c r="X52" s="85" t="n">
        <v>0.004724</v>
      </c>
      <c r="Y52" s="85" t="n">
        <v>0.007304</v>
      </c>
      <c r="Z52" s="85" t="n">
        <v>0.012029</v>
      </c>
      <c r="AA52" s="85" t="n">
        <v>0.019412</v>
      </c>
      <c r="AB52" s="85" t="n">
        <v>0.036019</v>
      </c>
      <c r="AC52" s="85" t="n">
        <v>0.05904</v>
      </c>
      <c r="AD52" s="85" t="n">
        <v>0.057048</v>
      </c>
      <c r="AE52" s="85" t="n">
        <v>0.061813</v>
      </c>
      <c r="AF52" s="85" t="n">
        <v>0.084505</v>
      </c>
      <c r="AG52" s="85" t="n">
        <v>0.073333</v>
      </c>
      <c r="AH52" s="85" t="n">
        <v>0.076569</v>
      </c>
      <c r="AI52" s="85" t="n">
        <v>0.087046</v>
      </c>
      <c r="AJ52" s="85" t="n">
        <v>0.08186</v>
      </c>
      <c r="AK52" s="85" t="n">
        <v>0.08101999999999999</v>
      </c>
      <c r="AL52" s="85" t="n">
        <v>0.123136</v>
      </c>
      <c r="AM52" s="85" t="n">
        <v>0.130541</v>
      </c>
      <c r="AN52" s="85" t="n">
        <v>0.12582</v>
      </c>
      <c r="AO52" s="85" t="n">
        <v>0.134661</v>
      </c>
      <c r="AP52" s="85" t="n">
        <v>0.144427</v>
      </c>
    </row>
    <row r="53" ht="15" customHeight="1" s="62">
      <c r="A53" s="83" t="inlineStr">
        <is>
          <t>Reconciled Cost of Revenue</t>
        </is>
      </c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  <c r="AK53" s="85" t="n"/>
      <c r="AL53" s="85" t="n"/>
      <c r="AM53" s="85" t="n"/>
      <c r="AN53" s="85" t="n"/>
      <c r="AO53" s="85" t="n"/>
      <c r="AP53" s="85" t="n"/>
    </row>
    <row r="54" ht="15" customHeight="1" s="62">
      <c r="A54" s="83" t="inlineStr">
        <is>
          <t>Reconciled Depreciation</t>
        </is>
      </c>
      <c r="B54" s="85" t="n"/>
      <c r="C54" s="85" t="n"/>
      <c r="D54" s="85" t="n"/>
      <c r="E54" s="85" t="n"/>
      <c r="F54" s="85" t="n"/>
      <c r="G54" s="85" t="n"/>
      <c r="H54" s="85" t="n"/>
      <c r="I54" s="85" t="n"/>
      <c r="J54" s="85" t="n"/>
      <c r="K54" s="85" t="n"/>
      <c r="L54" s="85" t="n"/>
      <c r="M54" s="85" t="n"/>
      <c r="N54" s="85" t="n"/>
      <c r="O54" s="85" t="n"/>
      <c r="P54" s="85" t="n"/>
      <c r="Q54" s="85" t="n"/>
      <c r="R54" s="85" t="n"/>
      <c r="S54" s="85" t="n"/>
      <c r="T54" s="85" t="n"/>
      <c r="U54" s="85" t="n"/>
      <c r="V54" s="85" t="n"/>
      <c r="W54" s="85" t="n"/>
      <c r="X54" s="85" t="n"/>
      <c r="Y54" s="85" t="n"/>
      <c r="Z54" s="85" t="n"/>
      <c r="AA54" s="85" t="n"/>
      <c r="AB54" s="85" t="n"/>
      <c r="AC54" s="85" t="n"/>
      <c r="AD54" s="85" t="n"/>
      <c r="AE54" s="85" t="n"/>
      <c r="AF54" s="85" t="n"/>
      <c r="AG54" s="85" t="n"/>
      <c r="AH54" s="85" t="n">
        <v>0.010157</v>
      </c>
      <c r="AI54" s="85" t="n">
        <v>0.010903</v>
      </c>
      <c r="AJ54" s="85" t="n">
        <v>0.012547</v>
      </c>
      <c r="AK54" s="85" t="n">
        <v>0.011056</v>
      </c>
      <c r="AL54" s="85" t="n">
        <v>0.011284</v>
      </c>
      <c r="AM54" s="85" t="n">
        <v>0.011104</v>
      </c>
      <c r="AN54" s="85" t="n">
        <v>0.011519</v>
      </c>
      <c r="AO54" s="85" t="n">
        <v>0.011445</v>
      </c>
      <c r="AP54" s="85" t="n">
        <v>0.011698</v>
      </c>
    </row>
    <row r="55" ht="15" customHeight="1" s="62">
      <c r="A55" s="83" t="inlineStr">
        <is>
          <t>Net Income from Continuing Operation Net Minority Interest</t>
        </is>
      </c>
      <c r="B55" s="85" t="n"/>
      <c r="C55" s="85" t="n"/>
      <c r="D55" s="85" t="n"/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5" t="n"/>
      <c r="O55" s="85" t="n"/>
      <c r="P55" s="85" t="n"/>
      <c r="Q55" s="85" t="n"/>
      <c r="R55" s="85" t="n"/>
      <c r="S55" s="85" t="n"/>
      <c r="T55" s="85" t="n"/>
      <c r="U55" s="85" t="n"/>
      <c r="V55" s="85" t="n"/>
      <c r="W55" s="85" t="n"/>
      <c r="X55" s="85" t="n"/>
      <c r="Y55" s="85" t="n"/>
      <c r="Z55" s="85" t="n"/>
      <c r="AA55" s="85" t="n"/>
      <c r="AB55" s="85" t="n"/>
      <c r="AC55" s="85" t="n"/>
      <c r="AD55" s="85" t="n"/>
      <c r="AE55" s="85" t="n"/>
      <c r="AF55" s="85" t="n"/>
      <c r="AG55" s="85" t="n"/>
      <c r="AH55" s="85" t="n"/>
      <c r="AI55" s="85" t="n"/>
      <c r="AJ55" s="85" t="n"/>
      <c r="AK55" s="85" t="n"/>
      <c r="AL55" s="85" t="n"/>
      <c r="AM55" s="85" t="n"/>
      <c r="AN55" s="85" t="n"/>
      <c r="AO55" s="85" t="n"/>
      <c r="AP55" s="85" t="n"/>
    </row>
    <row r="56" ht="15" customHeight="1" s="62">
      <c r="A56" s="83" t="inlineStr">
        <is>
          <t>Total Unusual Items Excluding Goodwill</t>
        </is>
      </c>
      <c r="B56" s="85" t="n"/>
      <c r="C56" s="85" t="n"/>
      <c r="D56" s="85" t="n"/>
      <c r="E56" s="85" t="n"/>
      <c r="F56" s="85" t="n"/>
      <c r="G56" s="85" t="n"/>
      <c r="H56" s="85" t="n"/>
      <c r="I56" s="85" t="n"/>
      <c r="J56" s="85" t="n"/>
      <c r="K56" s="85" t="n"/>
      <c r="L56" s="85" t="n"/>
      <c r="M56" s="85" t="n"/>
      <c r="N56" s="85" t="n"/>
      <c r="O56" s="85" t="n"/>
      <c r="P56" s="85" t="n"/>
      <c r="Q56" s="85" t="n"/>
      <c r="R56" s="85" t="n"/>
      <c r="S56" s="85" t="n"/>
      <c r="T56" s="85" t="n"/>
      <c r="U56" s="85" t="n"/>
      <c r="V56" s="85" t="n"/>
      <c r="W56" s="85" t="n"/>
      <c r="X56" s="85" t="n"/>
      <c r="Y56" s="85" t="n"/>
      <c r="Z56" s="85" t="n"/>
      <c r="AA56" s="85" t="n"/>
      <c r="AB56" s="85" t="n"/>
      <c r="AC56" s="85" t="n"/>
      <c r="AD56" s="85" t="n"/>
      <c r="AE56" s="85" t="n"/>
      <c r="AF56" s="85" t="n"/>
      <c r="AG56" s="85" t="n"/>
      <c r="AH56" s="85" t="n"/>
      <c r="AI56" s="85" t="n"/>
      <c r="AJ56" s="85" t="n"/>
      <c r="AK56" s="85" t="n"/>
      <c r="AL56" s="85" t="n"/>
      <c r="AM56" s="85" t="n"/>
      <c r="AN56" s="85" t="n"/>
      <c r="AO56" s="85" t="n"/>
      <c r="AP56" s="85" t="n"/>
    </row>
    <row r="57" ht="15" customHeight="1" s="62">
      <c r="A57" s="83" t="inlineStr">
        <is>
          <t>Total Unusual Items</t>
        </is>
      </c>
      <c r="B57" s="85" t="n"/>
      <c r="C57" s="85" t="n"/>
      <c r="D57" s="85" t="n"/>
      <c r="E57" s="85" t="n"/>
      <c r="F57" s="85" t="n"/>
      <c r="G57" s="85" t="n"/>
      <c r="H57" s="85" t="n"/>
      <c r="I57" s="85" t="n"/>
      <c r="J57" s="85" t="n"/>
      <c r="K57" s="85" t="n"/>
      <c r="L57" s="85" t="n"/>
      <c r="M57" s="85" t="n"/>
      <c r="N57" s="85" t="n"/>
      <c r="O57" s="85" t="n"/>
      <c r="P57" s="85" t="n"/>
      <c r="Q57" s="85" t="n"/>
      <c r="R57" s="85" t="n"/>
      <c r="S57" s="85" t="n"/>
      <c r="T57" s="85" t="n"/>
      <c r="U57" s="85" t="n"/>
      <c r="V57" s="85" t="n"/>
      <c r="W57" s="85" t="n"/>
      <c r="X57" s="85" t="n"/>
      <c r="Y57" s="85" t="n"/>
      <c r="Z57" s="85" t="n"/>
      <c r="AA57" s="85" t="n"/>
      <c r="AB57" s="85" t="n"/>
      <c r="AC57" s="85" t="n"/>
      <c r="AD57" s="85" t="n"/>
      <c r="AE57" s="85" t="n"/>
      <c r="AF57" s="85" t="n"/>
      <c r="AG57" s="85" t="n"/>
      <c r="AH57" s="85" t="n"/>
      <c r="AI57" s="85" t="n"/>
      <c r="AJ57" s="85" t="n"/>
      <c r="AK57" s="85" t="n"/>
      <c r="AL57" s="85" t="n"/>
      <c r="AM57" s="85" t="n"/>
      <c r="AN57" s="85" t="n"/>
      <c r="AO57" s="85" t="n"/>
      <c r="AP57" s="85" t="n"/>
    </row>
    <row r="58" ht="15" customHeight="1" s="62">
      <c r="A58" s="83" t="inlineStr">
        <is>
          <t>Normalized EBITDA</t>
        </is>
      </c>
      <c r="B58" s="85" t="n"/>
      <c r="C58" s="85" t="n"/>
      <c r="D58" s="85" t="n"/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5" t="n"/>
      <c r="O58" s="85" t="n"/>
      <c r="P58" s="85" t="n"/>
      <c r="Q58" s="85" t="n"/>
      <c r="R58" s="85" t="n"/>
      <c r="S58" s="85" t="n"/>
      <c r="T58" s="85" t="n"/>
      <c r="U58" s="85" t="n"/>
      <c r="V58" s="85" t="n"/>
      <c r="W58" s="85" t="n"/>
      <c r="X58" s="85" t="n"/>
      <c r="Y58" s="85" t="n"/>
      <c r="Z58" s="85" t="n"/>
      <c r="AA58" s="85" t="n"/>
      <c r="AB58" s="85" t="n"/>
      <c r="AC58" s="85" t="n"/>
      <c r="AD58" s="85" t="n"/>
      <c r="AE58" s="85" t="n"/>
      <c r="AF58" s="85" t="n"/>
      <c r="AG58" s="85" t="n"/>
      <c r="AH58" s="85" t="n"/>
      <c r="AI58" s="85" t="n"/>
      <c r="AJ58" s="85" t="n"/>
      <c r="AK58" s="85" t="n"/>
      <c r="AL58" s="85" t="n"/>
      <c r="AM58" s="85" t="n"/>
      <c r="AN58" s="85" t="n"/>
      <c r="AO58" s="85" t="n"/>
      <c r="AP58" s="85" t="n"/>
    </row>
    <row r="59" ht="15" customHeight="1" s="62">
      <c r="A59" s="83" t="inlineStr">
        <is>
          <t>Tax Rate for Calcs</t>
        </is>
      </c>
      <c r="B59" s="89" t="n">
        <v>0.49</v>
      </c>
      <c r="C59" s="89" t="n">
        <v>0.502905</v>
      </c>
      <c r="D59" s="89" t="n">
        <v>0.470029</v>
      </c>
      <c r="E59" s="89" t="n">
        <v>0.389973</v>
      </c>
      <c r="F59" s="89" t="n">
        <v>0.390031</v>
      </c>
      <c r="G59" s="89" t="n">
        <v>0.389981</v>
      </c>
      <c r="H59" s="89" t="n">
        <v>0.380028</v>
      </c>
      <c r="I59" s="89" t="n">
        <v>0.380012</v>
      </c>
      <c r="J59" s="89" t="n">
        <v>0.3801</v>
      </c>
      <c r="K59" s="89" t="n">
        <v>0.379999</v>
      </c>
      <c r="L59" s="89" t="n">
        <v>0.37092</v>
      </c>
      <c r="M59" s="89" t="n"/>
      <c r="N59" s="89" t="n"/>
      <c r="O59" s="89" t="n">
        <v>0.06079</v>
      </c>
      <c r="P59" s="89" t="n">
        <v>0.110947</v>
      </c>
      <c r="Q59" s="89" t="n">
        <v>0.28022</v>
      </c>
      <c r="R59" s="89" t="n"/>
      <c r="S59" s="89" t="n">
        <v>0.252874</v>
      </c>
      <c r="T59" s="89" t="n">
        <v>0.26087</v>
      </c>
      <c r="U59" s="89" t="n">
        <v>0.281081</v>
      </c>
      <c r="V59" s="89" t="n">
        <v>0.265487</v>
      </c>
      <c r="W59" s="89" t="n">
        <v>0.29418</v>
      </c>
      <c r="X59" s="89" t="n">
        <v>0.301917</v>
      </c>
      <c r="Y59" s="89" t="n">
        <v>0.298912</v>
      </c>
      <c r="Z59" s="89" t="n">
        <v>0.317504</v>
      </c>
      <c r="AA59" s="89" t="n">
        <v>0.244175</v>
      </c>
      <c r="AB59" s="89" t="n">
        <v>0.242158</v>
      </c>
      <c r="AC59" s="89" t="n">
        <v>0.251601</v>
      </c>
      <c r="AD59" s="89" t="n">
        <v>0.261549</v>
      </c>
      <c r="AE59" s="89" t="n">
        <v>0.261261</v>
      </c>
      <c r="AF59" s="89" t="n">
        <v>0.263683</v>
      </c>
      <c r="AG59" s="89" t="n">
        <v>0.255573</v>
      </c>
      <c r="AH59" s="89" t="n">
        <v>0.245565</v>
      </c>
      <c r="AI59" s="89" t="n">
        <v>0.183422</v>
      </c>
      <c r="AJ59" s="89" t="n">
        <v>0.159438</v>
      </c>
      <c r="AK59" s="89" t="n">
        <v>0.144282</v>
      </c>
      <c r="AL59" s="89" t="n">
        <v>0.133023</v>
      </c>
      <c r="AM59" s="89" t="n">
        <v>0.162045</v>
      </c>
      <c r="AN59" s="89" t="n">
        <v>0.147192</v>
      </c>
      <c r="AO59" s="89" t="n">
        <v>0.240912</v>
      </c>
      <c r="AP59" s="89" t="n">
        <v>0.1561</v>
      </c>
    </row>
    <row r="60" ht="15" customHeight="1" s="62">
      <c r="A60" s="83" t="inlineStr">
        <is>
          <t>Tax Effect of Unusual Items</t>
        </is>
      </c>
      <c r="B60" s="85" t="n"/>
      <c r="C60" s="85" t="n"/>
      <c r="D60" s="85" t="n"/>
      <c r="E60" s="85" t="n"/>
      <c r="F60" s="85" t="n"/>
      <c r="G60" s="85" t="n"/>
      <c r="H60" s="85" t="n"/>
      <c r="I60" s="85" t="n"/>
      <c r="J60" s="85" t="n"/>
      <c r="K60" s="85" t="n"/>
      <c r="L60" s="85" t="n"/>
      <c r="M60" s="85" t="n"/>
      <c r="N60" s="85" t="n"/>
      <c r="O60" s="85" t="n"/>
      <c r="P60" s="85" t="n"/>
      <c r="Q60" s="85" t="n"/>
      <c r="R60" s="85" t="n"/>
      <c r="S60" s="85" t="n"/>
      <c r="T60" s="85" t="n"/>
      <c r="U60" s="85" t="n"/>
      <c r="V60" s="85" t="n"/>
      <c r="W60" s="85" t="n"/>
      <c r="X60" s="85" t="n"/>
      <c r="Y60" s="85" t="n"/>
      <c r="Z60" s="85" t="n"/>
      <c r="AA60" s="85" t="n"/>
      <c r="AB60" s="85" t="n"/>
      <c r="AC60" s="85" t="n"/>
      <c r="AD60" s="85" t="n"/>
      <c r="AE60" s="85" t="n"/>
      <c r="AF60" s="85" t="n"/>
      <c r="AG60" s="85" t="n"/>
      <c r="AH60" s="85" t="n"/>
      <c r="AI60" s="85" t="n"/>
      <c r="AJ60" s="85" t="n"/>
      <c r="AK60" s="85" t="n"/>
      <c r="AL60" s="85" t="n"/>
      <c r="AM60" s="85" t="n"/>
      <c r="AN60" s="85" t="n"/>
      <c r="AO60" s="85" t="n"/>
      <c r="AP60" s="8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P1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61" min="1" max="1"/>
    <col width="12" customWidth="1" style="61" min="2" max="42"/>
  </cols>
  <sheetData>
    <row r="1" ht="15" customHeight="1" s="62">
      <c r="A1" s="63" t="inlineStr">
        <is>
          <t>BALANCE SHEET — Apple Inc. (AAPL)</t>
        </is>
      </c>
    </row>
    <row r="2" ht="15" customHeight="1" s="62">
      <c r="A2" s="64" t="inlineStr">
        <is>
          <t>Filed data (Apple Inc.). $mm unless noted · per-share $ · ratios frac · shares mm. Blue = filed input. Loaded by the AEG data pipeline.</t>
        </is>
      </c>
    </row>
    <row r="3" ht="15" customHeight="1" s="62">
      <c r="A3" s="83" t="inlineStr">
        <is>
          <t>Line item</t>
        </is>
      </c>
      <c r="B3" s="84" t="inlineStr">
        <is>
          <t>1985</t>
        </is>
      </c>
      <c r="C3" s="84" t="inlineStr">
        <is>
          <t>1986</t>
        </is>
      </c>
      <c r="D3" s="84" t="inlineStr">
        <is>
          <t>1987</t>
        </is>
      </c>
      <c r="E3" s="84" t="inlineStr">
        <is>
          <t>1988</t>
        </is>
      </c>
      <c r="F3" s="84" t="inlineStr">
        <is>
          <t>1989</t>
        </is>
      </c>
      <c r="G3" s="84" t="inlineStr">
        <is>
          <t>1990</t>
        </is>
      </c>
      <c r="H3" s="84" t="inlineStr">
        <is>
          <t>1991</t>
        </is>
      </c>
      <c r="I3" s="84" t="inlineStr">
        <is>
          <t>1992</t>
        </is>
      </c>
      <c r="J3" s="84" t="inlineStr">
        <is>
          <t>1993</t>
        </is>
      </c>
      <c r="K3" s="84" t="inlineStr">
        <is>
          <t>1994</t>
        </is>
      </c>
      <c r="L3" s="84" t="inlineStr">
        <is>
          <t>1995</t>
        </is>
      </c>
      <c r="M3" s="84" t="inlineStr">
        <is>
          <t>1996</t>
        </is>
      </c>
      <c r="N3" s="84" t="inlineStr">
        <is>
          <t>1997</t>
        </is>
      </c>
      <c r="O3" s="84" t="inlineStr">
        <is>
          <t>1998</t>
        </is>
      </c>
      <c r="P3" s="84" t="inlineStr">
        <is>
          <t>1999</t>
        </is>
      </c>
      <c r="Q3" s="84" t="inlineStr">
        <is>
          <t>2000</t>
        </is>
      </c>
      <c r="R3" s="84" t="inlineStr">
        <is>
          <t>2001</t>
        </is>
      </c>
      <c r="S3" s="84" t="inlineStr">
        <is>
          <t>2002</t>
        </is>
      </c>
      <c r="T3" s="84" t="inlineStr">
        <is>
          <t>2003</t>
        </is>
      </c>
      <c r="U3" s="84" t="inlineStr">
        <is>
          <t>2004</t>
        </is>
      </c>
      <c r="V3" s="84" t="inlineStr">
        <is>
          <t>2005</t>
        </is>
      </c>
      <c r="W3" s="84" t="inlineStr">
        <is>
          <t>2006</t>
        </is>
      </c>
      <c r="X3" s="84" t="inlineStr">
        <is>
          <t>2007</t>
        </is>
      </c>
      <c r="Y3" s="84" t="inlineStr">
        <is>
          <t>2008</t>
        </is>
      </c>
      <c r="Z3" s="84" t="inlineStr">
        <is>
          <t>2009</t>
        </is>
      </c>
      <c r="AA3" s="84" t="inlineStr">
        <is>
          <t>2010</t>
        </is>
      </c>
      <c r="AB3" s="84" t="inlineStr">
        <is>
          <t>2011</t>
        </is>
      </c>
      <c r="AC3" s="84" t="inlineStr">
        <is>
          <t>2012</t>
        </is>
      </c>
      <c r="AD3" s="84" t="inlineStr">
        <is>
          <t>2013</t>
        </is>
      </c>
      <c r="AE3" s="84" t="inlineStr">
        <is>
          <t>2014</t>
        </is>
      </c>
      <c r="AF3" s="84" t="inlineStr">
        <is>
          <t>2015</t>
        </is>
      </c>
      <c r="AG3" s="84" t="inlineStr">
        <is>
          <t>2016</t>
        </is>
      </c>
      <c r="AH3" s="84" t="inlineStr">
        <is>
          <t>2017</t>
        </is>
      </c>
      <c r="AI3" s="84" t="inlineStr">
        <is>
          <t>2018</t>
        </is>
      </c>
      <c r="AJ3" s="84" t="inlineStr">
        <is>
          <t>2019</t>
        </is>
      </c>
      <c r="AK3" s="84" t="inlineStr">
        <is>
          <t>2020</t>
        </is>
      </c>
      <c r="AL3" s="84" t="inlineStr">
        <is>
          <t>2021</t>
        </is>
      </c>
      <c r="AM3" s="84" t="inlineStr">
        <is>
          <t>2022</t>
        </is>
      </c>
      <c r="AN3" s="84" t="inlineStr">
        <is>
          <t>2023</t>
        </is>
      </c>
      <c r="AO3" s="84" t="inlineStr">
        <is>
          <t>2024</t>
        </is>
      </c>
      <c r="AP3" s="84" t="inlineStr">
        <is>
          <t>2025</t>
        </is>
      </c>
    </row>
    <row r="4" ht="15" customHeight="1" s="62">
      <c r="A4" s="83" t="inlineStr">
        <is>
          <t>Total Assets</t>
        </is>
      </c>
      <c r="B4" s="85" t="n">
        <v>0.000936</v>
      </c>
      <c r="C4" s="85" t="n">
        <v>0.00116</v>
      </c>
      <c r="D4" s="85" t="n">
        <v>0.001478</v>
      </c>
      <c r="E4" s="85" t="n">
        <v>0.002082</v>
      </c>
      <c r="F4" s="85" t="n">
        <v>0.002744</v>
      </c>
      <c r="G4" s="85" t="n">
        <v>0.002976</v>
      </c>
      <c r="H4" s="85" t="n">
        <v>0.003494</v>
      </c>
      <c r="I4" s="85" t="n">
        <v>0.004224</v>
      </c>
      <c r="J4" s="85" t="n">
        <v>0.005171</v>
      </c>
      <c r="K4" s="85" t="n">
        <v>0.005303</v>
      </c>
      <c r="L4" s="85" t="n">
        <v>0.006231</v>
      </c>
      <c r="M4" s="85" t="n">
        <v>0.005364</v>
      </c>
      <c r="N4" s="85" t="n">
        <v>0.004233</v>
      </c>
      <c r="O4" s="85" t="n">
        <v>0.004289</v>
      </c>
      <c r="P4" s="85" t="n">
        <v>0.005161</v>
      </c>
      <c r="Q4" s="85" t="n">
        <v>0.006803</v>
      </c>
      <c r="R4" s="85" t="n">
        <v>0.006021</v>
      </c>
      <c r="S4" s="85" t="n">
        <v>0.006298</v>
      </c>
      <c r="T4" s="85" t="n">
        <v>0.006815</v>
      </c>
      <c r="U4" s="85" t="n">
        <v>0.00805</v>
      </c>
      <c r="V4" s="85" t="n">
        <v>0.011551</v>
      </c>
      <c r="W4" s="85" t="n">
        <v>0.017205</v>
      </c>
      <c r="X4" s="85" t="n">
        <v>0.025347</v>
      </c>
      <c r="Y4" s="85" t="n">
        <v>0.039572</v>
      </c>
      <c r="Z4" s="85" t="n">
        <v>0.053851</v>
      </c>
      <c r="AA4" s="85" t="n">
        <v>0.075183</v>
      </c>
      <c r="AB4" s="85" t="n">
        <v>0.116371</v>
      </c>
      <c r="AC4" s="85" t="n">
        <v>0.176064</v>
      </c>
      <c r="AD4" s="85" t="n">
        <v>0.207</v>
      </c>
      <c r="AE4" s="85" t="n">
        <v>0.231839</v>
      </c>
      <c r="AF4" s="85" t="n">
        <v>0.290479</v>
      </c>
      <c r="AG4" s="85" t="n">
        <v>0.321686</v>
      </c>
      <c r="AH4" s="85" t="n">
        <v>0.375319</v>
      </c>
      <c r="AI4" s="85" t="n">
        <v>0.365725</v>
      </c>
      <c r="AJ4" s="85" t="n">
        <v>0.338516</v>
      </c>
      <c r="AK4" s="85" t="n">
        <v>0.323888</v>
      </c>
      <c r="AL4" s="85" t="n">
        <v>0.351002</v>
      </c>
      <c r="AM4" s="85" t="n">
        <v>0.352755</v>
      </c>
      <c r="AN4" s="85" t="n">
        <v>0.352583</v>
      </c>
      <c r="AO4" s="85" t="n">
        <v>0.36498</v>
      </c>
      <c r="AP4" s="85" t="n">
        <v>0.359241</v>
      </c>
    </row>
    <row r="5" ht="15" customHeight="1" s="62">
      <c r="A5" s="86" t="inlineStr">
        <is>
          <t xml:space="preserve">  Current Assets</t>
        </is>
      </c>
      <c r="B5" s="85" t="n"/>
      <c r="C5" s="85" t="n"/>
      <c r="D5" s="85" t="n"/>
      <c r="E5" s="85" t="n"/>
      <c r="F5" s="85" t="n"/>
      <c r="G5" s="85" t="n"/>
      <c r="H5" s="85" t="n"/>
      <c r="I5" s="85" t="n"/>
      <c r="J5" s="85" t="n"/>
      <c r="K5" s="85" t="n"/>
      <c r="L5" s="85" t="n"/>
      <c r="M5" s="85" t="n"/>
      <c r="N5" s="85" t="n"/>
      <c r="O5" s="85" t="n"/>
      <c r="P5" s="85" t="n"/>
      <c r="Q5" s="85" t="n"/>
      <c r="R5" s="85" t="n"/>
      <c r="S5" s="85" t="n"/>
      <c r="T5" s="85" t="n"/>
      <c r="U5" s="85" t="n"/>
      <c r="V5" s="85" t="n"/>
      <c r="W5" s="85" t="n"/>
      <c r="X5" s="85" t="n"/>
      <c r="Y5" s="85" t="n"/>
      <c r="Z5" s="85" t="n"/>
      <c r="AA5" s="85" t="n"/>
      <c r="AB5" s="85" t="n"/>
      <c r="AC5" s="85" t="n"/>
      <c r="AD5" s="85" t="n"/>
      <c r="AE5" s="85" t="n"/>
      <c r="AF5" s="85" t="n"/>
      <c r="AG5" s="85" t="n"/>
      <c r="AH5" s="85" t="n"/>
      <c r="AI5" s="85" t="n"/>
      <c r="AJ5" s="85" t="n"/>
      <c r="AK5" s="85" t="n"/>
      <c r="AL5" s="85" t="n"/>
      <c r="AM5" s="85" t="n"/>
      <c r="AN5" s="85" t="n"/>
      <c r="AO5" s="85" t="n"/>
      <c r="AP5" s="85" t="n"/>
    </row>
    <row r="6" ht="15" customHeight="1" s="62">
      <c r="A6" s="86" t="inlineStr">
        <is>
          <t xml:space="preserve">    Cash, Cash Equivalents &amp; Short Term Investments</t>
        </is>
      </c>
      <c r="B6" s="85" t="n"/>
      <c r="C6" s="85" t="n"/>
      <c r="D6" s="85" t="n"/>
      <c r="E6" s="85" t="n"/>
      <c r="F6" s="85" t="n"/>
      <c r="G6" s="85" t="n"/>
      <c r="H6" s="85" t="n"/>
      <c r="I6" s="85" t="n"/>
      <c r="J6" s="85" t="n"/>
      <c r="K6" s="85" t="n"/>
      <c r="L6" s="85" t="n"/>
      <c r="M6" s="85" t="n"/>
      <c r="N6" s="85" t="n"/>
      <c r="O6" s="85" t="n"/>
      <c r="P6" s="85" t="n"/>
      <c r="Q6" s="85" t="n"/>
      <c r="R6" s="85" t="n"/>
      <c r="S6" s="85" t="n"/>
      <c r="T6" s="85" t="n"/>
      <c r="U6" s="85" t="n"/>
      <c r="V6" s="85" t="n"/>
      <c r="W6" s="85" t="n"/>
      <c r="X6" s="85" t="n"/>
      <c r="Y6" s="85" t="n"/>
      <c r="Z6" s="85" t="n"/>
      <c r="AA6" s="85" t="n"/>
      <c r="AB6" s="85" t="n"/>
      <c r="AC6" s="85" t="n"/>
      <c r="AD6" s="85" t="n"/>
      <c r="AE6" s="85" t="n"/>
      <c r="AF6" s="85" t="n"/>
      <c r="AG6" s="85" t="n"/>
      <c r="AH6" s="85" t="n"/>
      <c r="AI6" s="85" t="n"/>
      <c r="AJ6" s="85" t="n"/>
      <c r="AK6" s="85" t="n"/>
      <c r="AL6" s="85" t="n"/>
      <c r="AM6" s="85" t="n"/>
      <c r="AN6" s="85" t="n"/>
      <c r="AO6" s="85" t="n"/>
      <c r="AP6" s="85" t="n"/>
    </row>
    <row r="7" ht="15" customHeight="1" s="62">
      <c r="A7" s="86" t="inlineStr">
        <is>
          <t xml:space="preserve">      Cash And Cash Equivalents</t>
        </is>
      </c>
      <c r="B7" s="85" t="n">
        <v>0.000337</v>
      </c>
      <c r="C7" s="85" t="n">
        <v>0.000576</v>
      </c>
      <c r="D7" s="85" t="n">
        <v>0.000565</v>
      </c>
      <c r="E7" s="85" t="n">
        <v>0.000546</v>
      </c>
      <c r="F7" s="85" t="n">
        <v>0.000438</v>
      </c>
      <c r="G7" s="85" t="n">
        <v>0.000375</v>
      </c>
      <c r="H7" s="85" t="n">
        <v>0.000604</v>
      </c>
      <c r="I7" s="85" t="n">
        <v>0.000499</v>
      </c>
      <c r="J7" s="85" t="n">
        <v>0.000676</v>
      </c>
      <c r="K7" s="85" t="n">
        <v>0.001203</v>
      </c>
      <c r="L7" s="85" t="n">
        <v>0.0007560000000000001</v>
      </c>
      <c r="M7" s="85" t="n">
        <v>0.001552</v>
      </c>
      <c r="N7" s="85" t="n">
        <v>0.00123</v>
      </c>
      <c r="O7" s="85" t="n">
        <v>0.001481</v>
      </c>
      <c r="P7" s="85" t="n">
        <v>0.001326</v>
      </c>
      <c r="Q7" s="85" t="n">
        <v>0.001191</v>
      </c>
      <c r="R7" s="85" t="n">
        <v>0.00231</v>
      </c>
      <c r="S7" s="85" t="n">
        <v>0.002252</v>
      </c>
      <c r="T7" s="85" t="n">
        <v>0.003396</v>
      </c>
      <c r="U7" s="85" t="n">
        <v>0.002969</v>
      </c>
      <c r="V7" s="85" t="n">
        <v>0.003491</v>
      </c>
      <c r="W7" s="85" t="n">
        <v>0.006392</v>
      </c>
      <c r="X7" s="85" t="n">
        <v>0.009351999999999999</v>
      </c>
      <c r="Y7" s="85" t="n">
        <v>0.011875</v>
      </c>
      <c r="Z7" s="85" t="n">
        <v>0.005263</v>
      </c>
      <c r="AA7" s="85" t="n">
        <v>0.011261</v>
      </c>
      <c r="AB7" s="85" t="n">
        <v>0.009815000000000001</v>
      </c>
      <c r="AC7" s="85" t="n">
        <v>0.010746</v>
      </c>
      <c r="AD7" s="85" t="n">
        <v>0.014259</v>
      </c>
      <c r="AE7" s="85" t="n">
        <v>0.013844</v>
      </c>
      <c r="AF7" s="85" t="n">
        <v>0.02112</v>
      </c>
      <c r="AG7" s="85" t="n">
        <v>0.020484</v>
      </c>
      <c r="AH7" s="85" t="n">
        <v>0.020289</v>
      </c>
      <c r="AI7" s="85" t="n">
        <v>0.025913</v>
      </c>
      <c r="AJ7" s="85" t="n">
        <v>0.048844</v>
      </c>
      <c r="AK7" s="85" t="n">
        <v>0.038016</v>
      </c>
      <c r="AL7" s="85" t="n">
        <v>0.03494</v>
      </c>
      <c r="AM7" s="85" t="n">
        <v>0.023646</v>
      </c>
      <c r="AN7" s="85" t="n">
        <v>0.029965</v>
      </c>
      <c r="AO7" s="85" t="n">
        <v>0.029943</v>
      </c>
      <c r="AP7" s="85" t="n">
        <v>0.035934</v>
      </c>
    </row>
    <row r="8" ht="15" customHeight="1" s="62">
      <c r="A8" s="86" t="inlineStr">
        <is>
          <t xml:space="preserve">        Cash</t>
        </is>
      </c>
      <c r="AD8" s="85" t="n"/>
      <c r="AE8" s="85" t="n"/>
      <c r="AG8" s="85" t="n"/>
      <c r="AH8" s="85" t="n"/>
      <c r="AI8" s="85" t="n"/>
      <c r="AJ8" s="85" t="n"/>
      <c r="AK8" s="85" t="n"/>
      <c r="AL8" s="85" t="n"/>
      <c r="AM8" s="85" t="n"/>
      <c r="AN8" s="85" t="n"/>
      <c r="AO8" s="85" t="n"/>
    </row>
    <row r="9" ht="15" customHeight="1" s="62">
      <c r="A9" s="86" t="inlineStr">
        <is>
          <t xml:space="preserve">        Cash Equivalents</t>
        </is>
      </c>
      <c r="AD9" s="85" t="n"/>
      <c r="AE9" s="85" t="n"/>
      <c r="AG9" s="85" t="n"/>
      <c r="AH9" s="85" t="n"/>
      <c r="AI9" s="85" t="n"/>
      <c r="AJ9" s="85" t="n"/>
      <c r="AK9" s="85" t="n"/>
      <c r="AL9" s="85" t="n"/>
      <c r="AM9" s="85" t="n"/>
      <c r="AN9" s="85" t="n"/>
      <c r="AO9" s="85" t="n"/>
    </row>
    <row r="10" ht="15" customHeight="1" s="62">
      <c r="A10" s="86" t="inlineStr">
        <is>
          <t xml:space="preserve">      Other Short Term Investments</t>
        </is>
      </c>
      <c r="J10" s="121" t="n">
        <v>0.000216</v>
      </c>
      <c r="K10" s="121" t="n">
        <v>5.4e-05</v>
      </c>
      <c r="L10" s="85" t="n">
        <v>0.000196</v>
      </c>
      <c r="M10" s="85" t="n">
        <v>0.000193</v>
      </c>
      <c r="N10" s="85" t="n">
        <v>0.000229</v>
      </c>
      <c r="O10" s="85" t="n">
        <v>0.000819</v>
      </c>
      <c r="P10" s="121" t="n">
        <v>0.0019</v>
      </c>
      <c r="Q10" s="121" t="n">
        <v>0.002836</v>
      </c>
      <c r="R10" s="121" t="n">
        <v>0.002026</v>
      </c>
      <c r="S10" s="85" t="n">
        <v>0.002085</v>
      </c>
      <c r="T10" s="85" t="n">
        <v>0.00117</v>
      </c>
      <c r="U10" s="85" t="n">
        <v>0.002495</v>
      </c>
      <c r="V10" s="121" t="n">
        <v>0.00477</v>
      </c>
      <c r="W10" s="121" t="n">
        <v>0.003718</v>
      </c>
      <c r="X10" s="121" t="n">
        <v>0.006034</v>
      </c>
      <c r="Y10" s="121" t="n">
        <v>0.012615</v>
      </c>
      <c r="Z10" s="121" t="n">
        <v>0.018201</v>
      </c>
      <c r="AA10" s="121" t="n">
        <v>0.014359</v>
      </c>
      <c r="AB10" s="121" t="n">
        <v>0.016137</v>
      </c>
      <c r="AC10" s="121" t="n">
        <v>0.018383</v>
      </c>
      <c r="AD10" s="121" t="n">
        <v>0.026287</v>
      </c>
      <c r="AE10" s="121" t="n">
        <v>0.011233</v>
      </c>
      <c r="AF10" s="121" t="n">
        <v>0.020481</v>
      </c>
      <c r="AG10" s="121" t="n">
        <v>0.046671</v>
      </c>
      <c r="AH10" s="121" t="n">
        <v>0.053892</v>
      </c>
      <c r="AI10" s="121" t="n">
        <v>0.040388</v>
      </c>
      <c r="AJ10" s="121" t="n">
        <v>0.051713</v>
      </c>
      <c r="AK10" s="121" t="n">
        <v>0.052927</v>
      </c>
      <c r="AL10" s="121" t="n">
        <v>0.027699</v>
      </c>
      <c r="AM10" s="121" t="n">
        <v>0.024658</v>
      </c>
      <c r="AN10" s="121" t="n">
        <v>0.03159</v>
      </c>
      <c r="AO10" s="121" t="n">
        <v>0.035228</v>
      </c>
      <c r="AP10" s="121" t="n">
        <v>0.018763</v>
      </c>
    </row>
    <row r="11" ht="15" customHeight="1" s="62">
      <c r="A11" s="86" t="inlineStr">
        <is>
          <t xml:space="preserve">    Receivables</t>
        </is>
      </c>
      <c r="B11" s="85" t="n"/>
      <c r="C11" s="85" t="n"/>
      <c r="D11" s="85" t="n"/>
      <c r="E11" s="85" t="n"/>
      <c r="F11" s="85" t="n"/>
      <c r="G11" s="85" t="n"/>
      <c r="H11" s="85" t="n"/>
      <c r="I11" s="85" t="n"/>
      <c r="J11" s="85" t="n"/>
      <c r="K11" s="85" t="n"/>
      <c r="L11" s="85" t="n"/>
      <c r="M11" s="85" t="n"/>
      <c r="N11" s="85" t="n"/>
      <c r="O11" s="85" t="n"/>
      <c r="P11" s="85" t="n"/>
      <c r="Q11" s="85" t="n"/>
      <c r="R11" s="85" t="n"/>
      <c r="S11" s="85" t="n"/>
      <c r="T11" s="85" t="n"/>
      <c r="U11" s="85" t="n"/>
      <c r="V11" s="85" t="n"/>
      <c r="W11" s="85" t="n"/>
      <c r="X11" s="85" t="n"/>
      <c r="Y11" s="85" t="n"/>
      <c r="Z11" s="85" t="n"/>
      <c r="AA11" s="85" t="n"/>
      <c r="AB11" s="85" t="n"/>
      <c r="AC11" s="85" t="n"/>
      <c r="AD11" s="85" t="n"/>
      <c r="AE11" s="85" t="n"/>
      <c r="AF11" s="85" t="n"/>
      <c r="AG11" s="85" t="n"/>
      <c r="AH11" s="85" t="n"/>
      <c r="AI11" s="85" t="n"/>
      <c r="AJ11" s="85" t="n"/>
      <c r="AK11" s="85" t="n"/>
      <c r="AL11" s="85" t="n"/>
      <c r="AM11" s="85" t="n"/>
      <c r="AN11" s="85" t="n"/>
      <c r="AO11" s="85" t="n"/>
      <c r="AP11" s="85" t="n"/>
    </row>
    <row r="12" ht="15" customHeight="1" s="62">
      <c r="A12" s="86" t="inlineStr">
        <is>
          <t xml:space="preserve">      Accounts receivable</t>
        </is>
      </c>
      <c r="J12" s="85" t="n"/>
      <c r="K12" s="85" t="n"/>
      <c r="L12" s="85" t="n"/>
      <c r="M12" s="85" t="n"/>
      <c r="N12" s="85" t="n"/>
      <c r="O12" s="85" t="n"/>
      <c r="P12" s="85" t="n"/>
      <c r="Q12" s="85" t="n"/>
      <c r="R12" s="85" t="n"/>
      <c r="S12" s="85" t="n"/>
      <c r="T12" s="85" t="n"/>
      <c r="U12" s="85" t="n"/>
      <c r="V12" s="85" t="n"/>
      <c r="W12" s="85" t="n"/>
      <c r="X12" s="85" t="n"/>
      <c r="Y12" s="85" t="n"/>
      <c r="Z12" s="85" t="n"/>
      <c r="AA12" s="85" t="n"/>
      <c r="AB12" s="85" t="n"/>
      <c r="AC12" s="85" t="n"/>
      <c r="AD12" s="85" t="n"/>
      <c r="AE12" s="85" t="n"/>
      <c r="AF12" s="85" t="n"/>
      <c r="AG12" s="85" t="n"/>
      <c r="AH12" s="85" t="n"/>
      <c r="AI12" s="85" t="n"/>
      <c r="AJ12" s="85" t="n"/>
      <c r="AK12" s="85" t="n"/>
      <c r="AL12" s="85" t="n"/>
      <c r="AM12" s="85" t="n"/>
      <c r="AN12" s="85" t="n"/>
      <c r="AO12" s="85" t="n"/>
      <c r="AP12" s="85" t="n"/>
    </row>
    <row r="13" ht="15" customHeight="1" s="62">
      <c r="A13" s="86" t="inlineStr">
        <is>
          <t xml:space="preserve">        Gross Accounts Receivable</t>
        </is>
      </c>
      <c r="J13" s="85" t="n"/>
      <c r="K13" s="85" t="n"/>
      <c r="L13" s="85" t="n"/>
      <c r="M13" s="85" t="n"/>
      <c r="N13" s="85" t="n"/>
      <c r="O13" s="85" t="n"/>
      <c r="P13" s="85" t="n"/>
      <c r="Q13" s="85" t="n"/>
      <c r="R13" s="85" t="n"/>
      <c r="S13" s="85" t="n"/>
      <c r="T13" s="85" t="n"/>
      <c r="U13" s="85" t="n"/>
      <c r="V13" s="85" t="n"/>
      <c r="W13" s="85" t="n"/>
      <c r="X13" s="85" t="n"/>
      <c r="Y13" s="85" t="n"/>
      <c r="Z13" s="85" t="n"/>
      <c r="AA13" s="85" t="n"/>
      <c r="AB13" s="85" t="n"/>
      <c r="AC13" s="85" t="n"/>
      <c r="AD13" s="85" t="n"/>
      <c r="AE13" s="85" t="n"/>
      <c r="AF13" s="85" t="n"/>
      <c r="AG13" s="85" t="n"/>
      <c r="AH13" s="85" t="n"/>
      <c r="AI13" s="85" t="n"/>
      <c r="AJ13" s="85" t="n"/>
      <c r="AK13" s="85" t="n"/>
      <c r="AL13" s="85" t="n"/>
      <c r="AM13" s="85" t="n"/>
      <c r="AN13" s="85" t="n"/>
      <c r="AO13" s="85" t="n"/>
      <c r="AP13" s="85" t="n"/>
    </row>
    <row r="14" ht="15" customHeight="1" s="62">
      <c r="A14" s="86" t="inlineStr">
        <is>
          <t xml:space="preserve">        Allowance For Doubtful Accounts Receivable</t>
        </is>
      </c>
      <c r="J14" s="85" t="n"/>
      <c r="K14" s="85" t="n"/>
      <c r="L14" s="85" t="n"/>
      <c r="M14" s="85" t="n"/>
      <c r="N14" s="85" t="n"/>
      <c r="O14" s="85" t="n"/>
      <c r="P14" s="85" t="n"/>
      <c r="Q14" s="85" t="n"/>
      <c r="R14" s="85" t="n"/>
      <c r="S14" s="85" t="n"/>
      <c r="T14" s="85" t="n"/>
      <c r="U14" s="85" t="n"/>
      <c r="V14" s="85" t="n"/>
      <c r="W14" s="85" t="n"/>
      <c r="X14" s="85" t="n"/>
      <c r="Y14" s="85" t="n"/>
      <c r="Z14" s="85" t="n"/>
      <c r="AA14" s="85" t="n"/>
      <c r="AB14" s="85" t="n"/>
      <c r="AC14" s="85" t="n"/>
      <c r="AD14" s="85" t="n"/>
      <c r="AE14" s="85" t="n"/>
      <c r="AF14" s="85" t="n"/>
      <c r="AG14" s="85" t="n"/>
      <c r="AH14" s="85" t="n"/>
      <c r="AI14" s="85" t="n"/>
      <c r="AJ14" s="85" t="n"/>
      <c r="AK14" s="85" t="n"/>
      <c r="AL14" s="85" t="n"/>
      <c r="AM14" s="85" t="n"/>
      <c r="AN14" s="85" t="n"/>
      <c r="AO14" s="85" t="n"/>
      <c r="AP14" s="85" t="n"/>
    </row>
    <row r="15" ht="15" customHeight="1" s="62">
      <c r="A15" s="86" t="inlineStr">
        <is>
          <t xml:space="preserve">      Loans Receivable</t>
        </is>
      </c>
      <c r="Q15" s="85" t="n"/>
    </row>
    <row r="16" ht="15" customHeight="1" s="62">
      <c r="A16" s="86" t="inlineStr">
        <is>
          <t xml:space="preserve">      Notes Receivable</t>
        </is>
      </c>
      <c r="P16" s="85" t="n"/>
      <c r="Q16" s="85" t="n"/>
    </row>
    <row r="17" ht="15" customHeight="1" s="62">
      <c r="A17" s="86" t="inlineStr">
        <is>
          <t xml:space="preserve">    Inventory</t>
        </is>
      </c>
      <c r="B17" s="85" t="n"/>
      <c r="C17" s="85" t="n"/>
      <c r="D17" s="85" t="n"/>
      <c r="E17" s="85" t="n"/>
      <c r="F17" s="85" t="n"/>
      <c r="G17" s="85" t="n"/>
      <c r="H17" s="85" t="n"/>
      <c r="I17" s="85" t="n"/>
      <c r="J17" s="85" t="n"/>
      <c r="K17" s="85" t="n"/>
      <c r="L17" s="85" t="n"/>
      <c r="M17" s="85" t="n"/>
      <c r="AK17" s="85" t="n"/>
      <c r="AL17" s="85" t="n"/>
      <c r="AM17" s="85" t="n"/>
      <c r="AN17" s="85" t="n"/>
      <c r="AO17" s="85" t="n"/>
      <c r="AP17" s="85" t="n"/>
    </row>
    <row r="18" ht="15" customHeight="1" s="62">
      <c r="A18" s="86" t="inlineStr">
        <is>
          <t xml:space="preserve">      Raw Materials</t>
        </is>
      </c>
      <c r="J18" s="85" t="n"/>
      <c r="K18" s="85" t="n"/>
      <c r="L18" s="85" t="n"/>
      <c r="M18" s="85" t="n"/>
    </row>
    <row r="19" ht="15" customHeight="1" s="62">
      <c r="A19" s="86" t="inlineStr">
        <is>
          <t xml:space="preserve">    Prepaid Assets</t>
        </is>
      </c>
      <c r="J19" s="85" t="n"/>
      <c r="K19" s="85" t="n"/>
      <c r="L19" s="85" t="n"/>
      <c r="M19" s="85" t="n"/>
      <c r="N19" s="85" t="n"/>
      <c r="O19" s="85" t="n"/>
      <c r="P19" s="85" t="n"/>
      <c r="Q19" s="85" t="n"/>
      <c r="R19" s="85" t="n"/>
      <c r="S19" s="85" t="n"/>
      <c r="T19" s="85" t="n"/>
      <c r="U19" s="85" t="n"/>
      <c r="V19" s="85" t="n"/>
      <c r="W19" s="85" t="n"/>
      <c r="X19" s="85" t="n"/>
      <c r="Y19" s="85" t="n"/>
      <c r="Z19" s="85" t="n"/>
      <c r="AA19" s="85" t="n"/>
      <c r="AB19" s="85" t="n"/>
      <c r="AC19" s="85" t="n"/>
      <c r="AD19" s="85" t="n"/>
      <c r="AE19" s="85" t="n"/>
      <c r="AF19" s="85" t="n"/>
      <c r="AG19" s="85" t="n"/>
      <c r="AH19" s="85" t="n"/>
      <c r="AI19" s="85" t="n"/>
      <c r="AJ19" s="85" t="n"/>
      <c r="AK19" s="85" t="n"/>
      <c r="AL19" s="85" t="n"/>
    </row>
    <row r="20" ht="15" customHeight="1" s="62">
      <c r="A20" s="86" t="inlineStr">
        <is>
          <t xml:space="preserve">    Restricted Cash</t>
        </is>
      </c>
      <c r="AF20" s="85" t="n"/>
      <c r="AG20" s="85" t="n"/>
      <c r="AH20" s="85" t="n"/>
      <c r="AI20" s="85" t="n"/>
      <c r="AJ20" s="85" t="n"/>
      <c r="AK20" s="85" t="n"/>
      <c r="AL20" s="85" t="n"/>
      <c r="AM20" s="85" t="n"/>
      <c r="AN20" s="85" t="n"/>
      <c r="AO20" s="85" t="n"/>
    </row>
    <row r="21" ht="15" customHeight="1" s="62">
      <c r="A21" s="86" t="inlineStr">
        <is>
          <t xml:space="preserve">    Current Deferred Assets</t>
        </is>
      </c>
      <c r="J21" s="85" t="n"/>
      <c r="K21" s="85" t="n"/>
      <c r="L21" s="85" t="n"/>
      <c r="M21" s="85" t="n"/>
      <c r="N21" s="85" t="n"/>
      <c r="O21" s="85" t="n"/>
      <c r="P21" s="85" t="n"/>
      <c r="Q21" s="85" t="n"/>
      <c r="R21" s="85" t="n"/>
      <c r="S21" s="85" t="n"/>
      <c r="T21" s="85" t="n"/>
      <c r="U21" s="85" t="n"/>
      <c r="V21" s="85" t="n"/>
      <c r="W21" s="85" t="n"/>
      <c r="X21" s="85" t="n"/>
      <c r="Y21" s="85" t="n"/>
      <c r="Z21" s="85" t="n"/>
      <c r="AA21" s="85" t="n"/>
      <c r="AB21" s="85" t="n"/>
      <c r="AC21" s="85" t="n"/>
      <c r="AD21" s="85" t="n"/>
      <c r="AE21" s="85" t="n"/>
    </row>
    <row r="22" ht="15" customHeight="1" s="62">
      <c r="A22" s="86" t="inlineStr">
        <is>
          <t xml:space="preserve">      Current Deferred Taxes Assets</t>
        </is>
      </c>
      <c r="J22" s="85" t="n"/>
      <c r="K22" s="85" t="n"/>
      <c r="L22" s="85" t="n"/>
      <c r="M22" s="85" t="n"/>
      <c r="N22" s="85" t="n"/>
      <c r="O22" s="85" t="n"/>
      <c r="P22" s="85" t="n"/>
      <c r="Q22" s="85" t="n"/>
      <c r="R22" s="85" t="n"/>
      <c r="S22" s="85" t="n"/>
      <c r="T22" s="85" t="n"/>
      <c r="U22" s="85" t="n"/>
      <c r="V22" s="85" t="n"/>
      <c r="W22" s="85" t="n"/>
      <c r="X22" s="85" t="n"/>
      <c r="Y22" s="85" t="n"/>
      <c r="Z22" s="85" t="n"/>
      <c r="AA22" s="85" t="n"/>
      <c r="AB22" s="85" t="n"/>
      <c r="AC22" s="85" t="n"/>
      <c r="AD22" s="85" t="n"/>
      <c r="AE22" s="85" t="n"/>
    </row>
    <row r="23" ht="15" customHeight="1" s="62">
      <c r="A23" s="86" t="inlineStr">
        <is>
          <t xml:space="preserve">    Assets Held for Sale Current</t>
        </is>
      </c>
      <c r="T23" s="85" t="n"/>
      <c r="U23" s="85" t="n"/>
      <c r="AL23" s="85" t="n"/>
      <c r="AM23" s="85" t="n"/>
    </row>
    <row r="24" ht="15" customHeight="1" s="62">
      <c r="A24" s="86" t="inlineStr">
        <is>
          <t xml:space="preserve">    Other Current Assets</t>
        </is>
      </c>
      <c r="B24" s="85" t="n"/>
      <c r="C24" s="85" t="n"/>
      <c r="D24" s="85" t="n"/>
      <c r="E24" s="85" t="n"/>
      <c r="F24" s="85" t="n"/>
      <c r="G24" s="85" t="n"/>
      <c r="H24" s="85" t="n"/>
      <c r="I24" s="85" t="n"/>
      <c r="J24" s="85" t="n"/>
      <c r="K24" s="85" t="n"/>
      <c r="L24" s="85" t="n"/>
      <c r="M24" s="85" t="n"/>
      <c r="N24" s="85" t="n"/>
      <c r="O24" s="85" t="n"/>
      <c r="P24" s="85" t="n"/>
      <c r="Q24" s="85" t="n"/>
      <c r="R24" s="85" t="n"/>
      <c r="S24" s="85" t="n"/>
      <c r="T24" s="85" t="n"/>
      <c r="U24" s="85" t="n"/>
      <c r="V24" s="85" t="n"/>
      <c r="W24" s="85" t="n"/>
      <c r="X24" s="85" t="n"/>
      <c r="Y24" s="85" t="n"/>
      <c r="Z24" s="85" t="n"/>
      <c r="AA24" s="85" t="n"/>
      <c r="AB24" s="85" t="n"/>
      <c r="AC24" s="85" t="n"/>
      <c r="AD24" s="85" t="n"/>
      <c r="AE24" s="85" t="n"/>
      <c r="AF24" s="85" t="n"/>
      <c r="AG24" s="85" t="n"/>
      <c r="AH24" s="85" t="n"/>
      <c r="AI24" s="85" t="n"/>
      <c r="AJ24" s="85" t="n"/>
      <c r="AK24" s="85" t="n"/>
      <c r="AL24" s="85" t="n"/>
      <c r="AM24" s="85" t="n"/>
      <c r="AN24" s="85" t="n"/>
      <c r="AO24" s="85" t="n"/>
      <c r="AP24" s="85" t="n"/>
    </row>
    <row r="25" ht="15" customHeight="1" s="62">
      <c r="A25" s="86" t="inlineStr">
        <is>
          <t xml:space="preserve">  Total non-current assets</t>
        </is>
      </c>
      <c r="B25" s="85" t="n"/>
      <c r="C25" s="85" t="n"/>
      <c r="D25" s="85" t="n"/>
      <c r="E25" s="85" t="n"/>
      <c r="F25" s="85" t="n"/>
      <c r="G25" s="85" t="n"/>
      <c r="H25" s="85" t="n"/>
      <c r="I25" s="85" t="n"/>
      <c r="J25" s="85" t="n"/>
      <c r="K25" s="85" t="n"/>
      <c r="L25" s="85" t="n"/>
      <c r="M25" s="85" t="n"/>
      <c r="N25" s="85" t="n"/>
      <c r="O25" s="85" t="n"/>
      <c r="P25" s="85" t="n"/>
      <c r="Q25" s="85" t="n"/>
      <c r="R25" s="85" t="n"/>
      <c r="S25" s="85" t="n"/>
      <c r="T25" s="85" t="n"/>
      <c r="U25" s="85" t="n"/>
      <c r="V25" s="85" t="n"/>
      <c r="W25" s="85" t="n"/>
      <c r="X25" s="85" t="n"/>
      <c r="Y25" s="85" t="n"/>
      <c r="Z25" s="85" t="n"/>
      <c r="AA25" s="85" t="n"/>
      <c r="AB25" s="85" t="n"/>
      <c r="AC25" s="85" t="n"/>
      <c r="AD25" s="85" t="n"/>
      <c r="AE25" s="85" t="n"/>
      <c r="AF25" s="85" t="n"/>
      <c r="AG25" s="85" t="n"/>
      <c r="AH25" s="85" t="n"/>
      <c r="AI25" s="85" t="n"/>
      <c r="AJ25" s="85" t="n"/>
      <c r="AK25" s="85" t="n"/>
      <c r="AL25" s="85" t="n"/>
      <c r="AM25" s="85" t="n"/>
      <c r="AN25" s="85" t="n"/>
      <c r="AO25" s="85" t="n"/>
      <c r="AP25" s="85" t="n"/>
    </row>
    <row r="26" ht="15" customHeight="1" s="62">
      <c r="A26" s="86" t="inlineStr">
        <is>
          <t xml:space="preserve">    Net PPE</t>
        </is>
      </c>
      <c r="B26" s="85" t="n">
        <v>9.000000000000001e-05</v>
      </c>
      <c r="C26" s="85" t="n">
        <v>0.000107</v>
      </c>
      <c r="D26" s="85" t="n">
        <v>0.00013</v>
      </c>
      <c r="E26" s="85" t="n">
        <v>0.000207</v>
      </c>
      <c r="F26" s="85" t="n">
        <v>0.000334</v>
      </c>
      <c r="G26" s="85" t="n">
        <v>0.000398</v>
      </c>
      <c r="H26" s="85" t="n">
        <v>0.000448</v>
      </c>
      <c r="I26" s="85" t="n">
        <v>0.000462</v>
      </c>
      <c r="J26" s="85" t="n">
        <v>0.00066</v>
      </c>
      <c r="K26" s="85" t="n">
        <v>0.0006669999999999999</v>
      </c>
      <c r="L26" s="85" t="n">
        <v>0.000711</v>
      </c>
      <c r="M26" s="85" t="n">
        <v>0.000598</v>
      </c>
      <c r="N26" s="85" t="n">
        <v>0.000486</v>
      </c>
      <c r="O26" s="85" t="n">
        <v>0.000348</v>
      </c>
      <c r="P26" s="85" t="n">
        <v>0.000318</v>
      </c>
      <c r="Q26" s="85" t="n">
        <v>0.000313</v>
      </c>
      <c r="R26" s="85" t="n">
        <v>0.000564</v>
      </c>
      <c r="S26" s="85" t="n">
        <v>0.000621</v>
      </c>
      <c r="T26" s="85" t="n">
        <v>0.000669</v>
      </c>
      <c r="U26" s="85" t="n">
        <v>0.0007069999999999999</v>
      </c>
      <c r="V26" s="85" t="n">
        <v>0.000817</v>
      </c>
      <c r="W26" s="85" t="n">
        <v>0.001281</v>
      </c>
      <c r="X26" s="85" t="n">
        <v>0.001832</v>
      </c>
      <c r="Y26" s="85" t="n">
        <v>0.002455</v>
      </c>
      <c r="Z26" s="85" t="n">
        <v>0.002954</v>
      </c>
      <c r="AA26" s="85" t="n">
        <v>0.004768</v>
      </c>
      <c r="AB26" s="85" t="n">
        <v>0.007777</v>
      </c>
      <c r="AC26" s="85" t="n">
        <v>0.015452</v>
      </c>
      <c r="AD26" s="85" t="n">
        <v>0.016597</v>
      </c>
      <c r="AE26" s="85" t="n">
        <v>0.020624</v>
      </c>
      <c r="AF26" s="85" t="n">
        <v>0.022471</v>
      </c>
      <c r="AG26" s="85" t="n">
        <v>0.02701</v>
      </c>
      <c r="AH26" s="85" t="n">
        <v>0.033783</v>
      </c>
      <c r="AI26" s="85" t="n">
        <v>0.041304</v>
      </c>
      <c r="AJ26" s="85" t="n">
        <v>0.037378</v>
      </c>
      <c r="AK26" s="85" t="n">
        <v>0.036766</v>
      </c>
      <c r="AL26" s="85" t="n">
        <v>0.03944</v>
      </c>
      <c r="AM26" s="85" t="n">
        <v>0.042117</v>
      </c>
      <c r="AN26" s="85" t="n">
        <v>0.043715</v>
      </c>
      <c r="AO26" s="85" t="n">
        <v>0.04568</v>
      </c>
      <c r="AP26" s="85" t="n">
        <v>0.049834</v>
      </c>
    </row>
    <row r="27" ht="15" customHeight="1" s="62">
      <c r="A27" s="86" t="inlineStr">
        <is>
          <t xml:space="preserve">      Gross PPE</t>
        </is>
      </c>
      <c r="B27" s="85" t="n"/>
      <c r="C27" s="85" t="n"/>
      <c r="D27" s="85" t="n"/>
      <c r="E27" s="85" t="n"/>
      <c r="F27" s="85" t="n"/>
      <c r="G27" s="85" t="n"/>
      <c r="H27" s="85" t="n"/>
      <c r="I27" s="85" t="n"/>
      <c r="J27" s="85" t="n">
        <v>0.001413</v>
      </c>
      <c r="K27" s="85" t="n">
        <v>0.001452</v>
      </c>
      <c r="L27" s="85" t="n">
        <v>0.001492</v>
      </c>
      <c r="M27" s="85" t="n">
        <v>0.001348</v>
      </c>
      <c r="N27" s="85" t="n">
        <v>0.001195</v>
      </c>
      <c r="O27" s="85" t="n">
        <v>0.000824</v>
      </c>
      <c r="P27" s="85" t="n">
        <v>0.000729</v>
      </c>
      <c r="Q27" s="85" t="n">
        <v>0.0007</v>
      </c>
      <c r="R27" s="85" t="n">
        <v>0.00096</v>
      </c>
      <c r="S27" s="85" t="n">
        <v>0.001057</v>
      </c>
      <c r="T27" s="85" t="n">
        <v>0.001174</v>
      </c>
      <c r="U27" s="85" t="n">
        <v>0.001298</v>
      </c>
      <c r="V27" s="85" t="n">
        <v>0.001481</v>
      </c>
      <c r="W27" s="85" t="n">
        <v>0.002075</v>
      </c>
      <c r="X27" s="85" t="n">
        <v>0.002841</v>
      </c>
      <c r="Y27" s="85" t="n">
        <v>0.003747</v>
      </c>
      <c r="Z27" s="85" t="n">
        <v>0.004667</v>
      </c>
      <c r="AA27" s="85" t="n">
        <v>0.007234</v>
      </c>
      <c r="AB27" s="85" t="n">
        <v>0.011768</v>
      </c>
      <c r="AC27" s="85" t="n">
        <v>0.021887</v>
      </c>
      <c r="AD27" s="85" t="n">
        <v>0.028519</v>
      </c>
      <c r="AE27" s="85" t="n">
        <v>0.039015</v>
      </c>
      <c r="AF27" s="85" t="n">
        <v>0.049257</v>
      </c>
      <c r="AG27" s="85" t="n">
        <v>0.061245</v>
      </c>
      <c r="AH27" s="85" t="n">
        <v>0.075076</v>
      </c>
      <c r="AI27" s="85" t="n">
        <v>0.090403</v>
      </c>
      <c r="AJ27" s="85" t="n">
        <v>0.095957</v>
      </c>
      <c r="AK27" s="85" t="n">
        <v>0.103526</v>
      </c>
      <c r="AL27" s="85" t="n">
        <v>0.109723</v>
      </c>
      <c r="AM27" s="85" t="n">
        <v>0.114457</v>
      </c>
      <c r="AN27" s="85" t="n">
        <v>0.114599</v>
      </c>
      <c r="AO27" s="85" t="n">
        <v>0.119128</v>
      </c>
      <c r="AP27" s="85" t="n">
        <v>0.125848</v>
      </c>
    </row>
    <row r="28" ht="15" customHeight="1" s="62">
      <c r="A28" s="86" t="inlineStr">
        <is>
          <t xml:space="preserve">        Properties</t>
        </is>
      </c>
      <c r="N28" s="85" t="n"/>
      <c r="O28" s="85" t="n"/>
      <c r="P28" s="85" t="n"/>
      <c r="Q28" s="85" t="n"/>
      <c r="R28" s="85" t="n"/>
      <c r="S28" s="85" t="n"/>
      <c r="T28" s="85" t="n"/>
      <c r="U28" s="85" t="n"/>
      <c r="V28" s="85" t="n"/>
      <c r="W28" s="85" t="n"/>
      <c r="X28" s="85" t="n"/>
      <c r="Y28" s="85" t="n"/>
      <c r="Z28" s="85" t="n"/>
      <c r="AA28" s="85" t="n"/>
      <c r="AB28" s="85" t="n"/>
      <c r="AC28" s="85" t="n"/>
      <c r="AD28" s="85" t="n"/>
      <c r="AE28" s="85" t="n"/>
      <c r="AF28" s="85" t="n"/>
      <c r="AG28" s="85" t="n"/>
      <c r="AH28" s="85" t="n"/>
      <c r="AI28" s="85" t="n"/>
      <c r="AJ28" s="85" t="n"/>
      <c r="AK28" s="85" t="n"/>
      <c r="AL28" s="85" t="n"/>
      <c r="AM28" s="85" t="n"/>
      <c r="AN28" s="85" t="n"/>
      <c r="AO28" s="85" t="n"/>
      <c r="AP28" s="85" t="n"/>
    </row>
    <row r="29" ht="15" customHeight="1" s="62">
      <c r="A29" s="86" t="inlineStr">
        <is>
          <t xml:space="preserve">        Land And Improvements</t>
        </is>
      </c>
      <c r="N29" s="85" t="n"/>
      <c r="O29" s="85" t="n"/>
      <c r="P29" s="85" t="n"/>
      <c r="Q29" s="85" t="n"/>
      <c r="R29" s="85" t="n"/>
      <c r="S29" s="85" t="n"/>
      <c r="T29" s="85" t="n"/>
      <c r="U29" s="85" t="n"/>
      <c r="V29" s="85" t="n"/>
      <c r="W29" s="85" t="n"/>
      <c r="X29" s="85" t="n"/>
      <c r="Y29" s="85" t="n"/>
      <c r="Z29" s="85" t="n"/>
      <c r="AA29" s="85" t="n"/>
      <c r="AB29" s="85" t="n"/>
      <c r="AC29" s="85" t="n"/>
      <c r="AD29" s="85" t="n"/>
      <c r="AE29" s="85" t="n"/>
      <c r="AF29" s="85" t="n"/>
      <c r="AG29" s="85" t="n"/>
      <c r="AH29" s="85" t="n"/>
      <c r="AI29" s="85" t="n"/>
      <c r="AJ29" s="85" t="n"/>
      <c r="AK29" s="85" t="n"/>
      <c r="AL29" s="85" t="n"/>
      <c r="AM29" s="85" t="n"/>
      <c r="AN29" s="85" t="n"/>
      <c r="AO29" s="85" t="n"/>
      <c r="AP29" s="85" t="n"/>
    </row>
    <row r="30" ht="15" customHeight="1" s="62">
      <c r="A30" s="86" t="inlineStr">
        <is>
          <t xml:space="preserve">        Buildings And Improvements</t>
        </is>
      </c>
      <c r="N30" s="85" t="n"/>
      <c r="O30" s="85" t="n"/>
      <c r="P30" s="85" t="n"/>
      <c r="Q30" s="85" t="n"/>
      <c r="R30" s="85" t="n"/>
      <c r="S30" s="85" t="n"/>
      <c r="T30" s="85" t="n"/>
      <c r="U30" s="85" t="n"/>
      <c r="V30" s="85" t="n"/>
      <c r="W30" s="85" t="n"/>
      <c r="X30" s="85" t="n"/>
      <c r="Y30" s="85" t="n"/>
      <c r="Z30" s="85" t="n"/>
      <c r="AA30" s="85" t="n"/>
      <c r="AB30" s="85" t="n"/>
      <c r="AC30" s="85" t="n"/>
      <c r="AD30" s="85" t="n"/>
      <c r="AE30" s="85" t="n"/>
      <c r="AF30" s="85" t="n"/>
      <c r="AG30" s="85" t="n"/>
      <c r="AH30" s="85" t="n"/>
      <c r="AI30" s="85" t="n"/>
      <c r="AJ30" s="85" t="n"/>
      <c r="AK30" s="85" t="n"/>
      <c r="AL30" s="85" t="n"/>
      <c r="AM30" s="85" t="n"/>
      <c r="AN30" s="85" t="n"/>
      <c r="AO30" s="85" t="n"/>
      <c r="AP30" s="85" t="n"/>
    </row>
    <row r="31" ht="15" customHeight="1" s="62">
      <c r="A31" s="86" t="inlineStr">
        <is>
          <t xml:space="preserve">        Machinery Furniture Equipment</t>
        </is>
      </c>
      <c r="J31" s="85" t="n"/>
      <c r="K31" s="85" t="n"/>
      <c r="L31" s="85" t="n"/>
      <c r="M31" s="85" t="n"/>
      <c r="N31" s="85" t="n"/>
      <c r="O31" s="85" t="n"/>
      <c r="P31" s="85" t="n"/>
      <c r="Q31" s="85" t="n"/>
      <c r="R31" s="85" t="n"/>
      <c r="S31" s="85" t="n"/>
      <c r="T31" s="85" t="n"/>
      <c r="U31" s="85" t="n"/>
      <c r="V31" s="85" t="n"/>
      <c r="W31" s="85" t="n"/>
      <c r="X31" s="85" t="n"/>
      <c r="Y31" s="85" t="n"/>
      <c r="Z31" s="85" t="n"/>
      <c r="AA31" s="85" t="n"/>
      <c r="AB31" s="85" t="n"/>
      <c r="AC31" s="85" t="n"/>
      <c r="AD31" s="85" t="n"/>
      <c r="AE31" s="85" t="n"/>
      <c r="AF31" s="85" t="n"/>
      <c r="AG31" s="85" t="n"/>
      <c r="AH31" s="85" t="n"/>
      <c r="AI31" s="85" t="n"/>
      <c r="AJ31" s="85" t="n"/>
      <c r="AK31" s="85" t="n"/>
      <c r="AL31" s="85" t="n"/>
      <c r="AM31" s="85" t="n"/>
      <c r="AN31" s="85" t="n"/>
      <c r="AO31" s="85" t="n"/>
      <c r="AP31" s="85" t="n"/>
    </row>
    <row r="32" ht="15" customHeight="1" s="62">
      <c r="A32" s="86" t="inlineStr">
        <is>
          <t xml:space="preserve">        Other Properties</t>
        </is>
      </c>
      <c r="J32" s="85" t="n"/>
      <c r="K32" s="85" t="n"/>
      <c r="L32" s="85" t="n"/>
      <c r="M32" s="85" t="n"/>
      <c r="N32" s="85" t="n"/>
      <c r="O32" s="85" t="n"/>
      <c r="P32" s="85" t="n"/>
      <c r="Q32" s="85" t="n"/>
      <c r="R32" s="85" t="n"/>
      <c r="S32" s="85" t="n"/>
      <c r="T32" s="85" t="n"/>
      <c r="U32" s="85" t="n"/>
      <c r="V32" s="85" t="n"/>
      <c r="W32" s="85" t="n"/>
      <c r="X32" s="85" t="n"/>
      <c r="Y32" s="85" t="n"/>
      <c r="Z32" s="85" t="n"/>
      <c r="AA32" s="85" t="n"/>
      <c r="AB32" s="85" t="n"/>
      <c r="AC32" s="85" t="n"/>
      <c r="AD32" s="85" t="n"/>
      <c r="AE32" s="85" t="n"/>
      <c r="AF32" s="85" t="n"/>
      <c r="AG32" s="85" t="n"/>
      <c r="AH32" s="85" t="n"/>
      <c r="AI32" s="85" t="n"/>
      <c r="AJ32" s="85" t="n"/>
      <c r="AK32" s="85" t="n"/>
      <c r="AL32" s="85" t="n"/>
      <c r="AM32" s="85" t="n"/>
      <c r="AN32" s="85" t="n"/>
      <c r="AO32" s="85" t="n"/>
      <c r="AP32" s="85" t="n"/>
    </row>
    <row r="33" ht="15" customHeight="1" s="62">
      <c r="A33" s="86" t="inlineStr">
        <is>
          <t xml:space="preserve">        Construction in Progress</t>
        </is>
      </c>
      <c r="J33" s="85" t="n"/>
      <c r="K33" s="85" t="n"/>
      <c r="L33" s="85" t="n"/>
      <c r="M33" s="85" t="n"/>
      <c r="N33" s="85" t="n"/>
      <c r="O33" s="85" t="n"/>
      <c r="P33" s="85" t="n"/>
      <c r="Q33" s="85" t="n"/>
      <c r="R33" s="85" t="n"/>
      <c r="S33" s="85" t="n"/>
      <c r="T33" s="85" t="n"/>
      <c r="U33" s="85" t="n"/>
      <c r="V33" s="85" t="n"/>
      <c r="W33" s="85" t="n"/>
      <c r="X33" s="85" t="n"/>
      <c r="Y33" s="85" t="n"/>
      <c r="Z33" s="85" t="n"/>
      <c r="AA33" s="85" t="n"/>
      <c r="AB33" s="85" t="n"/>
      <c r="AC33" s="85" t="n"/>
      <c r="AD33" s="85" t="n"/>
      <c r="AE33" s="85" t="n"/>
      <c r="AF33" s="85" t="n"/>
      <c r="AG33" s="85" t="n"/>
      <c r="AH33" s="85" t="n"/>
      <c r="AI33" s="85" t="n"/>
      <c r="AJ33" s="85" t="n"/>
      <c r="AK33" s="85" t="n"/>
      <c r="AL33" s="85" t="n"/>
      <c r="AM33" s="85" t="n"/>
      <c r="AN33" s="85" t="n"/>
      <c r="AO33" s="85" t="n"/>
      <c r="AP33" s="85" t="n"/>
    </row>
    <row r="34" ht="15" customHeight="1" s="62">
      <c r="A34" s="86" t="inlineStr">
        <is>
          <t xml:space="preserve">      Accumulated Depreciation</t>
        </is>
      </c>
      <c r="B34" s="85" t="n"/>
      <c r="C34" s="85" t="n"/>
      <c r="D34" s="85" t="n"/>
      <c r="E34" s="85" t="n"/>
      <c r="F34" s="85" t="n"/>
      <c r="G34" s="85" t="n"/>
      <c r="H34" s="85" t="n"/>
      <c r="I34" s="85" t="n"/>
      <c r="J34" s="85" t="n"/>
      <c r="K34" s="85" t="n"/>
      <c r="L34" s="85" t="n"/>
      <c r="M34" s="85" t="n"/>
      <c r="N34" s="85" t="n"/>
      <c r="O34" s="85" t="n"/>
      <c r="P34" s="85" t="n"/>
      <c r="Q34" s="85" t="n"/>
      <c r="R34" s="85" t="n"/>
      <c r="S34" s="85" t="n"/>
      <c r="T34" s="85" t="n"/>
      <c r="U34" s="85" t="n"/>
      <c r="V34" s="85" t="n"/>
      <c r="W34" s="85" t="n"/>
      <c r="X34" s="85" t="n"/>
      <c r="Y34" s="85" t="n"/>
      <c r="Z34" s="85" t="n"/>
      <c r="AA34" s="85" t="n"/>
      <c r="AB34" s="85" t="n"/>
      <c r="AC34" s="85" t="n"/>
      <c r="AD34" s="85" t="n"/>
      <c r="AE34" s="85" t="n"/>
      <c r="AF34" s="85" t="n"/>
      <c r="AG34" s="85" t="n"/>
      <c r="AH34" s="85" t="n"/>
      <c r="AI34" s="85" t="n"/>
      <c r="AJ34" s="85" t="n"/>
      <c r="AK34" s="85" t="n"/>
      <c r="AL34" s="85" t="n"/>
      <c r="AM34" s="85" t="n"/>
      <c r="AN34" s="85" t="n"/>
      <c r="AO34" s="85" t="n"/>
      <c r="AP34" s="85" t="n"/>
    </row>
    <row r="35" ht="15" customHeight="1" s="62">
      <c r="A35" s="86" t="inlineStr">
        <is>
          <t xml:space="preserve">    Goodwill And Other Intangible Assets</t>
        </is>
      </c>
      <c r="D35" s="85" t="n"/>
      <c r="F35" s="85" t="n"/>
      <c r="G35" s="85" t="n"/>
      <c r="H35" s="85" t="n"/>
      <c r="I35" s="85" t="n"/>
      <c r="J35" s="85" t="n"/>
      <c r="K35" s="85" t="n"/>
      <c r="L35" s="85" t="n"/>
      <c r="M35" s="85" t="n"/>
      <c r="N35" s="85" t="n"/>
      <c r="O35" s="85" t="n"/>
      <c r="P35" s="85" t="n"/>
      <c r="Q35" s="85" t="n"/>
      <c r="R35" s="85" t="n"/>
      <c r="S35" s="85" t="n"/>
      <c r="T35" s="85" t="n"/>
      <c r="U35" s="85" t="n"/>
      <c r="V35" s="85" t="n"/>
      <c r="W35" s="85" t="n"/>
      <c r="X35" s="85" t="n"/>
      <c r="Y35" s="85" t="n"/>
      <c r="Z35" s="85" t="n"/>
      <c r="AA35" s="85" t="n"/>
      <c r="AB35" s="85" t="n"/>
      <c r="AC35" s="85" t="n"/>
      <c r="AD35" s="85" t="n"/>
      <c r="AE35" s="85" t="n"/>
      <c r="AF35" s="85" t="n"/>
      <c r="AG35" s="85" t="n"/>
      <c r="AH35" s="85" t="n"/>
      <c r="AI35" s="85" t="n"/>
      <c r="AJ35" s="85" t="n"/>
      <c r="AK35" s="85" t="n"/>
      <c r="AL35" s="85" t="n"/>
      <c r="AM35" s="85" t="n"/>
      <c r="AN35" s="85" t="n"/>
      <c r="AO35" s="85" t="n"/>
      <c r="AP35" s="85" t="n"/>
    </row>
    <row r="36" ht="15" customHeight="1" s="62">
      <c r="A36" s="86" t="inlineStr">
        <is>
          <t xml:space="preserve">      Goodwill</t>
        </is>
      </c>
      <c r="P36" s="85" t="n"/>
      <c r="Q36" s="85" t="n"/>
      <c r="R36" s="85" t="n"/>
      <c r="S36" s="85" t="n"/>
      <c r="T36" s="85" t="n"/>
      <c r="U36" s="85" t="n"/>
      <c r="V36" s="85" t="n"/>
      <c r="W36" s="85" t="n"/>
      <c r="X36" s="85" t="n"/>
      <c r="Y36" s="85" t="n"/>
      <c r="Z36" s="85" t="n"/>
      <c r="AA36" s="85" t="n"/>
      <c r="AB36" s="85" t="n"/>
      <c r="AC36" s="85" t="n"/>
      <c r="AD36" s="85" t="n"/>
      <c r="AE36" s="85" t="n"/>
      <c r="AF36" s="85" t="n"/>
      <c r="AG36" s="85" t="n"/>
      <c r="AH36" s="85" t="n"/>
      <c r="AI36" s="85" t="n"/>
      <c r="AJ36" s="85" t="n"/>
      <c r="AK36" s="85" t="n"/>
      <c r="AL36" s="85" t="n"/>
      <c r="AM36" s="85" t="n"/>
      <c r="AN36" s="85" t="n"/>
      <c r="AO36" s="85" t="n"/>
      <c r="AP36" s="85" t="n"/>
    </row>
    <row r="37" ht="15" customHeight="1" s="62">
      <c r="A37" s="86" t="inlineStr">
        <is>
          <t xml:space="preserve">      Other Intangible Assets</t>
        </is>
      </c>
      <c r="D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5" t="n"/>
      <c r="O37" s="85" t="n"/>
      <c r="P37" s="85" t="n"/>
      <c r="Q37" s="85" t="n"/>
      <c r="R37" s="85" t="n"/>
      <c r="S37" s="85" t="n"/>
      <c r="T37" s="85" t="n"/>
      <c r="U37" s="85" t="n"/>
      <c r="V37" s="85" t="n"/>
      <c r="W37" s="85" t="n"/>
      <c r="X37" s="85" t="n"/>
      <c r="Y37" s="85" t="n"/>
      <c r="Z37" s="85" t="n"/>
      <c r="AA37" s="85" t="n"/>
      <c r="AB37" s="85" t="n"/>
      <c r="AC37" s="85" t="n"/>
      <c r="AD37" s="85" t="n"/>
      <c r="AE37" s="85" t="n"/>
      <c r="AF37" s="85" t="n"/>
      <c r="AG37" s="85" t="n"/>
      <c r="AH37" s="85" t="n"/>
      <c r="AI37" s="85" t="n"/>
      <c r="AJ37" s="85" t="n"/>
      <c r="AK37" s="85" t="n"/>
      <c r="AL37" s="85" t="n"/>
      <c r="AM37" s="85" t="n"/>
      <c r="AN37" s="85" t="n"/>
      <c r="AO37" s="85" t="n"/>
      <c r="AP37" s="85" t="n"/>
    </row>
    <row r="38" ht="15" customHeight="1" s="62">
      <c r="A38" s="86" t="inlineStr">
        <is>
          <t xml:space="preserve">    Investments And Advances</t>
        </is>
      </c>
      <c r="J38" s="85" t="n"/>
      <c r="K38" s="85" t="n"/>
      <c r="L38" s="85" t="n"/>
      <c r="M38" s="85" t="n"/>
      <c r="N38" s="85" t="n"/>
      <c r="O38" s="85" t="n"/>
      <c r="P38" s="85" t="n"/>
      <c r="Q38" s="85" t="n"/>
      <c r="R38" s="85" t="n"/>
      <c r="S38" s="85" t="n"/>
      <c r="T38" s="85" t="n"/>
      <c r="U38" s="85" t="n"/>
      <c r="V38" s="85" t="n"/>
      <c r="W38" s="85" t="n"/>
      <c r="X38" s="85" t="n"/>
      <c r="Y38" s="85" t="n"/>
      <c r="Z38" s="85" t="n"/>
      <c r="AA38" s="85" t="n"/>
      <c r="AB38" s="85" t="n"/>
      <c r="AC38" s="85" t="n"/>
      <c r="AD38" s="85" t="n"/>
      <c r="AE38" s="85" t="n"/>
      <c r="AF38" s="85" t="n"/>
      <c r="AG38" s="85" t="n"/>
      <c r="AH38" s="85" t="n"/>
      <c r="AI38" s="85" t="n"/>
      <c r="AJ38" s="85" t="n"/>
      <c r="AK38" s="85" t="n"/>
      <c r="AL38" s="85" t="n"/>
      <c r="AM38" s="85" t="n"/>
      <c r="AN38" s="85" t="n"/>
      <c r="AO38" s="85" t="n"/>
      <c r="AP38" s="85" t="n"/>
    </row>
    <row r="39" ht="15" customHeight="1" s="62">
      <c r="A39" s="86" t="inlineStr">
        <is>
          <t xml:space="preserve">      Long Term Equity Investment</t>
        </is>
      </c>
      <c r="J39" s="85" t="n"/>
      <c r="K39" s="85" t="n"/>
      <c r="L39" s="85" t="n"/>
      <c r="M39" s="85" t="n"/>
      <c r="N39" s="85" t="n"/>
      <c r="O39" s="85" t="n"/>
      <c r="P39" s="85" t="n"/>
      <c r="Q39" s="85" t="n"/>
      <c r="R39" s="85" t="n"/>
      <c r="S39" s="85" t="n"/>
      <c r="T39" s="85" t="n"/>
      <c r="U39" s="85" t="n"/>
      <c r="V39" s="85" t="n"/>
      <c r="W39" s="85" t="n"/>
      <c r="X39" s="85" t="n"/>
      <c r="Y39" s="85" t="n"/>
      <c r="Z39" s="85" t="n"/>
      <c r="AA39" s="85" t="n"/>
      <c r="AB39" s="85" t="n"/>
      <c r="AC39" s="85" t="n"/>
      <c r="AD39" s="85" t="n"/>
      <c r="AE39" s="85" t="n"/>
      <c r="AF39" s="85" t="n"/>
      <c r="AG39" s="85" t="n"/>
      <c r="AH39" s="85" t="n"/>
      <c r="AI39" s="85" t="n"/>
      <c r="AJ39" s="85" t="n"/>
      <c r="AK39" s="85" t="n"/>
      <c r="AL39" s="85" t="n"/>
      <c r="AM39" s="85" t="n"/>
      <c r="AN39" s="85" t="n"/>
      <c r="AO39" s="85" t="n"/>
      <c r="AP39" s="85" t="n"/>
    </row>
    <row r="40" ht="15" customHeight="1" s="62">
      <c r="A40" s="86" t="inlineStr">
        <is>
          <t xml:space="preserve">        Investments in Subsidiariesat Cost</t>
        </is>
      </c>
      <c r="V40" s="85" t="n"/>
      <c r="W40" s="85" t="n"/>
    </row>
    <row r="41" ht="15" customHeight="1" s="62">
      <c r="A41" s="86" t="inlineStr">
        <is>
          <t xml:space="preserve">        Investments in Associatesat Cost</t>
        </is>
      </c>
      <c r="J41" s="85" t="n"/>
      <c r="K41" s="85" t="n"/>
      <c r="L41" s="85" t="n"/>
      <c r="M41" s="85" t="n"/>
      <c r="N41" s="85" t="n"/>
      <c r="O41" s="85" t="n"/>
      <c r="P41" s="85" t="n"/>
      <c r="Q41" s="85" t="n"/>
      <c r="R41" s="85" t="n"/>
      <c r="S41" s="85" t="n"/>
      <c r="T41" s="85" t="n"/>
      <c r="U41" s="85" t="n"/>
      <c r="V41" s="85" t="n"/>
      <c r="W41" s="85" t="n"/>
      <c r="X41" s="85" t="n"/>
      <c r="Y41" s="85" t="n"/>
      <c r="Z41" s="85" t="n"/>
      <c r="AA41" s="85" t="n"/>
      <c r="AB41" s="85" t="n"/>
      <c r="AC41" s="85" t="n"/>
      <c r="AD41" s="85" t="n"/>
      <c r="AE41" s="85" t="n"/>
      <c r="AF41" s="85" t="n"/>
      <c r="AG41" s="85" t="n"/>
      <c r="AH41" s="85" t="n"/>
      <c r="AI41" s="85" t="n"/>
      <c r="AJ41" s="85" t="n"/>
      <c r="AK41" s="85" t="n"/>
      <c r="AL41" s="85" t="n"/>
      <c r="AM41" s="85" t="n"/>
    </row>
    <row r="42" ht="15" customHeight="1" s="62">
      <c r="A42" s="86" t="inlineStr">
        <is>
          <t xml:space="preserve">        Investments in Joint Venturesat Cost</t>
        </is>
      </c>
      <c r="S42" s="85" t="n"/>
      <c r="T42" s="85" t="n"/>
      <c r="U42" s="85" t="n"/>
      <c r="V42" s="85" t="n"/>
    </row>
    <row r="43" ht="15" customHeight="1" s="62">
      <c r="A43" s="86" t="inlineStr">
        <is>
          <t xml:space="preserve">    Non Current Note Receivables</t>
        </is>
      </c>
      <c r="Q43" s="85" t="n"/>
      <c r="R43" s="85" t="n"/>
      <c r="S43" s="85" t="n"/>
    </row>
    <row r="44" ht="15" customHeight="1" s="62">
      <c r="A44" s="86" t="inlineStr">
        <is>
          <t xml:space="preserve">    Defined Pension Benefit</t>
        </is>
      </c>
      <c r="V44" s="85" t="n"/>
      <c r="W44" s="85" t="n"/>
      <c r="X44" s="85" t="n"/>
      <c r="Y44" s="85" t="n"/>
    </row>
    <row r="45" ht="15" customHeight="1" s="62">
      <c r="A45" s="86" t="inlineStr">
        <is>
          <t xml:space="preserve">    Other Non Current Assets</t>
        </is>
      </c>
      <c r="B45" s="85" t="n"/>
      <c r="C45" s="85" t="n"/>
      <c r="D45" s="85" t="n"/>
      <c r="E45" s="85" t="n"/>
      <c r="F45" s="85" t="n"/>
      <c r="G45" s="85" t="n"/>
      <c r="H45" s="85" t="n"/>
      <c r="I45" s="85" t="n"/>
      <c r="J45" s="85" t="n"/>
      <c r="K45" s="85" t="n"/>
      <c r="L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n"/>
      <c r="Y45" s="85" t="n"/>
      <c r="Z45" s="85" t="n"/>
      <c r="AA45" s="85" t="n"/>
      <c r="AB45" s="85" t="n"/>
      <c r="AC45" s="85" t="n"/>
      <c r="AD45" s="85" t="n"/>
      <c r="AE45" s="85" t="n"/>
      <c r="AF45" s="85" t="n"/>
      <c r="AG45" s="85" t="n"/>
      <c r="AH45" s="85" t="n"/>
      <c r="AI45" s="85" t="n"/>
      <c r="AJ45" s="85" t="n"/>
      <c r="AK45" s="85" t="n"/>
      <c r="AL45" s="85" t="n"/>
      <c r="AM45" s="85" t="n"/>
      <c r="AN45" s="85" t="n"/>
      <c r="AO45" s="85" t="n"/>
      <c r="AP45" s="85" t="n"/>
    </row>
    <row r="46" ht="15" customHeight="1" s="62">
      <c r="A46" s="83" t="inlineStr">
        <is>
          <t>Total Liabilities Net Minority Interest</t>
        </is>
      </c>
      <c r="B46" s="85" t="n">
        <v>0.000386</v>
      </c>
      <c r="C46" s="85" t="n">
        <v>0.000466</v>
      </c>
      <c r="D46" s="85" t="n">
        <v>0.000641</v>
      </c>
      <c r="E46" s="85" t="n">
        <v>0.001079</v>
      </c>
      <c r="F46" s="85" t="n">
        <v>0.001258</v>
      </c>
      <c r="G46" s="85" t="n">
        <v>0.001529</v>
      </c>
      <c r="H46" s="85" t="n">
        <v>0.001727</v>
      </c>
      <c r="I46" s="85" t="n">
        <v>0.002036</v>
      </c>
      <c r="J46" s="85" t="n">
        <v>0.003145</v>
      </c>
      <c r="K46" s="85" t="n">
        <v>0.002919</v>
      </c>
      <c r="L46" s="85" t="n">
        <v>0.00333</v>
      </c>
      <c r="M46" s="85" t="n">
        <v>0.003306</v>
      </c>
      <c r="N46" s="85" t="n">
        <v>0.003033</v>
      </c>
      <c r="O46" s="85" t="n">
        <v>0.002647</v>
      </c>
      <c r="P46" s="85" t="n">
        <v>0.002057</v>
      </c>
      <c r="Q46" s="85" t="n">
        <v>0.002696</v>
      </c>
      <c r="R46" s="85" t="n">
        <v>0.002101</v>
      </c>
      <c r="S46" s="85" t="n">
        <v>0.002203</v>
      </c>
      <c r="T46" s="85" t="n">
        <v>0.002592</v>
      </c>
      <c r="U46" s="85" t="n">
        <v>0.002974</v>
      </c>
      <c r="V46" s="85" t="n">
        <v>0.004085</v>
      </c>
      <c r="W46" s="85" t="n">
        <v>0.007221</v>
      </c>
      <c r="X46" s="85" t="n">
        <v>0.010815</v>
      </c>
      <c r="Y46" s="85" t="n">
        <v>0.018542</v>
      </c>
      <c r="Z46" s="85" t="n">
        <v>0.026019</v>
      </c>
      <c r="AA46" s="85" t="n">
        <v>0.027392</v>
      </c>
      <c r="AB46" s="85" t="n">
        <v>0.039756</v>
      </c>
      <c r="AC46" s="85" t="n">
        <v>0.057854</v>
      </c>
      <c r="AD46" s="85" t="n">
        <v>0.083451</v>
      </c>
      <c r="AE46" s="85" t="n">
        <v>0.120292</v>
      </c>
      <c r="AF46" s="85" t="n">
        <v>0.171124</v>
      </c>
      <c r="AG46" s="85" t="n">
        <v>0.193437</v>
      </c>
      <c r="AH46" s="85" t="n">
        <v>0.241272</v>
      </c>
      <c r="AI46" s="85" t="n">
        <v>0.258578</v>
      </c>
      <c r="AJ46" s="85" t="n">
        <v>0.248028</v>
      </c>
      <c r="AK46" s="85" t="n">
        <v>0.258549</v>
      </c>
      <c r="AL46" s="85" t="n">
        <v>0.287912</v>
      </c>
      <c r="AM46" s="85" t="n">
        <v>0.302083</v>
      </c>
      <c r="AN46" s="85" t="n">
        <v>0.290437</v>
      </c>
      <c r="AO46" s="85" t="n">
        <v>0.30803</v>
      </c>
      <c r="AP46" s="85" t="n">
        <v>0.285508</v>
      </c>
    </row>
    <row r="47" ht="15" customHeight="1" s="62">
      <c r="A47" s="86" t="inlineStr">
        <is>
          <t xml:space="preserve">  Current Liabilities</t>
        </is>
      </c>
      <c r="B47" s="85" t="n"/>
      <c r="C47" s="85" t="n"/>
      <c r="D47" s="85" t="n"/>
      <c r="E47" s="85" t="n"/>
      <c r="F47" s="85" t="n"/>
      <c r="G47" s="85" t="n"/>
      <c r="H47" s="85" t="n"/>
      <c r="I47" s="85" t="n"/>
      <c r="J47" s="85" t="n"/>
      <c r="K47" s="85" t="n"/>
      <c r="L47" s="85" t="n"/>
      <c r="M47" s="85" t="n"/>
      <c r="N47" s="85" t="n"/>
      <c r="O47" s="85" t="n"/>
      <c r="P47" s="85" t="n"/>
      <c r="Q47" s="85" t="n"/>
      <c r="R47" s="85" t="n"/>
      <c r="S47" s="85" t="n"/>
      <c r="T47" s="85" t="n"/>
      <c r="U47" s="85" t="n"/>
      <c r="V47" s="85" t="n"/>
      <c r="W47" s="85" t="n"/>
      <c r="X47" s="85" t="n"/>
      <c r="Y47" s="85" t="n"/>
      <c r="Z47" s="85" t="n"/>
      <c r="AA47" s="85" t="n"/>
      <c r="AB47" s="85" t="n"/>
      <c r="AC47" s="85" t="n"/>
      <c r="AD47" s="85" t="n"/>
      <c r="AE47" s="85" t="n"/>
      <c r="AF47" s="85" t="n"/>
      <c r="AG47" s="85" t="n"/>
      <c r="AH47" s="85" t="n"/>
      <c r="AI47" s="85" t="n"/>
      <c r="AJ47" s="85" t="n"/>
      <c r="AK47" s="85" t="n"/>
      <c r="AL47" s="85" t="n"/>
      <c r="AM47" s="85" t="n"/>
      <c r="AN47" s="85" t="n"/>
      <c r="AO47" s="85" t="n"/>
      <c r="AP47" s="85" t="n"/>
    </row>
    <row r="48" ht="15" customHeight="1" s="62">
      <c r="A48" s="86" t="inlineStr">
        <is>
          <t xml:space="preserve">    Payables And Accrued Expenses</t>
        </is>
      </c>
      <c r="F48" s="85" t="n"/>
      <c r="G48" s="85" t="n"/>
      <c r="H48" s="85" t="n"/>
      <c r="I48" s="85" t="n"/>
      <c r="J48" s="85" t="n"/>
      <c r="K48" s="85" t="n"/>
      <c r="L48" s="85" t="n"/>
      <c r="M48" s="85" t="n"/>
      <c r="N48" s="85" t="n"/>
      <c r="O48" s="85" t="n"/>
      <c r="P48" s="85" t="n"/>
      <c r="Q48" s="85" t="n"/>
      <c r="R48" s="85" t="n"/>
      <c r="S48" s="85" t="n"/>
      <c r="T48" s="85" t="n"/>
      <c r="U48" s="85" t="n"/>
      <c r="V48" s="85" t="n"/>
      <c r="W48" s="85" t="n"/>
      <c r="X48" s="85" t="n"/>
      <c r="Y48" s="85" t="n"/>
      <c r="Z48" s="85" t="n"/>
      <c r="AA48" s="85" t="n"/>
      <c r="AB48" s="85" t="n"/>
      <c r="AC48" s="85" t="n"/>
      <c r="AD48" s="85" t="n"/>
      <c r="AE48" s="85" t="n"/>
      <c r="AF48" s="85" t="n"/>
      <c r="AG48" s="85" t="n"/>
      <c r="AH48" s="85" t="n"/>
      <c r="AI48" s="85" t="n"/>
      <c r="AJ48" s="85" t="n"/>
      <c r="AK48" s="85" t="n"/>
      <c r="AL48" s="85" t="n"/>
      <c r="AM48" s="85" t="n"/>
      <c r="AN48" s="85" t="n"/>
      <c r="AO48" s="85" t="n"/>
      <c r="AP48" s="85" t="n"/>
    </row>
    <row r="49" ht="15" customHeight="1" s="62">
      <c r="A49" s="86" t="inlineStr">
        <is>
          <t xml:space="preserve">      Payables</t>
        </is>
      </c>
      <c r="F49" s="85" t="n"/>
      <c r="G49" s="85" t="n"/>
      <c r="H49" s="85" t="n"/>
      <c r="I49" s="85" t="n"/>
      <c r="J49" s="85" t="n"/>
      <c r="K49" s="85" t="n"/>
      <c r="L49" s="85" t="n"/>
      <c r="M49" s="85" t="n"/>
      <c r="N49" s="85" t="n"/>
      <c r="O49" s="85" t="n"/>
      <c r="P49" s="85" t="n"/>
      <c r="Q49" s="85" t="n"/>
      <c r="R49" s="85" t="n"/>
      <c r="S49" s="85" t="n"/>
      <c r="T49" s="85" t="n"/>
      <c r="U49" s="85" t="n"/>
      <c r="V49" s="85" t="n"/>
      <c r="W49" s="85" t="n"/>
      <c r="X49" s="85" t="n"/>
      <c r="Y49" s="85" t="n"/>
      <c r="Z49" s="85" t="n"/>
      <c r="AA49" s="85" t="n"/>
      <c r="AB49" s="85" t="n"/>
      <c r="AC49" s="85" t="n"/>
      <c r="AD49" s="85" t="n"/>
      <c r="AE49" s="85" t="n"/>
      <c r="AF49" s="85" t="n"/>
      <c r="AG49" s="85" t="n"/>
      <c r="AH49" s="85" t="n"/>
      <c r="AI49" s="85" t="n"/>
      <c r="AJ49" s="85" t="n"/>
      <c r="AK49" s="85" t="n"/>
      <c r="AL49" s="85" t="n"/>
      <c r="AM49" s="85" t="n"/>
      <c r="AN49" s="85" t="n"/>
      <c r="AO49" s="85" t="n"/>
      <c r="AP49" s="85" t="n"/>
    </row>
    <row r="50" ht="15" customHeight="1" s="62">
      <c r="A50" s="86" t="inlineStr">
        <is>
          <t xml:space="preserve">        Accounts Payable</t>
        </is>
      </c>
      <c r="F50" s="85" t="n"/>
      <c r="G50" s="85" t="n"/>
      <c r="H50" s="85" t="n"/>
      <c r="I50" s="85" t="n"/>
      <c r="J50" s="85" t="n"/>
      <c r="K50" s="85" t="n"/>
      <c r="L50" s="85" t="n"/>
      <c r="M50" s="85" t="n"/>
      <c r="N50" s="85" t="n"/>
      <c r="O50" s="85" t="n"/>
      <c r="P50" s="85" t="n"/>
      <c r="Q50" s="85" t="n"/>
      <c r="R50" s="85" t="n"/>
      <c r="S50" s="85" t="n"/>
      <c r="T50" s="85" t="n"/>
      <c r="U50" s="85" t="n"/>
      <c r="V50" s="85" t="n"/>
      <c r="W50" s="85" t="n"/>
      <c r="X50" s="85" t="n"/>
      <c r="Y50" s="85" t="n"/>
      <c r="Z50" s="85" t="n"/>
      <c r="AA50" s="85" t="n"/>
      <c r="AB50" s="85" t="n"/>
      <c r="AC50" s="85" t="n"/>
      <c r="AD50" s="85" t="n"/>
      <c r="AE50" s="85" t="n"/>
      <c r="AF50" s="85" t="n"/>
      <c r="AG50" s="85" t="n"/>
      <c r="AH50" s="85" t="n"/>
      <c r="AI50" s="85" t="n"/>
      <c r="AJ50" s="85" t="n"/>
      <c r="AK50" s="85" t="n"/>
      <c r="AL50" s="85" t="n"/>
      <c r="AM50" s="85" t="n"/>
      <c r="AN50" s="85" t="n"/>
      <c r="AO50" s="85" t="n"/>
      <c r="AP50" s="85" t="n"/>
    </row>
    <row r="51" ht="15" customHeight="1" s="62">
      <c r="A51" s="86" t="inlineStr">
        <is>
          <t xml:space="preserve">        Total Tax Payable</t>
        </is>
      </c>
      <c r="J51" s="85" t="n"/>
      <c r="K51" s="85" t="n"/>
      <c r="L51" s="85" t="n"/>
      <c r="M51" s="85" t="n"/>
      <c r="N51" s="85" t="n"/>
      <c r="O51" s="85" t="n"/>
      <c r="P51" s="85" t="n"/>
      <c r="Q51" s="85" t="n"/>
      <c r="R51" s="85" t="n"/>
      <c r="S51" s="85" t="n"/>
      <c r="T51" s="85" t="n"/>
      <c r="U51" s="85" t="n"/>
      <c r="V51" s="85" t="n"/>
      <c r="W51" s="85" t="n"/>
      <c r="X51" s="85" t="n"/>
      <c r="Y51" s="85" t="n"/>
      <c r="Z51" s="85" t="n"/>
      <c r="AA51" s="85" t="n"/>
      <c r="AB51" s="85" t="n"/>
      <c r="AC51" s="85" t="n"/>
      <c r="AD51" s="85" t="n"/>
      <c r="AE51" s="85" t="n"/>
      <c r="AF51" s="85" t="n"/>
      <c r="AG51" s="85" t="n"/>
      <c r="AH51" s="85" t="n"/>
      <c r="AI51" s="85" t="n"/>
      <c r="AJ51" s="85" t="n"/>
      <c r="AK51" s="85" t="n"/>
      <c r="AL51" s="85" t="n"/>
      <c r="AM51" s="85" t="n"/>
      <c r="AN51" s="85" t="n"/>
      <c r="AO51" s="85" t="n"/>
      <c r="AP51" s="85" t="n"/>
    </row>
    <row r="52" ht="15" customHeight="1" s="62">
      <c r="A52" s="86" t="inlineStr">
        <is>
          <t xml:space="preserve">          Income Tax Payable</t>
        </is>
      </c>
      <c r="X52" s="85" t="n"/>
      <c r="Y52" s="85" t="n"/>
      <c r="Z52" s="85" t="n"/>
      <c r="AA52" s="85" t="n"/>
    </row>
    <row r="53" ht="15" customHeight="1" s="62">
      <c r="A53" s="86" t="inlineStr">
        <is>
          <t xml:space="preserve">        Dividends Payable</t>
        </is>
      </c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  <c r="AK53" s="85" t="n"/>
      <c r="AL53" s="85" t="n"/>
      <c r="AM53" s="85" t="n"/>
      <c r="AN53" s="85" t="n"/>
      <c r="AO53" s="85" t="n"/>
      <c r="AP53" s="85" t="n"/>
    </row>
    <row r="54" ht="15" customHeight="1" s="62">
      <c r="A54" s="86" t="inlineStr">
        <is>
          <t xml:space="preserve">        Other Payable</t>
        </is>
      </c>
      <c r="J54" s="85" t="n"/>
      <c r="K54" s="85" t="n"/>
      <c r="L54" s="85" t="n"/>
      <c r="M54" s="85" t="n"/>
      <c r="N54" s="85" t="n"/>
      <c r="O54" s="85" t="n"/>
      <c r="P54" s="85" t="n"/>
      <c r="Q54" s="85" t="n"/>
      <c r="R54" s="85" t="n"/>
      <c r="S54" s="85" t="n"/>
      <c r="T54" s="85" t="n"/>
      <c r="U54" s="85" t="n"/>
      <c r="V54" s="85" t="n"/>
      <c r="W54" s="85" t="n"/>
      <c r="X54" s="85" t="n"/>
      <c r="Y54" s="85" t="n"/>
      <c r="Z54" s="85" t="n"/>
      <c r="AA54" s="85" t="n"/>
      <c r="AB54" s="85" t="n"/>
      <c r="AC54" s="85" t="n"/>
      <c r="AD54" s="85" t="n"/>
      <c r="AE54" s="85" t="n"/>
      <c r="AF54" s="85" t="n"/>
      <c r="AG54" s="85" t="n"/>
      <c r="AH54" s="85" t="n"/>
      <c r="AI54" s="85" t="n"/>
      <c r="AJ54" s="85" t="n"/>
      <c r="AK54" s="85" t="n"/>
      <c r="AL54" s="85" t="n"/>
      <c r="AM54" s="85" t="n"/>
      <c r="AN54" s="85" t="n"/>
      <c r="AO54" s="85" t="n"/>
      <c r="AP54" s="85" t="n"/>
    </row>
    <row r="55" ht="15" customHeight="1" s="62">
      <c r="A55" s="86" t="inlineStr">
        <is>
          <t xml:space="preserve">      Current Accrued Expenses</t>
        </is>
      </c>
      <c r="J55" s="85" t="n"/>
      <c r="K55" s="85" t="n"/>
      <c r="L55" s="85" t="n"/>
      <c r="M55" s="85" t="n"/>
      <c r="N55" s="85" t="n"/>
      <c r="O55" s="85" t="n"/>
      <c r="P55" s="85" t="n"/>
      <c r="Q55" s="85" t="n"/>
      <c r="R55" s="85" t="n"/>
      <c r="S55" s="85" t="n"/>
      <c r="T55" s="85" t="n"/>
      <c r="U55" s="85" t="n"/>
      <c r="V55" s="85" t="n"/>
      <c r="W55" s="85" t="n"/>
      <c r="X55" s="85" t="n"/>
      <c r="Y55" s="85" t="n"/>
      <c r="Z55" s="85" t="n"/>
      <c r="AA55" s="85" t="n"/>
      <c r="AB55" s="85" t="n"/>
      <c r="AC55" s="85" t="n"/>
      <c r="AD55" s="85" t="n"/>
      <c r="AE55" s="85" t="n"/>
      <c r="AF55" s="85" t="n"/>
      <c r="AG55" s="85" t="n"/>
      <c r="AH55" s="85" t="n"/>
      <c r="AI55" s="85" t="n"/>
      <c r="AJ55" s="85" t="n"/>
      <c r="AK55" s="85" t="n"/>
      <c r="AL55" s="85" t="n"/>
      <c r="AM55" s="85" t="n"/>
      <c r="AN55" s="85" t="n"/>
      <c r="AO55" s="85" t="n"/>
      <c r="AP55" s="85" t="n"/>
    </row>
    <row r="56" ht="15" customHeight="1" s="62">
      <c r="A56" s="86" t="inlineStr">
        <is>
          <t xml:space="preserve">        Interest Payable</t>
        </is>
      </c>
      <c r="J56" s="85" t="n"/>
      <c r="K56" s="85" t="n"/>
      <c r="L56" s="85" t="n"/>
      <c r="M56" s="85" t="n"/>
      <c r="N56" s="85" t="n"/>
      <c r="O56" s="85" t="n"/>
      <c r="P56" s="85" t="n"/>
      <c r="Q56" s="85" t="n"/>
      <c r="R56" s="85" t="n"/>
      <c r="S56" s="85" t="n"/>
      <c r="T56" s="85" t="n"/>
      <c r="U56" s="85" t="n"/>
      <c r="V56" s="85" t="n"/>
      <c r="W56" s="85" t="n"/>
      <c r="X56" s="85" t="n"/>
      <c r="Y56" s="85" t="n"/>
      <c r="Z56" s="85" t="n"/>
      <c r="AA56" s="85" t="n"/>
      <c r="AB56" s="85" t="n"/>
      <c r="AC56" s="85" t="n"/>
      <c r="AD56" s="85" t="n"/>
      <c r="AE56" s="85" t="n"/>
      <c r="AF56" s="85" t="n"/>
      <c r="AG56" s="85" t="n"/>
      <c r="AH56" s="85" t="n"/>
      <c r="AI56" s="85" t="n"/>
      <c r="AJ56" s="85" t="n"/>
      <c r="AK56" s="85" t="n"/>
      <c r="AL56" s="85" t="n"/>
      <c r="AM56" s="85" t="n"/>
      <c r="AN56" s="85" t="n"/>
      <c r="AO56" s="85" t="n"/>
      <c r="AP56" s="85" t="n"/>
    </row>
    <row r="57" ht="15" customHeight="1" s="62">
      <c r="A57" s="86" t="inlineStr">
        <is>
          <t xml:space="preserve">    Pension &amp; Other Post Retirement Benefit Plans Current</t>
        </is>
      </c>
      <c r="J57" s="85" t="n"/>
      <c r="K57" s="85" t="n"/>
      <c r="L57" s="85" t="n"/>
      <c r="M57" s="85" t="n"/>
      <c r="N57" s="85" t="n"/>
      <c r="O57" s="85" t="n"/>
      <c r="P57" s="85" t="n"/>
      <c r="Q57" s="85" t="n"/>
      <c r="R57" s="85" t="n"/>
      <c r="S57" s="85" t="n"/>
      <c r="T57" s="85" t="n"/>
      <c r="U57" s="85" t="n"/>
      <c r="V57" s="85" t="n"/>
      <c r="W57" s="85" t="n"/>
      <c r="X57" s="85" t="n"/>
      <c r="Y57" s="85" t="n"/>
      <c r="Z57" s="85" t="n"/>
      <c r="AA57" s="85" t="n"/>
      <c r="AB57" s="85" t="n"/>
      <c r="AC57" s="85" t="n"/>
      <c r="AD57" s="85" t="n"/>
      <c r="AE57" s="85" t="n"/>
      <c r="AF57" s="85" t="n"/>
      <c r="AG57" s="85" t="n"/>
      <c r="AH57" s="85" t="n"/>
      <c r="AI57" s="85" t="n"/>
      <c r="AJ57" s="85" t="n"/>
      <c r="AK57" s="85" t="n"/>
      <c r="AL57" s="85" t="n"/>
      <c r="AM57" s="85" t="n"/>
      <c r="AN57" s="85" t="n"/>
      <c r="AO57" s="85" t="n"/>
      <c r="AP57" s="85" t="n"/>
    </row>
    <row r="58" ht="15" customHeight="1" s="62">
      <c r="A58" s="86" t="inlineStr">
        <is>
          <t xml:space="preserve">    Current Debt And Capital Lease Obligation</t>
        </is>
      </c>
      <c r="B58" s="85" t="n"/>
      <c r="C58" s="85" t="n"/>
      <c r="D58" s="85" t="n"/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5" t="n"/>
      <c r="O58" s="85" t="n"/>
      <c r="P58" s="85" t="n"/>
      <c r="Q58" s="85" t="n"/>
      <c r="R58" s="85" t="n"/>
      <c r="S58" s="85" t="n"/>
      <c r="T58" s="85" t="n"/>
      <c r="U58" s="85" t="n"/>
      <c r="V58" s="85" t="n"/>
      <c r="W58" s="85" t="n"/>
      <c r="X58" s="85" t="n"/>
      <c r="Y58" s="85" t="n"/>
      <c r="Z58" s="85" t="n"/>
      <c r="AA58" s="85" t="n"/>
      <c r="AB58" s="85" t="n"/>
      <c r="AC58" s="85" t="n"/>
      <c r="AD58" s="85" t="n"/>
      <c r="AE58" s="85" t="n"/>
      <c r="AF58" s="85" t="n"/>
      <c r="AG58" s="85" t="n"/>
      <c r="AH58" s="85" t="n"/>
      <c r="AI58" s="85" t="n"/>
      <c r="AJ58" s="85" t="n"/>
      <c r="AK58" s="85" t="n"/>
      <c r="AL58" s="85" t="n"/>
      <c r="AM58" s="85" t="n"/>
      <c r="AN58" s="85" t="n"/>
      <c r="AO58" s="85" t="n"/>
      <c r="AP58" s="85" t="n"/>
    </row>
    <row r="59" ht="15" customHeight="1" s="62">
      <c r="A59" s="86" t="inlineStr">
        <is>
          <t xml:space="preserve">      Current Debt</t>
        </is>
      </c>
      <c r="B59" s="85" t="n"/>
      <c r="C59" s="85" t="n"/>
      <c r="D59" s="85" t="n"/>
      <c r="E59" s="85" t="n"/>
      <c r="F59" s="85" t="n"/>
      <c r="G59" s="85" t="n"/>
      <c r="H59" s="85" t="n"/>
      <c r="I59" s="85" t="n"/>
      <c r="J59" s="85" t="n"/>
      <c r="K59" s="85" t="n"/>
      <c r="L59" s="85" t="n"/>
      <c r="M59" s="85" t="n"/>
      <c r="N59" s="85" t="n"/>
      <c r="O59" s="85" t="n"/>
      <c r="P59" s="85" t="n"/>
      <c r="Q59" s="85" t="n"/>
      <c r="R59" s="85" t="n"/>
      <c r="S59" s="85" t="n"/>
      <c r="T59" s="85" t="n"/>
      <c r="U59" s="85" t="n"/>
      <c r="V59" s="85" t="n"/>
      <c r="W59" s="85" t="n"/>
      <c r="X59" s="85" t="n"/>
      <c r="Y59" s="85" t="n"/>
      <c r="Z59" s="85" t="n"/>
      <c r="AA59" s="85" t="n"/>
      <c r="AB59" s="85" t="n"/>
      <c r="AC59" s="85" t="n"/>
      <c r="AD59" s="85" t="n"/>
      <c r="AE59" s="85" t="n"/>
      <c r="AF59" s="85" t="n"/>
      <c r="AG59" s="85" t="n"/>
      <c r="AH59" s="85" t="n"/>
      <c r="AI59" s="85" t="n"/>
      <c r="AJ59" s="85" t="n"/>
      <c r="AK59" s="85" t="n"/>
      <c r="AL59" s="85" t="n"/>
      <c r="AM59" s="85" t="n"/>
      <c r="AN59" s="85" t="n"/>
      <c r="AO59" s="85" t="n"/>
      <c r="AP59" s="85" t="n"/>
    </row>
    <row r="60" ht="15" customHeight="1" s="62">
      <c r="A60" s="86" t="inlineStr">
        <is>
          <t xml:space="preserve">        Current Notes Payable</t>
        </is>
      </c>
      <c r="AL60" s="85" t="n"/>
      <c r="AM60" s="85" t="n"/>
      <c r="AN60" s="85" t="n"/>
    </row>
    <row r="61" ht="15" customHeight="1" s="62">
      <c r="A61" s="86" t="inlineStr">
        <is>
          <t xml:space="preserve">        Commercial Paper</t>
        </is>
      </c>
      <c r="J61" s="85" t="n"/>
      <c r="K61" s="85" t="n"/>
      <c r="L61" s="85" t="n"/>
      <c r="M61" s="85" t="n"/>
      <c r="N61" s="85" t="n"/>
      <c r="O61" s="85" t="n"/>
      <c r="P61" s="85" t="n"/>
      <c r="Q61" s="85" t="n"/>
      <c r="R61" s="85" t="n"/>
      <c r="S61" s="85" t="n"/>
      <c r="T61" s="85" t="n"/>
      <c r="U61" s="85" t="n"/>
      <c r="V61" s="85" t="n"/>
      <c r="W61" s="85" t="n"/>
      <c r="X61" s="85" t="n"/>
      <c r="Y61" s="85" t="n"/>
      <c r="Z61" s="85" t="n"/>
      <c r="AA61" s="85" t="n"/>
      <c r="AB61" s="85" t="n"/>
      <c r="AC61" s="85" t="n"/>
      <c r="AD61" s="85" t="n"/>
      <c r="AE61" s="85" t="n"/>
      <c r="AH61" s="85" t="n"/>
      <c r="AI61" s="85" t="n"/>
      <c r="AJ61" s="85" t="n"/>
      <c r="AK61" s="85" t="n"/>
      <c r="AL61" s="85" t="n"/>
      <c r="AM61" s="85" t="n"/>
      <c r="AN61" s="85" t="n"/>
      <c r="AO61" s="85" t="n"/>
    </row>
    <row r="62" ht="15" customHeight="1" s="62">
      <c r="A62" s="86" t="inlineStr">
        <is>
          <t xml:space="preserve">        Line of Credit</t>
        </is>
      </c>
      <c r="V62" s="85" t="n"/>
      <c r="W62" s="85" t="n"/>
      <c r="X62" s="85" t="n"/>
      <c r="Y62" s="85" t="n"/>
      <c r="Z62" s="85" t="n"/>
      <c r="AA62" s="85" t="n"/>
      <c r="AB62" s="85" t="n"/>
      <c r="AC62" s="85" t="n"/>
      <c r="AD62" s="85" t="n"/>
      <c r="AE62" s="85" t="n"/>
      <c r="AF62" s="85" t="n"/>
      <c r="AG62" s="85" t="n"/>
      <c r="AH62" s="85" t="n"/>
      <c r="AI62" s="85" t="n"/>
      <c r="AJ62" s="85" t="n"/>
      <c r="AK62" s="85" t="n"/>
      <c r="AL62" s="85" t="n"/>
      <c r="AM62" s="85" t="n"/>
    </row>
    <row r="63" ht="15" customHeight="1" s="62">
      <c r="A63" s="86" t="inlineStr">
        <is>
          <t xml:space="preserve">        Other Current Borrowings</t>
        </is>
      </c>
      <c r="J63" s="85" t="n"/>
      <c r="K63" s="85" t="n"/>
      <c r="L63" s="85" t="n"/>
      <c r="M63" s="85" t="n"/>
      <c r="N63" s="85" t="n"/>
      <c r="O63" s="85" t="n"/>
      <c r="P63" s="85" t="n"/>
      <c r="Q63" s="85" t="n"/>
      <c r="R63" s="85" t="n"/>
      <c r="S63" s="85" t="n"/>
      <c r="T63" s="85" t="n"/>
      <c r="U63" s="85" t="n"/>
      <c r="V63" s="85" t="n"/>
      <c r="W63" s="85" t="n"/>
      <c r="X63" s="85" t="n"/>
      <c r="Y63" s="85" t="n"/>
      <c r="Z63" s="85" t="n"/>
      <c r="AA63" s="85" t="n"/>
      <c r="AB63" s="85" t="n"/>
      <c r="AC63" s="85" t="n"/>
      <c r="AD63" s="85" t="n"/>
      <c r="AE63" s="85" t="n"/>
      <c r="AF63" s="85" t="n"/>
      <c r="AG63" s="85" t="n"/>
      <c r="AH63" s="85" t="n"/>
      <c r="AI63" s="85" t="n"/>
      <c r="AJ63" s="85" t="n"/>
      <c r="AK63" s="85" t="n"/>
      <c r="AL63" s="85" t="n"/>
      <c r="AM63" s="85" t="n"/>
      <c r="AN63" s="85" t="n"/>
      <c r="AO63" s="85" t="n"/>
    </row>
    <row r="64" ht="15" customHeight="1" s="62">
      <c r="A64" s="86" t="inlineStr">
        <is>
          <t xml:space="preserve">      Current Capital Lease Obligation</t>
        </is>
      </c>
      <c r="AJ64" s="85" t="n"/>
      <c r="AK64" s="85" t="n"/>
    </row>
    <row r="65" ht="15" customHeight="1" s="62">
      <c r="A65" s="86" t="inlineStr">
        <is>
          <t xml:space="preserve">    Current Deferred Liabilities</t>
        </is>
      </c>
      <c r="J65" s="85" t="n"/>
      <c r="K65" s="85" t="n"/>
      <c r="L65" s="85" t="n"/>
      <c r="M65" s="85" t="n"/>
      <c r="N65" s="85" t="n"/>
      <c r="O65" s="85" t="n"/>
      <c r="P65" s="85" t="n"/>
      <c r="Q65" s="85" t="n"/>
      <c r="R65" s="85" t="n"/>
      <c r="S65" s="85" t="n"/>
      <c r="T65" s="85" t="n"/>
      <c r="U65" s="85" t="n"/>
      <c r="V65" s="85" t="n"/>
      <c r="W65" s="85" t="n"/>
      <c r="X65" s="85" t="n"/>
      <c r="Y65" s="85" t="n"/>
      <c r="Z65" s="85" t="n"/>
      <c r="AA65" s="85" t="n"/>
      <c r="AB65" s="85" t="n"/>
      <c r="AC65" s="85" t="n"/>
      <c r="AD65" s="85" t="n"/>
      <c r="AE65" s="85" t="n"/>
      <c r="AF65" s="85" t="n"/>
      <c r="AG65" s="85" t="n"/>
      <c r="AH65" s="85" t="n"/>
      <c r="AI65" s="85" t="n"/>
      <c r="AJ65" s="85" t="n"/>
      <c r="AK65" s="85" t="n"/>
      <c r="AL65" s="85" t="n"/>
      <c r="AM65" s="85" t="n"/>
      <c r="AN65" s="85" t="n"/>
      <c r="AO65" s="85" t="n"/>
      <c r="AP65" s="85" t="n"/>
    </row>
    <row r="66" ht="15" customHeight="1" s="62">
      <c r="A66" s="86" t="inlineStr">
        <is>
          <t xml:space="preserve">      Current Deferred Revenue</t>
        </is>
      </c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  <c r="AK66" s="85" t="n"/>
      <c r="AL66" s="85" t="n"/>
      <c r="AM66" s="85" t="n"/>
      <c r="AN66" s="85" t="n"/>
      <c r="AO66" s="85" t="n"/>
      <c r="AP66" s="85" t="n"/>
    </row>
    <row r="67" ht="15" customHeight="1" s="62">
      <c r="A67" s="86" t="inlineStr">
        <is>
          <t xml:space="preserve">    Other Current Liabilities</t>
        </is>
      </c>
      <c r="B67" s="85" t="n"/>
      <c r="C67" s="85" t="n"/>
      <c r="D67" s="85" t="n"/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5" t="n"/>
      <c r="O67" s="85" t="n"/>
      <c r="P67" s="85" t="n"/>
      <c r="Q67" s="85" t="n"/>
      <c r="R67" s="85" t="n"/>
      <c r="S67" s="85" t="n"/>
      <c r="T67" s="85" t="n"/>
      <c r="U67" s="85" t="n"/>
      <c r="V67" s="85" t="n"/>
      <c r="W67" s="85" t="n"/>
      <c r="X67" s="85" t="n"/>
      <c r="Z67" s="85" t="n"/>
      <c r="AA67" s="85" t="n"/>
      <c r="AB67" s="85" t="n"/>
      <c r="AL67" s="85" t="n"/>
      <c r="AM67" s="85" t="n"/>
    </row>
    <row r="68" ht="15" customHeight="1" s="62">
      <c r="A68" s="86" t="inlineStr">
        <is>
          <t xml:space="preserve">  Total Non Current Liabilities Net Minority Interest</t>
        </is>
      </c>
      <c r="B68" s="85" t="n"/>
      <c r="C68" s="85" t="n"/>
      <c r="D68" s="85" t="n"/>
      <c r="E68" s="85" t="n"/>
      <c r="F68" s="85" t="n"/>
      <c r="G68" s="85" t="n"/>
      <c r="H68" s="85" t="n"/>
      <c r="I68" s="85" t="n"/>
      <c r="J68" s="85" t="n"/>
      <c r="K68" s="85" t="n"/>
      <c r="L68" s="85" t="n"/>
      <c r="M68" s="85" t="n"/>
      <c r="N68" s="85" t="n"/>
      <c r="O68" s="85" t="n"/>
      <c r="P68" s="85" t="n"/>
      <c r="Q68" s="85" t="n"/>
      <c r="R68" s="85" t="n"/>
      <c r="S68" s="85" t="n"/>
      <c r="T68" s="85" t="n"/>
      <c r="U68" s="85" t="n"/>
      <c r="V68" s="85" t="n"/>
      <c r="W68" s="85" t="n"/>
      <c r="X68" s="85" t="n"/>
      <c r="Y68" s="85" t="n"/>
      <c r="Z68" s="85" t="n"/>
      <c r="AA68" s="85" t="n"/>
      <c r="AB68" s="85" t="n"/>
      <c r="AC68" s="85" t="n"/>
      <c r="AD68" s="85" t="n"/>
      <c r="AE68" s="85" t="n"/>
      <c r="AF68" s="85" t="n"/>
      <c r="AG68" s="85" t="n"/>
      <c r="AH68" s="85" t="n"/>
      <c r="AI68" s="85" t="n"/>
      <c r="AJ68" s="85" t="n"/>
      <c r="AK68" s="85" t="n"/>
      <c r="AL68" s="85" t="n"/>
      <c r="AM68" s="85" t="n"/>
      <c r="AN68" s="85" t="n"/>
      <c r="AO68" s="85" t="n"/>
      <c r="AP68" s="85" t="n"/>
    </row>
    <row r="69" ht="15" customHeight="1" s="62">
      <c r="A69" s="86" t="inlineStr">
        <is>
          <t xml:space="preserve">    Long Term Debt And Capital Lease Obligation</t>
        </is>
      </c>
      <c r="B69" s="85" t="n"/>
      <c r="C69" s="85" t="n"/>
      <c r="D69" s="85" t="n"/>
      <c r="E69" s="85" t="n"/>
      <c r="F69" s="85" t="n"/>
      <c r="G69" s="85" t="n"/>
      <c r="H69" s="85" t="n"/>
      <c r="I69" s="85" t="n"/>
      <c r="J69" s="85" t="n"/>
      <c r="K69" s="85" t="n"/>
      <c r="L69" s="85" t="n"/>
      <c r="M69" s="85" t="n"/>
      <c r="N69" s="85" t="n"/>
      <c r="O69" s="85" t="n"/>
      <c r="P69" s="85" t="n"/>
      <c r="Q69" s="85" t="n"/>
      <c r="R69" s="85" t="n"/>
      <c r="S69" s="85" t="n"/>
      <c r="T69" s="85" t="n"/>
      <c r="U69" s="85" t="n"/>
      <c r="V69" s="85" t="n"/>
      <c r="W69" s="85" t="n"/>
      <c r="X69" s="85" t="n"/>
      <c r="Y69" s="85" t="n"/>
      <c r="Z69" s="85" t="n"/>
      <c r="AA69" s="85" t="n"/>
      <c r="AB69" s="85" t="n"/>
      <c r="AC69" s="85" t="n"/>
      <c r="AD69" s="85" t="n"/>
      <c r="AE69" s="85" t="n"/>
      <c r="AF69" s="85" t="n"/>
      <c r="AG69" s="85" t="n"/>
      <c r="AH69" s="85" t="n"/>
      <c r="AI69" s="85" t="n"/>
      <c r="AJ69" s="85" t="n"/>
      <c r="AK69" s="85" t="n"/>
      <c r="AL69" s="85" t="n"/>
      <c r="AM69" s="85" t="n"/>
      <c r="AN69" s="85" t="n"/>
      <c r="AO69" s="85" t="n"/>
      <c r="AP69" s="85" t="n"/>
    </row>
    <row r="70" ht="15" customHeight="1" s="62">
      <c r="A70" s="86" t="inlineStr">
        <is>
          <t xml:space="preserve">      Long Term Debt</t>
        </is>
      </c>
      <c r="B70" s="85" t="n"/>
      <c r="C70" s="85" t="n"/>
      <c r="D70" s="85" t="n"/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5" t="n"/>
      <c r="O70" s="85" t="n"/>
      <c r="P70" s="85" t="n"/>
      <c r="Q70" s="85" t="n"/>
      <c r="R70" s="85" t="n"/>
      <c r="S70" s="85" t="n"/>
      <c r="T70" s="85" t="n"/>
      <c r="U70" s="85" t="n"/>
      <c r="V70" s="85" t="n"/>
      <c r="W70" s="85" t="n"/>
      <c r="X70" s="85" t="n"/>
      <c r="Y70" s="85" t="n"/>
      <c r="Z70" s="85" t="n"/>
      <c r="AA70" s="85" t="n"/>
      <c r="AB70" s="85" t="n"/>
      <c r="AC70" s="85" t="n"/>
      <c r="AD70" s="85" t="n"/>
      <c r="AE70" s="85" t="n"/>
      <c r="AF70" s="85" t="n"/>
      <c r="AG70" s="85" t="n"/>
      <c r="AH70" s="85" t="n"/>
      <c r="AI70" s="85" t="n"/>
      <c r="AJ70" s="85" t="n"/>
      <c r="AK70" s="85" t="n"/>
      <c r="AL70" s="85" t="n"/>
      <c r="AM70" s="85" t="n"/>
      <c r="AN70" s="85" t="n"/>
      <c r="AO70" s="85" t="n"/>
      <c r="AP70" s="85" t="n"/>
    </row>
    <row r="71" ht="15" customHeight="1" s="62">
      <c r="A71" s="86" t="inlineStr">
        <is>
          <t xml:space="preserve">      Long Term Capital Lease Obligation</t>
        </is>
      </c>
      <c r="AI71" s="85" t="n"/>
      <c r="AJ71" s="85" t="n"/>
      <c r="AK71" s="85" t="n"/>
      <c r="AL71" s="85" t="n"/>
      <c r="AM71" s="85" t="n"/>
      <c r="AN71" s="85" t="n"/>
      <c r="AO71" s="85" t="n"/>
      <c r="AP71" s="85" t="n"/>
    </row>
    <row r="72" ht="15" customHeight="1" s="62">
      <c r="A72" s="86" t="inlineStr">
        <is>
          <t xml:space="preserve">    Non Current Deferred Liabilities</t>
        </is>
      </c>
      <c r="B72" s="85" t="n"/>
      <c r="C72" s="85" t="n"/>
      <c r="D72" s="85" t="n"/>
      <c r="E72" s="85" t="n"/>
      <c r="F72" s="85" t="n"/>
      <c r="G72" s="85" t="n"/>
      <c r="H72" s="85" t="n"/>
      <c r="I72" s="85" t="n"/>
      <c r="J72" s="85" t="n"/>
      <c r="K72" s="85" t="n"/>
      <c r="L72" s="85" t="n"/>
      <c r="M72" s="85" t="n"/>
      <c r="N72" s="85" t="n"/>
      <c r="O72" s="85" t="n"/>
      <c r="P72" s="85" t="n"/>
      <c r="Q72" s="85" t="n"/>
      <c r="R72" s="85" t="n"/>
      <c r="S72" s="85" t="n"/>
      <c r="T72" s="85" t="n"/>
      <c r="U72" s="85" t="n"/>
      <c r="V72" s="85" t="n"/>
      <c r="W72" s="85" t="n"/>
      <c r="X72" s="85" t="n"/>
      <c r="Y72" s="85" t="n"/>
      <c r="Z72" s="85" t="n"/>
      <c r="AA72" s="85" t="n"/>
      <c r="AB72" s="85" t="n"/>
      <c r="AC72" s="85" t="n"/>
      <c r="AD72" s="85" t="n"/>
      <c r="AE72" s="85" t="n"/>
      <c r="AF72" s="85" t="n"/>
      <c r="AG72" s="85" t="n"/>
      <c r="AH72" s="85" t="n"/>
      <c r="AI72" s="85" t="n"/>
      <c r="AJ72" s="85" t="n"/>
      <c r="AK72" s="85" t="n"/>
      <c r="AL72" s="85" t="n"/>
      <c r="AM72" s="85" t="n"/>
      <c r="AN72" s="85" t="n"/>
      <c r="AO72" s="85" t="n"/>
      <c r="AP72" s="85" t="n"/>
    </row>
    <row r="73" ht="15" customHeight="1" s="62">
      <c r="A73" s="86" t="inlineStr">
        <is>
          <t xml:space="preserve">      Non Current Deferred Taxes Liabilities</t>
        </is>
      </c>
      <c r="B73" s="85" t="n"/>
      <c r="C73" s="85" t="n"/>
      <c r="D73" s="85" t="n"/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5" t="n"/>
      <c r="O73" s="85" t="n"/>
      <c r="P73" s="85" t="n"/>
      <c r="Q73" s="85" t="n"/>
      <c r="R73" s="85" t="n"/>
      <c r="S73" s="85" t="n"/>
      <c r="T73" s="85" t="n"/>
      <c r="U73" s="85" t="n"/>
      <c r="V73" s="85" t="n"/>
      <c r="W73" s="85" t="n"/>
      <c r="X73" s="85" t="n"/>
      <c r="Y73" s="85" t="n"/>
      <c r="Z73" s="85" t="n"/>
      <c r="AA73" s="85" t="n"/>
      <c r="AB73" s="85" t="n"/>
      <c r="AC73" s="85" t="n"/>
      <c r="AD73" s="85" t="n"/>
      <c r="AE73" s="85" t="n"/>
      <c r="AF73" s="85" t="n"/>
      <c r="AG73" s="85" t="n"/>
      <c r="AH73" s="85" t="n"/>
      <c r="AI73" s="85" t="n"/>
      <c r="AJ73" s="85" t="n"/>
      <c r="AK73" s="85" t="n"/>
      <c r="AL73" s="85" t="n"/>
      <c r="AM73" s="85" t="n"/>
      <c r="AN73" s="85" t="n"/>
      <c r="AO73" s="85" t="n"/>
      <c r="AP73" s="85" t="n"/>
    </row>
    <row r="74" ht="15" customHeight="1" s="62">
      <c r="A74" s="86" t="inlineStr">
        <is>
          <t xml:space="preserve">    Employee Benefits</t>
        </is>
      </c>
      <c r="J74" s="85" t="n"/>
      <c r="K74" s="85" t="n"/>
      <c r="L74" s="85" t="n"/>
      <c r="M74" s="85" t="n"/>
      <c r="N74" s="85" t="n"/>
      <c r="O74" s="85" t="n"/>
      <c r="P74" s="85" t="n"/>
      <c r="Q74" s="85" t="n"/>
      <c r="R74" s="85" t="n"/>
      <c r="S74" s="85" t="n"/>
      <c r="T74" s="85" t="n"/>
      <c r="U74" s="85" t="n"/>
      <c r="V74" s="85" t="n"/>
      <c r="W74" s="85" t="n"/>
      <c r="X74" s="85" t="n"/>
      <c r="Y74" s="85" t="n"/>
      <c r="Z74" s="85" t="n"/>
      <c r="AA74" s="85" t="n"/>
      <c r="AB74" s="85" t="n"/>
      <c r="AC74" s="85" t="n"/>
      <c r="AD74" s="85" t="n"/>
      <c r="AE74" s="85" t="n"/>
      <c r="AF74" s="85" t="n"/>
      <c r="AG74" s="85" t="n"/>
      <c r="AH74" s="85" t="n"/>
      <c r="AI74" s="85" t="n"/>
      <c r="AJ74" s="85" t="n"/>
      <c r="AK74" s="85" t="n"/>
      <c r="AL74" s="85" t="n"/>
      <c r="AM74" s="85" t="n"/>
      <c r="AN74" s="85" t="n"/>
      <c r="AO74" s="85" t="n"/>
      <c r="AP74" s="85" t="n"/>
    </row>
    <row r="75" ht="15" customHeight="1" s="62">
      <c r="A75" s="86" t="inlineStr">
        <is>
          <t xml:space="preserve">      Non Current Pension And Other Post-Retirement Benefit Plans</t>
        </is>
      </c>
      <c r="J75" s="85" t="n"/>
      <c r="K75" s="85" t="n"/>
      <c r="L75" s="85" t="n"/>
      <c r="M75" s="85" t="n"/>
      <c r="N75" s="85" t="n"/>
      <c r="O75" s="85" t="n"/>
      <c r="P75" s="85" t="n"/>
      <c r="Q75" s="85" t="n"/>
      <c r="R75" s="85" t="n"/>
      <c r="S75" s="85" t="n"/>
      <c r="T75" s="85" t="n"/>
      <c r="U75" s="85" t="n"/>
      <c r="V75" s="85" t="n"/>
      <c r="W75" s="85" t="n"/>
      <c r="X75" s="85" t="n"/>
      <c r="Y75" s="85" t="n"/>
      <c r="Z75" s="85" t="n"/>
      <c r="AA75" s="85" t="n"/>
      <c r="AB75" s="85" t="n"/>
      <c r="AC75" s="85" t="n"/>
      <c r="AD75" s="85" t="n"/>
      <c r="AE75" s="85" t="n"/>
      <c r="AF75" s="85" t="n"/>
      <c r="AG75" s="85" t="n"/>
      <c r="AH75" s="85" t="n"/>
      <c r="AI75" s="85" t="n"/>
      <c r="AJ75" s="85" t="n"/>
      <c r="AK75" s="85" t="n"/>
      <c r="AL75" s="85" t="n"/>
      <c r="AM75" s="85" t="n"/>
      <c r="AN75" s="85" t="n"/>
      <c r="AO75" s="85" t="n"/>
      <c r="AP75" s="85" t="n"/>
    </row>
    <row r="76" ht="15" customHeight="1" s="62">
      <c r="A76" s="86" t="inlineStr">
        <is>
          <t xml:space="preserve">    Preferred Securities Outside Stock Equity</t>
        </is>
      </c>
      <c r="M76" s="85" t="n"/>
      <c r="N76" s="85" t="n"/>
      <c r="O76" s="85" t="n"/>
      <c r="P76" s="85" t="n"/>
      <c r="Q76" s="85" t="n"/>
      <c r="R76" s="85" t="n"/>
    </row>
    <row r="77" ht="15" customHeight="1" s="62">
      <c r="A77" s="86" t="inlineStr">
        <is>
          <t xml:space="preserve">    Other Non Current Liabilities</t>
        </is>
      </c>
      <c r="B77" s="85" t="n"/>
      <c r="C77" s="85" t="n"/>
      <c r="E77" s="85" t="n"/>
      <c r="F77" s="85" t="n"/>
      <c r="G77" s="85" t="n"/>
      <c r="H77" s="85" t="n"/>
      <c r="I77" s="85" t="n"/>
      <c r="J77" s="85" t="n"/>
      <c r="K77" s="85" t="n"/>
      <c r="L77" s="85" t="n"/>
      <c r="M77" s="85" t="n"/>
      <c r="N77" s="85" t="n"/>
      <c r="O77" s="85" t="n"/>
      <c r="P77" s="85" t="n"/>
      <c r="Q77" s="85" t="n"/>
      <c r="R77" s="85" t="n"/>
      <c r="S77" s="85" t="n"/>
      <c r="T77" s="85" t="n"/>
      <c r="U77" s="85" t="n"/>
      <c r="V77" s="85" t="n"/>
      <c r="W77" s="85" t="n"/>
      <c r="X77" s="85" t="n"/>
      <c r="Y77" s="85" t="n"/>
      <c r="Z77" s="85" t="n"/>
      <c r="AA77" s="85" t="n"/>
      <c r="AB77" s="85" t="n"/>
      <c r="AC77" s="85" t="n"/>
      <c r="AD77" s="85" t="n"/>
      <c r="AE77" s="85" t="n"/>
      <c r="AF77" s="85" t="n"/>
      <c r="AG77" s="85" t="n"/>
      <c r="AH77" s="85" t="n"/>
      <c r="AI77" s="85" t="n"/>
      <c r="AJ77" s="85" t="n"/>
      <c r="AK77" s="85" t="n"/>
      <c r="AL77" s="85" t="n"/>
      <c r="AM77" s="85" t="n"/>
      <c r="AN77" s="85" t="n"/>
      <c r="AO77" s="85" t="n"/>
      <c r="AP77" s="85" t="n"/>
    </row>
    <row r="78" ht="15" customHeight="1" s="62">
      <c r="A78" s="83" t="inlineStr">
        <is>
          <t>Total Equity Gross Minority Interest</t>
        </is>
      </c>
      <c r="B78" s="85" t="n"/>
      <c r="C78" s="85" t="n"/>
      <c r="D78" s="85" t="n"/>
      <c r="E78" s="85" t="n"/>
      <c r="F78" s="85" t="n"/>
      <c r="G78" s="85" t="n"/>
      <c r="H78" s="85" t="n"/>
      <c r="I78" s="85" t="n"/>
      <c r="J78" s="85" t="n"/>
      <c r="K78" s="85" t="n"/>
      <c r="L78" s="85" t="n"/>
      <c r="M78" s="85" t="n"/>
      <c r="N78" s="85" t="n"/>
      <c r="O78" s="85" t="n"/>
      <c r="P78" s="85" t="n"/>
      <c r="Q78" s="85" t="n"/>
      <c r="R78" s="85" t="n"/>
      <c r="S78" s="85" t="n"/>
      <c r="T78" s="85" t="n"/>
      <c r="U78" s="85" t="n"/>
      <c r="V78" s="85" t="n"/>
      <c r="W78" s="85" t="n"/>
      <c r="X78" s="85" t="n"/>
      <c r="Y78" s="85" t="n"/>
      <c r="Z78" s="85" t="n"/>
      <c r="AA78" s="85" t="n"/>
      <c r="AB78" s="85" t="n"/>
      <c r="AC78" s="85" t="n"/>
      <c r="AD78" s="85" t="n"/>
      <c r="AE78" s="85" t="n"/>
      <c r="AF78" s="85" t="n"/>
      <c r="AG78" s="85" t="n"/>
      <c r="AH78" s="85" t="n"/>
      <c r="AI78" s="85" t="n"/>
      <c r="AJ78" s="85" t="n"/>
      <c r="AK78" s="85" t="n"/>
      <c r="AL78" s="85" t="n"/>
      <c r="AM78" s="85" t="n"/>
      <c r="AN78" s="85" t="n"/>
      <c r="AO78" s="85" t="n"/>
      <c r="AP78" s="85" t="n"/>
    </row>
    <row r="79" ht="15" customHeight="1" s="62">
      <c r="A79" s="86" t="inlineStr">
        <is>
          <t xml:space="preserve">  Stockholders' Equity</t>
        </is>
      </c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  <c r="AK79" s="85" t="n"/>
      <c r="AL79" s="85" t="n"/>
      <c r="AM79" s="85" t="n"/>
      <c r="AN79" s="85" t="n"/>
      <c r="AO79" s="85" t="n"/>
      <c r="AP79" s="85" t="n"/>
    </row>
    <row r="80" ht="15" customHeight="1" s="62">
      <c r="A80" s="86" t="inlineStr">
        <is>
          <t xml:space="preserve">    Capital Stock</t>
        </is>
      </c>
      <c r="J80" s="85" t="n"/>
      <c r="K80" s="85" t="n"/>
      <c r="L80" s="85" t="n"/>
      <c r="M80" s="85" t="n"/>
      <c r="N80" s="85" t="n"/>
      <c r="O80" s="85" t="n"/>
      <c r="P80" s="85" t="n"/>
      <c r="Q80" s="85" t="n"/>
      <c r="R80" s="85" t="n"/>
      <c r="S80" s="85" t="n"/>
      <c r="T80" s="85" t="n"/>
      <c r="U80" s="85" t="n"/>
      <c r="V80" s="85" t="n"/>
      <c r="W80" s="85" t="n"/>
      <c r="X80" s="85" t="n"/>
      <c r="Y80" s="85" t="n"/>
      <c r="Z80" s="85" t="n"/>
      <c r="AA80" s="85" t="n"/>
      <c r="AB80" s="85" t="n"/>
      <c r="AC80" s="85" t="n"/>
      <c r="AD80" s="85" t="n"/>
      <c r="AE80" s="85" t="n"/>
      <c r="AF80" s="85" t="n"/>
      <c r="AG80" s="85" t="n"/>
      <c r="AH80" s="85" t="n"/>
      <c r="AI80" s="85" t="n"/>
      <c r="AJ80" s="85" t="n"/>
      <c r="AK80" s="85" t="n"/>
      <c r="AL80" s="85" t="n"/>
      <c r="AM80" s="85" t="n"/>
      <c r="AN80" s="85" t="n"/>
      <c r="AO80" s="85" t="n"/>
      <c r="AP80" s="85" t="n"/>
    </row>
    <row r="81" ht="15" customHeight="1" s="62">
      <c r="A81" s="86" t="inlineStr">
        <is>
          <t xml:space="preserve">      Preferred Stock</t>
        </is>
      </c>
      <c r="J81" s="85" t="n"/>
      <c r="K81" s="85" t="n"/>
      <c r="L81" s="85" t="n"/>
      <c r="M81" s="85" t="n"/>
      <c r="N81" s="85" t="n"/>
      <c r="O81" s="85" t="n"/>
      <c r="P81" s="85" t="n"/>
      <c r="Q81" s="85" t="n"/>
      <c r="R81" s="85" t="n"/>
      <c r="S81" s="85" t="n"/>
      <c r="T81" s="85" t="n"/>
      <c r="U81" s="85" t="n"/>
      <c r="AI81" s="85" t="n"/>
      <c r="AJ81" s="85" t="n"/>
      <c r="AK81" s="85" t="n"/>
      <c r="AL81" s="85" t="n"/>
      <c r="AM81" s="85" t="n"/>
      <c r="AN81" s="85" t="n"/>
      <c r="AO81" s="85" t="n"/>
      <c r="AP81" s="85" t="n"/>
    </row>
    <row r="82" ht="15" customHeight="1" s="62">
      <c r="A82" s="86" t="inlineStr">
        <is>
          <t xml:space="preserve">      Common Stock</t>
        </is>
      </c>
      <c r="J82" s="85" t="n"/>
      <c r="K82" s="85" t="n"/>
      <c r="L82" s="85" t="n"/>
      <c r="M82" s="85" t="n"/>
      <c r="N82" s="85" t="n"/>
      <c r="O82" s="85" t="n"/>
      <c r="P82" s="85" t="n"/>
      <c r="Q82" s="85" t="n"/>
      <c r="R82" s="85" t="n"/>
      <c r="S82" s="85" t="n"/>
      <c r="T82" s="85" t="n"/>
      <c r="U82" s="85" t="n"/>
      <c r="V82" s="85" t="n"/>
      <c r="W82" s="85" t="n"/>
      <c r="X82" s="85" t="n"/>
      <c r="Y82" s="85" t="n"/>
      <c r="Z82" s="85" t="n"/>
      <c r="AA82" s="85" t="n"/>
      <c r="AB82" s="85" t="n"/>
      <c r="AC82" s="85" t="n"/>
      <c r="AD82" s="85" t="n"/>
      <c r="AE82" s="85" t="n"/>
      <c r="AF82" s="85" t="n"/>
      <c r="AG82" s="85" t="n"/>
      <c r="AH82" s="85" t="n"/>
      <c r="AI82" s="85" t="n"/>
      <c r="AJ82" s="85" t="n"/>
      <c r="AK82" s="85" t="n"/>
      <c r="AL82" s="85" t="n"/>
      <c r="AM82" s="85" t="n"/>
      <c r="AN82" s="85" t="n"/>
      <c r="AO82" s="85" t="n"/>
      <c r="AP82" s="85" t="n"/>
    </row>
    <row r="83" ht="15" customHeight="1" s="62">
      <c r="A83" s="86" t="inlineStr">
        <is>
          <t xml:space="preserve">    Additional Paid in Capital</t>
        </is>
      </c>
      <c r="J83" s="85" t="n"/>
      <c r="K83" s="85" t="n"/>
      <c r="L83" s="85" t="n"/>
      <c r="M83" s="85" t="n"/>
      <c r="N83" s="85" t="n"/>
      <c r="O83" s="85" t="n"/>
      <c r="P83" s="85" t="n"/>
      <c r="Q83" s="85" t="n"/>
      <c r="R83" s="85" t="n"/>
      <c r="S83" s="85" t="n"/>
      <c r="T83" s="85" t="n"/>
      <c r="U83" s="85" t="n"/>
      <c r="V83" s="85" t="n"/>
      <c r="W83" s="85" t="n"/>
      <c r="X83" s="85" t="n"/>
      <c r="Y83" s="85" t="n"/>
      <c r="Z83" s="85" t="n"/>
      <c r="AA83" s="85" t="n"/>
      <c r="AB83" s="85" t="n"/>
      <c r="AC83" s="85" t="n"/>
      <c r="AD83" s="85" t="n"/>
      <c r="AE83" s="85" t="n"/>
      <c r="AF83" s="85" t="n"/>
      <c r="AG83" s="85" t="n"/>
      <c r="AH83" s="85" t="n"/>
      <c r="AI83" s="85" t="n"/>
      <c r="AJ83" s="85" t="n"/>
      <c r="AK83" s="85" t="n"/>
      <c r="AL83" s="85" t="n"/>
      <c r="AM83" s="85" t="n"/>
      <c r="AN83" s="85" t="n"/>
      <c r="AO83" s="85" t="n"/>
      <c r="AP83" s="85" t="n"/>
    </row>
    <row r="84" ht="15" customHeight="1" s="62">
      <c r="A84" s="86" t="inlineStr">
        <is>
          <t xml:space="preserve">    Retained Earnings</t>
        </is>
      </c>
      <c r="B84" s="85" t="n">
        <v>0.00032</v>
      </c>
      <c r="C84" s="85" t="n">
        <v>0.000474</v>
      </c>
      <c r="D84" s="85" t="n">
        <v>0.0005730000000000001</v>
      </c>
      <c r="E84" s="85" t="n">
        <v>0.000776</v>
      </c>
      <c r="F84" s="85" t="n">
        <v>0.001176</v>
      </c>
      <c r="G84" s="85" t="n">
        <v>0.001312</v>
      </c>
      <c r="H84" s="85" t="n">
        <v>0.001492</v>
      </c>
      <c r="I84" s="85" t="n">
        <v>0.001904</v>
      </c>
      <c r="J84" s="85" t="n">
        <v>0.001843</v>
      </c>
      <c r="K84" s="85" t="n">
        <v>0.002096</v>
      </c>
      <c r="L84" s="85" t="n">
        <v>0.002464</v>
      </c>
      <c r="M84" s="85" t="n">
        <v>0.001634</v>
      </c>
      <c r="N84" s="85" t="n">
        <v>0.000589</v>
      </c>
      <c r="O84" s="85" t="n">
        <v>0.000898</v>
      </c>
      <c r="P84" s="85" t="n">
        <v>0.001499</v>
      </c>
      <c r="Q84" s="85" t="n">
        <v>0.002285</v>
      </c>
      <c r="R84" s="85" t="n">
        <v>0.00226</v>
      </c>
      <c r="S84" s="85" t="n">
        <v>0.002325</v>
      </c>
      <c r="T84" s="85" t="n">
        <v>0.002394</v>
      </c>
      <c r="U84" s="85" t="n">
        <v>0.00267</v>
      </c>
      <c r="V84" s="85" t="n">
        <v>0.004005</v>
      </c>
      <c r="W84" s="85" t="n">
        <v>0.005607</v>
      </c>
      <c r="X84" s="85" t="n">
        <v>0.009101</v>
      </c>
      <c r="Y84" s="85" t="n">
        <v>0.013845</v>
      </c>
      <c r="Z84" s="85" t="n">
        <v>0.019538</v>
      </c>
      <c r="AA84" s="85" t="n">
        <v>0.037169</v>
      </c>
      <c r="AB84" s="85" t="n">
        <v>0.06284099999999999</v>
      </c>
      <c r="AC84" s="85" t="n">
        <v>0.101289</v>
      </c>
      <c r="AD84" s="85" t="n">
        <v>0.104256</v>
      </c>
      <c r="AE84" s="85" t="n">
        <v>0.08715199999999999</v>
      </c>
      <c r="AF84" s="85" t="n">
        <v>0.092284</v>
      </c>
      <c r="AG84" s="85" t="n">
        <v>0.09636400000000001</v>
      </c>
      <c r="AH84" s="85" t="n">
        <v>0.09833</v>
      </c>
      <c r="AI84" s="85" t="n">
        <v>0.0704</v>
      </c>
      <c r="AJ84" s="85" t="n">
        <v>0.045898</v>
      </c>
      <c r="AK84" s="85" t="n">
        <v>0.014966</v>
      </c>
      <c r="AL84" s="85" t="n">
        <v>0.005562</v>
      </c>
      <c r="AM84" s="85" t="n">
        <v>-0.003068</v>
      </c>
      <c r="AN84" s="85" t="n">
        <v>-0.000214</v>
      </c>
      <c r="AO84" s="85" t="n">
        <v>-0.019154</v>
      </c>
      <c r="AP84" s="85" t="n">
        <v>-0.014264</v>
      </c>
    </row>
    <row r="85" ht="15" customHeight="1" s="62">
      <c r="A85" s="86" t="inlineStr">
        <is>
          <t xml:space="preserve">    Treasury Stock</t>
        </is>
      </c>
      <c r="J85" s="85" t="n"/>
      <c r="K85" s="85" t="n"/>
      <c r="L85" s="85" t="n"/>
      <c r="M85" s="85" t="n"/>
      <c r="N85" s="85" t="n"/>
      <c r="O85" s="85" t="n"/>
      <c r="P85" s="85" t="n"/>
      <c r="Q85" s="85" t="n"/>
      <c r="R85" s="85" t="n"/>
      <c r="S85" s="85" t="n"/>
      <c r="T85" s="85" t="n"/>
      <c r="U85" s="85" t="n"/>
      <c r="V85" s="85" t="n"/>
      <c r="W85" s="85" t="n"/>
      <c r="X85" s="85" t="n"/>
      <c r="Y85" s="85" t="n"/>
      <c r="Z85" s="85" t="n"/>
      <c r="AA85" s="85" t="n"/>
      <c r="AB85" s="85" t="n"/>
      <c r="AC85" s="85" t="n"/>
      <c r="AD85" s="85" t="n"/>
      <c r="AE85" s="85" t="n"/>
      <c r="AF85" s="85" t="n"/>
      <c r="AG85" s="85" t="n"/>
      <c r="AH85" s="85" t="n"/>
      <c r="AI85" s="85" t="n"/>
      <c r="AJ85" s="85" t="n"/>
      <c r="AK85" s="85" t="n"/>
      <c r="AL85" s="85" t="n"/>
      <c r="AM85" s="85" t="n"/>
      <c r="AN85" s="85" t="n"/>
      <c r="AO85" s="85" t="n"/>
      <c r="AP85" s="85" t="n"/>
    </row>
    <row r="86" ht="15" customHeight="1" s="62">
      <c r="A86" s="86" t="inlineStr">
        <is>
          <t xml:space="preserve">    Gains Losses Not Affecting Retained Earnings</t>
        </is>
      </c>
      <c r="B86" s="121" t="n">
        <v>-8.500000000000001e-05</v>
      </c>
      <c r="C86" s="121" t="n">
        <v>-0.000115</v>
      </c>
      <c r="D86" s="121" t="n">
        <v>-0.000159</v>
      </c>
      <c r="E86" s="121" t="n">
        <v>-0.000213</v>
      </c>
      <c r="F86" s="121" t="n">
        <v>-0.000309</v>
      </c>
      <c r="G86" s="121" t="n">
        <v>-0.000447</v>
      </c>
      <c r="H86" s="121" t="n">
        <v>-0.000588</v>
      </c>
      <c r="I86" s="121" t="n">
        <v>-0.000673</v>
      </c>
      <c r="J86" s="85" t="n">
        <v>-0.000753</v>
      </c>
      <c r="K86" s="85" t="n">
        <v>-1.1e-05</v>
      </c>
      <c r="L86" s="85" t="n">
        <v>3.9e-05</v>
      </c>
      <c r="M86" s="85" t="n">
        <v>-1.5e-05</v>
      </c>
      <c r="N86" s="85" t="n">
        <v>-3.7e-05</v>
      </c>
      <c r="O86" s="85" t="n">
        <v>-3.9e-05</v>
      </c>
      <c r="P86" s="85" t="n">
        <v>0.000106</v>
      </c>
      <c r="Q86" s="85" t="n">
        <v>0.000244</v>
      </c>
      <c r="R86" s="85" t="n">
        <v>-2.2e-05</v>
      </c>
      <c r="S86" s="85" t="n">
        <v>-4.9e-05</v>
      </c>
      <c r="T86" s="85" t="n">
        <v>-3.5e-05</v>
      </c>
      <c r="U86" s="85" t="n">
        <v>-1.5e-05</v>
      </c>
      <c r="V86" s="85" t="n">
        <v>-0.000664</v>
      </c>
      <c r="W86" s="85" t="n">
        <v>2.2e-05</v>
      </c>
      <c r="X86" s="85" t="n">
        <v>6.3e-05</v>
      </c>
      <c r="Y86" s="85" t="n">
        <v>8e-06</v>
      </c>
      <c r="Z86" s="85" t="n">
        <v>8.4e-05</v>
      </c>
      <c r="AA86" s="85" t="n">
        <v>-4.6e-05</v>
      </c>
      <c r="AB86" s="85" t="n">
        <v>0.000443</v>
      </c>
      <c r="AC86" s="85" t="n">
        <v>0.000499</v>
      </c>
      <c r="AD86" s="85" t="n">
        <v>-0.000471</v>
      </c>
      <c r="AE86" s="85" t="n">
        <v>0.001082</v>
      </c>
      <c r="AF86" s="85" t="n">
        <v>-0.000345</v>
      </c>
      <c r="AG86" s="85" t="n">
        <v>0.000634</v>
      </c>
      <c r="AH86" s="85" t="n">
        <v>-0.00015</v>
      </c>
      <c r="AI86" s="85" t="n">
        <v>-0.003454</v>
      </c>
      <c r="AJ86" s="85" t="n">
        <v>-0.000584</v>
      </c>
      <c r="AK86" s="85" t="n">
        <v>-0.000406</v>
      </c>
      <c r="AL86" s="85" t="n">
        <v>0.000163</v>
      </c>
      <c r="AM86" s="85" t="n">
        <v>-0.011109</v>
      </c>
      <c r="AN86" s="85" t="n">
        <v>-0.011452</v>
      </c>
      <c r="AO86" s="85" t="n">
        <v>-0.007172</v>
      </c>
      <c r="AP86" s="85" t="n">
        <v>-0.005571</v>
      </c>
    </row>
    <row r="87" ht="15" customHeight="1" s="62">
      <c r="A87" s="86" t="inlineStr">
        <is>
          <t xml:space="preserve">      Unrealized Gain Loss</t>
        </is>
      </c>
      <c r="AL87" s="85" t="n"/>
      <c r="AM87" s="85" t="n"/>
      <c r="AN87" s="85" t="n"/>
      <c r="AO87" s="85" t="n"/>
      <c r="AP87" s="85" t="n"/>
    </row>
    <row r="88" ht="15" customHeight="1" s="62">
      <c r="A88" s="86" t="inlineStr">
        <is>
          <t xml:space="preserve">      Minimum Pension Liabilities</t>
        </is>
      </c>
      <c r="AL88" s="85" t="n"/>
      <c r="AM88" s="85" t="n"/>
      <c r="AN88" s="85" t="n"/>
      <c r="AO88" s="85" t="n"/>
      <c r="AP88" s="85" t="n"/>
    </row>
    <row r="89" ht="15" customHeight="1" s="62">
      <c r="A89" s="86" t="inlineStr">
        <is>
          <t xml:space="preserve">      Foreign Currency Translation Adjustments</t>
        </is>
      </c>
      <c r="J89" s="85" t="n"/>
      <c r="K89" s="85" t="n"/>
      <c r="L89" s="85" t="n"/>
      <c r="M89" s="85" t="n"/>
      <c r="N89" s="85" t="n"/>
      <c r="W89" s="85" t="n"/>
      <c r="X89" s="85" t="n"/>
      <c r="AL89" s="85" t="n"/>
      <c r="AM89" s="85" t="n"/>
      <c r="AN89" s="85" t="n"/>
      <c r="AO89" s="85" t="n"/>
      <c r="AP89" s="85" t="n"/>
    </row>
    <row r="90" ht="15" customHeight="1" s="62">
      <c r="A90" s="86" t="inlineStr">
        <is>
          <t xml:space="preserve">      Other Equity Adjustments</t>
        </is>
      </c>
      <c r="L90" s="85" t="n"/>
      <c r="M90" s="85" t="n"/>
      <c r="N90" s="85" t="n"/>
      <c r="O90" s="85" t="n"/>
      <c r="P90" s="85" t="n"/>
      <c r="Q90" s="85" t="n"/>
      <c r="R90" s="85" t="n"/>
      <c r="S90" s="85" t="n"/>
      <c r="U90" s="85" t="n"/>
      <c r="V90" s="85" t="n"/>
      <c r="W90" s="85" t="n"/>
      <c r="X90" s="85" t="n"/>
      <c r="Y90" s="85" t="n"/>
      <c r="Z90" s="85" t="n"/>
      <c r="AA90" s="85" t="n"/>
      <c r="AB90" s="85" t="n"/>
      <c r="AC90" s="85" t="n"/>
      <c r="AD90" s="85" t="n"/>
      <c r="AE90" s="85" t="n"/>
      <c r="AF90" s="85" t="n"/>
      <c r="AG90" s="85" t="n"/>
      <c r="AH90" s="85" t="n"/>
      <c r="AI90" s="85" t="n"/>
      <c r="AJ90" s="85" t="n"/>
      <c r="AK90" s="85" t="n"/>
      <c r="AL90" s="85" t="n"/>
      <c r="AM90" s="85" t="n"/>
      <c r="AN90" s="85" t="n"/>
      <c r="AO90" s="85" t="n"/>
      <c r="AP90" s="85" t="n"/>
    </row>
    <row r="91" ht="15" customHeight="1" s="62">
      <c r="A91" s="86" t="inlineStr">
        <is>
          <t xml:space="preserve">    Other Equity Interest</t>
        </is>
      </c>
      <c r="B91" s="85" t="n"/>
      <c r="C91" s="85" t="n"/>
      <c r="D91" s="85" t="n"/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5" t="n"/>
      <c r="O91" s="85" t="n"/>
      <c r="P91" s="85" t="n"/>
      <c r="Q91" s="85" t="n"/>
      <c r="S91" s="85" t="n"/>
      <c r="T91" s="85" t="n"/>
      <c r="U91" s="85" t="n"/>
      <c r="V91" s="85" t="n"/>
    </row>
    <row r="92" ht="15" customHeight="1" s="62">
      <c r="A92" s="86" t="inlineStr">
        <is>
          <t xml:space="preserve">  Minority Interest</t>
        </is>
      </c>
      <c r="M92" s="85" t="n"/>
      <c r="N92" s="85" t="n"/>
      <c r="O92" s="85" t="n"/>
      <c r="P92" s="85" t="n"/>
      <c r="Q92" s="85" t="n"/>
      <c r="R92" s="85" t="n"/>
      <c r="Y92" s="85" t="n"/>
      <c r="Z92" s="85" t="n">
        <v>0</v>
      </c>
      <c r="AA92" s="85" t="n">
        <v>0</v>
      </c>
      <c r="AB92" s="85" t="n">
        <v>0</v>
      </c>
      <c r="AC92" s="85" t="n">
        <v>0</v>
      </c>
      <c r="AD92" s="85" t="n">
        <v>0</v>
      </c>
      <c r="AE92" s="85" t="n">
        <v>0</v>
      </c>
      <c r="AF92" s="85" t="n">
        <v>0</v>
      </c>
      <c r="AG92" s="85" t="n"/>
      <c r="AH92" s="85" t="n">
        <v>0</v>
      </c>
      <c r="AI92" s="85" t="n"/>
      <c r="AJ92" s="85" t="n"/>
      <c r="AK92" s="85" t="n"/>
      <c r="AL92" s="85" t="n"/>
      <c r="AM92" s="85" t="n"/>
      <c r="AN92" s="85" t="n"/>
      <c r="AO92" s="85" t="n"/>
      <c r="AP92" s="85" t="n"/>
    </row>
    <row r="93" ht="15" customHeight="1" s="62">
      <c r="A93" s="83" t="inlineStr">
        <is>
          <t>Total Capitalization</t>
        </is>
      </c>
      <c r="B93" s="85" t="n"/>
      <c r="C93" s="85" t="n"/>
      <c r="D93" s="85" t="n"/>
      <c r="E93" s="85" t="n"/>
      <c r="F93" s="85" t="n"/>
      <c r="G93" s="85" t="n"/>
      <c r="H93" s="85" t="n"/>
      <c r="I93" s="85" t="n"/>
      <c r="J93" s="85" t="n"/>
      <c r="K93" s="85" t="n"/>
      <c r="L93" s="85" t="n"/>
      <c r="M93" s="85" t="n"/>
      <c r="N93" s="85" t="n"/>
      <c r="O93" s="85" t="n"/>
      <c r="P93" s="85" t="n"/>
      <c r="Q93" s="85" t="n"/>
      <c r="R93" s="85" t="n"/>
      <c r="S93" s="85" t="n"/>
      <c r="T93" s="85" t="n"/>
      <c r="U93" s="85" t="n"/>
      <c r="V93" s="85" t="n"/>
      <c r="W93" s="85" t="n"/>
      <c r="X93" s="85" t="n"/>
      <c r="Y93" s="85" t="n"/>
      <c r="Z93" s="85" t="n"/>
      <c r="AA93" s="85" t="n"/>
      <c r="AB93" s="85" t="n"/>
      <c r="AC93" s="85" t="n"/>
      <c r="AD93" s="85" t="n"/>
      <c r="AE93" s="85" t="n"/>
      <c r="AF93" s="85" t="n"/>
      <c r="AG93" s="85" t="n"/>
      <c r="AH93" s="85" t="n"/>
      <c r="AI93" s="85" t="n"/>
      <c r="AJ93" s="85" t="n"/>
      <c r="AK93" s="85" t="n"/>
      <c r="AL93" s="85" t="n"/>
      <c r="AM93" s="85" t="n"/>
      <c r="AN93" s="85" t="n"/>
      <c r="AO93" s="85" t="n"/>
      <c r="AP93" s="85" t="n"/>
    </row>
    <row r="94" ht="15" customHeight="1" s="62">
      <c r="A94" s="83" t="inlineStr">
        <is>
          <t>Common Stock Equity</t>
        </is>
      </c>
      <c r="B94" s="85" t="n">
        <v>0.00055</v>
      </c>
      <c r="C94" s="85" t="n">
        <v>0.000694</v>
      </c>
      <c r="D94" s="85" t="n">
        <v>0.000837</v>
      </c>
      <c r="E94" s="85" t="n">
        <v>0.001003</v>
      </c>
      <c r="F94" s="85" t="n">
        <v>0.001486</v>
      </c>
      <c r="G94" s="85" t="n">
        <v>0.001447</v>
      </c>
      <c r="H94" s="85" t="n">
        <v>0.001767</v>
      </c>
      <c r="I94" s="85" t="n">
        <v>0.002187</v>
      </c>
      <c r="J94" s="85" t="n">
        <v>0.002026</v>
      </c>
      <c r="K94" s="85" t="n">
        <v>0.002383</v>
      </c>
      <c r="L94" s="85" t="n">
        <v>0.002901</v>
      </c>
      <c r="M94" s="85" t="n">
        <v>0.002058</v>
      </c>
      <c r="N94" s="85" t="n">
        <v>0.0012</v>
      </c>
      <c r="O94" s="85" t="n">
        <v>0.001642</v>
      </c>
      <c r="P94" s="85" t="n">
        <v>0.003104</v>
      </c>
      <c r="Q94" s="85" t="n">
        <v>0.004107</v>
      </c>
      <c r="R94" s="85" t="n">
        <v>0.00392</v>
      </c>
      <c r="S94" s="85" t="n">
        <v>0.004095</v>
      </c>
      <c r="T94" s="85" t="n">
        <v>0.004223</v>
      </c>
      <c r="U94" s="85" t="n">
        <v>0.005076</v>
      </c>
      <c r="V94" s="85" t="n">
        <v>0.007466</v>
      </c>
      <c r="W94" s="85" t="n">
        <v>0.009984</v>
      </c>
      <c r="X94" s="85" t="n">
        <v>0.014532</v>
      </c>
      <c r="Y94" s="85" t="n">
        <v>0.02103</v>
      </c>
      <c r="Z94" s="85" t="n">
        <v>0.027832</v>
      </c>
      <c r="AA94" s="85" t="n">
        <v>0.047791</v>
      </c>
      <c r="AB94" s="85" t="n">
        <v>0.076615</v>
      </c>
      <c r="AC94" s="85" t="n">
        <v>0.11821</v>
      </c>
      <c r="AD94" s="85" t="n">
        <v>0.123549</v>
      </c>
      <c r="AE94" s="85" t="n">
        <v>0.111547</v>
      </c>
      <c r="AF94" s="85" t="n">
        <v>0.119355</v>
      </c>
      <c r="AG94" s="85" t="n">
        <v>0.128249</v>
      </c>
      <c r="AH94" s="85" t="n">
        <v>0.134047</v>
      </c>
      <c r="AI94" s="85" t="n">
        <v>0.107147</v>
      </c>
      <c r="AJ94" s="85" t="n">
        <v>0.090488</v>
      </c>
      <c r="AK94" s="85" t="n">
        <v>0.06533899999999999</v>
      </c>
      <c r="AL94" s="85" t="n">
        <v>0.06308999999999999</v>
      </c>
      <c r="AM94" s="85" t="n">
        <v>0.050672</v>
      </c>
      <c r="AN94" s="85" t="n">
        <v>0.062146</v>
      </c>
      <c r="AO94" s="85" t="n">
        <v>0.05695</v>
      </c>
      <c r="AP94" s="85" t="n">
        <v>0.07373300000000001</v>
      </c>
    </row>
    <row r="95" ht="15" customHeight="1" s="62">
      <c r="A95" s="83" t="inlineStr">
        <is>
          <t>Capital Lease Obligations</t>
        </is>
      </c>
      <c r="AI95" s="85" t="n"/>
      <c r="AJ95" s="85" t="n"/>
      <c r="AK95" s="85" t="n"/>
      <c r="AL95" s="85" t="n"/>
      <c r="AM95" s="85" t="n"/>
      <c r="AN95" s="85" t="n"/>
      <c r="AO95" s="85" t="n"/>
      <c r="AP95" s="85" t="n"/>
    </row>
    <row r="96" ht="15" customHeight="1" s="62">
      <c r="A96" s="83" t="inlineStr">
        <is>
          <t>Net Tangible Assets</t>
        </is>
      </c>
      <c r="B96" s="85" t="n"/>
      <c r="C96" s="85" t="n"/>
      <c r="D96" s="85" t="n"/>
      <c r="E96" s="85" t="n"/>
      <c r="F96" s="85" t="n"/>
      <c r="G96" s="85" t="n"/>
      <c r="H96" s="85" t="n"/>
      <c r="I96" s="85" t="n"/>
      <c r="J96" s="85" t="n"/>
      <c r="K96" s="85" t="n"/>
      <c r="L96" s="85" t="n"/>
      <c r="M96" s="85" t="n"/>
      <c r="N96" s="85" t="n"/>
      <c r="O96" s="85" t="n"/>
      <c r="P96" s="85" t="n"/>
      <c r="Q96" s="85" t="n"/>
      <c r="R96" s="85" t="n"/>
      <c r="S96" s="85" t="n"/>
      <c r="T96" s="85" t="n"/>
      <c r="U96" s="85" t="n"/>
      <c r="V96" s="85" t="n"/>
      <c r="W96" s="85" t="n"/>
      <c r="X96" s="85" t="n"/>
      <c r="Y96" s="85" t="n"/>
      <c r="Z96" s="85" t="n"/>
      <c r="AA96" s="85" t="n"/>
      <c r="AB96" s="85" t="n"/>
      <c r="AC96" s="85" t="n"/>
      <c r="AD96" s="85" t="n"/>
      <c r="AE96" s="85" t="n"/>
      <c r="AF96" s="85" t="n"/>
      <c r="AG96" s="85" t="n"/>
      <c r="AH96" s="85" t="n"/>
      <c r="AI96" s="85" t="n"/>
      <c r="AJ96" s="85" t="n"/>
      <c r="AK96" s="85" t="n"/>
      <c r="AL96" s="85" t="n"/>
      <c r="AM96" s="85" t="n"/>
      <c r="AN96" s="85" t="n"/>
      <c r="AO96" s="85" t="n"/>
      <c r="AP96" s="85" t="n"/>
    </row>
    <row r="97" ht="15" customHeight="1" s="62">
      <c r="A97" s="83" t="inlineStr">
        <is>
          <t>Working Capital</t>
        </is>
      </c>
      <c r="B97" s="85" t="n"/>
      <c r="C97" s="85" t="n"/>
      <c r="D97" s="85" t="n"/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5" t="n"/>
      <c r="O97" s="85" t="n"/>
      <c r="P97" s="85" t="n"/>
      <c r="Q97" s="85" t="n"/>
      <c r="R97" s="85" t="n"/>
      <c r="S97" s="85" t="n"/>
      <c r="T97" s="85" t="n"/>
      <c r="U97" s="85" t="n"/>
      <c r="V97" s="85" t="n"/>
      <c r="W97" s="85" t="n"/>
      <c r="X97" s="85" t="n"/>
      <c r="Y97" s="85" t="n"/>
      <c r="Z97" s="85" t="n"/>
      <c r="AA97" s="85" t="n"/>
      <c r="AB97" s="85" t="n"/>
      <c r="AC97" s="85" t="n"/>
      <c r="AD97" s="85" t="n"/>
      <c r="AE97" s="85" t="n"/>
      <c r="AF97" s="85" t="n"/>
      <c r="AG97" s="85" t="n"/>
      <c r="AH97" s="85" t="n"/>
      <c r="AI97" s="85" t="n"/>
      <c r="AJ97" s="85" t="n"/>
      <c r="AK97" s="85" t="n"/>
      <c r="AL97" s="85" t="n"/>
      <c r="AM97" s="85" t="n"/>
      <c r="AN97" s="85" t="n"/>
      <c r="AO97" s="85" t="n"/>
      <c r="AP97" s="85" t="n"/>
    </row>
    <row r="98" ht="15" customHeight="1" s="62">
      <c r="A98" s="83" t="inlineStr">
        <is>
          <t>Invested Capital</t>
        </is>
      </c>
      <c r="B98" s="85" t="n"/>
      <c r="C98" s="85" t="n"/>
      <c r="D98" s="85" t="n"/>
      <c r="E98" s="85" t="n"/>
      <c r="F98" s="85" t="n"/>
      <c r="G98" s="85" t="n"/>
      <c r="H98" s="85" t="n"/>
      <c r="I98" s="85" t="n"/>
      <c r="J98" s="85" t="n"/>
      <c r="K98" s="85" t="n"/>
      <c r="L98" s="85" t="n"/>
      <c r="M98" s="85" t="n"/>
      <c r="N98" s="85" t="n"/>
      <c r="O98" s="85" t="n"/>
      <c r="P98" s="85" t="n"/>
      <c r="Q98" s="85" t="n"/>
      <c r="R98" s="85" t="n"/>
      <c r="S98" s="85" t="n"/>
      <c r="T98" s="85" t="n"/>
      <c r="U98" s="85" t="n"/>
      <c r="V98" s="85" t="n"/>
      <c r="W98" s="85" t="n"/>
      <c r="X98" s="85" t="n"/>
      <c r="Y98" s="85" t="n"/>
      <c r="Z98" s="85" t="n"/>
      <c r="AA98" s="85" t="n"/>
      <c r="AB98" s="85" t="n"/>
      <c r="AC98" s="85" t="n"/>
      <c r="AD98" s="85" t="n"/>
      <c r="AE98" s="85" t="n"/>
      <c r="AF98" s="85" t="n"/>
      <c r="AG98" s="85" t="n"/>
      <c r="AH98" s="85" t="n"/>
      <c r="AI98" s="85" t="n"/>
      <c r="AJ98" s="85" t="n"/>
      <c r="AK98" s="85" t="n"/>
      <c r="AL98" s="85" t="n"/>
      <c r="AM98" s="85" t="n"/>
      <c r="AN98" s="85" t="n"/>
      <c r="AO98" s="85" t="n"/>
      <c r="AP98" s="85" t="n"/>
    </row>
    <row r="99" ht="15" customHeight="1" s="62">
      <c r="A99" s="83" t="inlineStr">
        <is>
          <t>Tangible Book Value</t>
        </is>
      </c>
      <c r="B99" s="85" t="n"/>
      <c r="C99" s="85" t="n"/>
      <c r="D99" s="85" t="n"/>
      <c r="E99" s="85" t="n"/>
      <c r="F99" s="85" t="n"/>
      <c r="G99" s="85" t="n"/>
      <c r="H99" s="85" t="n"/>
      <c r="I99" s="85" t="n"/>
      <c r="J99" s="85" t="n"/>
      <c r="K99" s="85" t="n"/>
      <c r="L99" s="85" t="n"/>
      <c r="M99" s="85" t="n"/>
      <c r="N99" s="85" t="n"/>
      <c r="O99" s="85" t="n"/>
      <c r="P99" s="85" t="n"/>
      <c r="Q99" s="85" t="n"/>
      <c r="R99" s="85" t="n"/>
      <c r="S99" s="85" t="n"/>
      <c r="T99" s="85" t="n"/>
      <c r="U99" s="85" t="n"/>
      <c r="V99" s="85" t="n"/>
      <c r="W99" s="85" t="n"/>
      <c r="X99" s="85" t="n"/>
      <c r="Y99" s="85" t="n"/>
      <c r="Z99" s="85" t="n"/>
      <c r="AA99" s="85" t="n"/>
      <c r="AB99" s="85" t="n"/>
      <c r="AC99" s="85" t="n"/>
      <c r="AD99" s="85" t="n"/>
      <c r="AE99" s="85" t="n"/>
      <c r="AF99" s="85" t="n"/>
      <c r="AG99" s="85" t="n"/>
      <c r="AH99" s="85" t="n"/>
      <c r="AI99" s="85" t="n"/>
      <c r="AJ99" s="85" t="n"/>
      <c r="AK99" s="85" t="n"/>
      <c r="AL99" s="85" t="n"/>
      <c r="AM99" s="85" t="n"/>
      <c r="AN99" s="85" t="n"/>
      <c r="AO99" s="85" t="n"/>
      <c r="AP99" s="85" t="n"/>
    </row>
    <row r="100" ht="15" customHeight="1" s="62">
      <c r="A100" s="83" t="inlineStr">
        <is>
          <t>Total Debt</t>
        </is>
      </c>
      <c r="B100" s="85" t="n"/>
      <c r="C100" s="85" t="n"/>
      <c r="D100" s="85" t="n"/>
      <c r="E100" s="85" t="n">
        <v>0.000128</v>
      </c>
      <c r="F100" s="85" t="n">
        <v>5.7e-05</v>
      </c>
      <c r="G100" s="85" t="n">
        <v>0.000123</v>
      </c>
      <c r="H100" s="85" t="n">
        <v>0.000149</v>
      </c>
      <c r="I100" s="85" t="n">
        <v>0.000185</v>
      </c>
      <c r="J100" s="85" t="n">
        <v>0.0008229999999999999</v>
      </c>
      <c r="K100" s="85" t="n">
        <v>0.000597</v>
      </c>
      <c r="L100" s="85" t="n">
        <v>0.000764</v>
      </c>
      <c r="M100" s="85" t="n">
        <v>0.001135</v>
      </c>
      <c r="N100" s="85" t="n">
        <v>0.000976</v>
      </c>
      <c r="O100" s="85" t="n">
        <v>0.000954</v>
      </c>
      <c r="P100" s="85" t="n">
        <v>0.0003</v>
      </c>
      <c r="Q100" s="85" t="n">
        <v>0.0003</v>
      </c>
      <c r="R100" s="85" t="n">
        <v>0.000317</v>
      </c>
      <c r="S100" s="85" t="n">
        <v>0.000316</v>
      </c>
      <c r="T100" s="85" t="n">
        <v>0.000304</v>
      </c>
      <c r="U100" s="85" t="n"/>
      <c r="V100" s="85" t="n"/>
      <c r="W100" s="85" t="n"/>
      <c r="X100" s="85" t="n"/>
      <c r="Y100" s="85" t="n"/>
      <c r="Z100" s="85" t="n"/>
      <c r="AA100" s="85" t="n"/>
      <c r="AB100" s="85" t="n"/>
      <c r="AC100" s="85" t="n"/>
      <c r="AD100" s="85" t="n">
        <v>0.01696</v>
      </c>
      <c r="AE100" s="85" t="n">
        <v>0.035295</v>
      </c>
      <c r="AF100" s="85" t="n">
        <v>0.06446200000000001</v>
      </c>
      <c r="AG100" s="85" t="n">
        <v>0.087032</v>
      </c>
      <c r="AH100" s="85" t="n">
        <v>0.11568</v>
      </c>
      <c r="AI100" s="85" t="n">
        <v>0.114483</v>
      </c>
      <c r="AJ100" s="85" t="n">
        <v>0.108047</v>
      </c>
      <c r="AK100" s="85" t="n">
        <v>0.112436</v>
      </c>
      <c r="AL100" s="85" t="n">
        <v>0.124719</v>
      </c>
      <c r="AM100" s="85" t="n">
        <v>0.120881</v>
      </c>
      <c r="AN100" s="85" t="n">
        <v>0.111947</v>
      </c>
      <c r="AO100" s="85" t="n">
        <v>0.119059</v>
      </c>
      <c r="AP100" s="85" t="n">
        <v>0.112377</v>
      </c>
    </row>
    <row r="101" ht="15" customHeight="1" s="62">
      <c r="A101" s="83" t="inlineStr">
        <is>
          <t>Net Debt</t>
        </is>
      </c>
      <c r="B101" s="85" t="n"/>
      <c r="C101" s="85" t="n"/>
      <c r="D101" s="85" t="n"/>
      <c r="E101" s="85" t="n"/>
      <c r="F101" s="85" t="n"/>
      <c r="G101" s="85" t="n"/>
      <c r="H101" s="85" t="n"/>
      <c r="I101" s="85" t="n"/>
      <c r="J101" s="85" t="n"/>
      <c r="K101" s="85" t="n"/>
      <c r="L101" s="85" t="n"/>
      <c r="M101" s="85" t="n"/>
      <c r="N101" s="85" t="n"/>
      <c r="O101" s="85" t="n"/>
      <c r="P101" s="85" t="n"/>
      <c r="Q101" s="85" t="n"/>
      <c r="R101" s="85" t="n"/>
      <c r="S101" s="85" t="n"/>
      <c r="T101" s="85" t="n"/>
      <c r="U101" s="85" t="n"/>
      <c r="V101" s="85" t="n"/>
      <c r="W101" s="85" t="n"/>
      <c r="X101" s="85" t="n"/>
      <c r="Y101" s="85" t="n"/>
      <c r="Z101" s="85" t="n"/>
      <c r="AA101" s="85" t="n"/>
      <c r="AB101" s="85" t="n"/>
      <c r="AC101" s="85" t="n"/>
      <c r="AD101" s="85" t="n"/>
      <c r="AE101" s="85" t="n"/>
      <c r="AF101" s="85" t="n"/>
      <c r="AG101" s="85" t="n"/>
      <c r="AH101" s="85" t="n"/>
      <c r="AI101" s="85" t="n"/>
      <c r="AJ101" s="85" t="n"/>
      <c r="AK101" s="85" t="n"/>
      <c r="AL101" s="85" t="n"/>
      <c r="AM101" s="85" t="n"/>
      <c r="AN101" s="85" t="n"/>
      <c r="AO101" s="85" t="n"/>
      <c r="AP101" s="85" t="n"/>
    </row>
    <row r="102" ht="15" customHeight="1" s="62">
      <c r="A102" s="83" t="inlineStr">
        <is>
          <t>Share Issued</t>
        </is>
      </c>
      <c r="B102" s="87" t="n"/>
      <c r="C102" s="87" t="n"/>
      <c r="D102" s="87" t="n"/>
      <c r="E102" s="87" t="n"/>
      <c r="F102" s="87" t="n"/>
      <c r="G102" s="87" t="n"/>
      <c r="H102" s="87" t="n"/>
      <c r="I102" s="87" t="n"/>
      <c r="J102" s="87" t="n"/>
      <c r="K102" s="87" t="n"/>
      <c r="L102" s="87" t="n"/>
      <c r="M102" s="87" t="n"/>
      <c r="N102" s="87" t="n"/>
      <c r="O102" s="87" t="n"/>
      <c r="P102" s="87" t="n"/>
      <c r="Q102" s="87" t="n"/>
      <c r="R102" s="87" t="n"/>
      <c r="S102" s="87" t="n"/>
      <c r="T102" s="87" t="n"/>
      <c r="U102" s="87" t="n"/>
      <c r="V102" s="87" t="n"/>
      <c r="W102" s="87" t="n"/>
      <c r="X102" s="87" t="n"/>
      <c r="Y102" s="87" t="n"/>
      <c r="Z102" s="87" t="n"/>
      <c r="AA102" s="87" t="n"/>
      <c r="AB102" s="87" t="n"/>
      <c r="AC102" s="87" t="n"/>
      <c r="AD102" s="87" t="n"/>
      <c r="AE102" s="87" t="n"/>
      <c r="AF102" s="87" t="n"/>
      <c r="AG102" s="87" t="n"/>
      <c r="AH102" s="87" t="n"/>
      <c r="AI102" s="87" t="n"/>
      <c r="AJ102" s="87" t="n"/>
      <c r="AK102" s="87" t="n"/>
      <c r="AL102" s="87" t="n"/>
      <c r="AM102" s="87" t="n"/>
      <c r="AN102" s="87" t="n"/>
      <c r="AO102" s="87" t="n"/>
      <c r="AP102" s="87" t="n"/>
    </row>
    <row r="103" ht="15" customHeight="1" s="62">
      <c r="A103" s="83" t="inlineStr">
        <is>
          <t>Ordinary Shares Number</t>
        </is>
      </c>
      <c r="B103" s="87" t="n">
        <v>0.013709</v>
      </c>
      <c r="C103" s="87" t="n">
        <v>0.014373</v>
      </c>
      <c r="D103" s="87" t="n">
        <v>0.014675</v>
      </c>
      <c r="E103" s="87" t="n">
        <v>0.014556</v>
      </c>
      <c r="F103" s="87" t="n">
        <v>0.014364</v>
      </c>
      <c r="G103" s="87" t="n">
        <v>0.014071</v>
      </c>
      <c r="H103" s="87" t="n">
        <v>0.013449</v>
      </c>
      <c r="I103" s="87" t="n">
        <v>0.01373</v>
      </c>
      <c r="J103" s="87" t="n">
        <v>0.013424</v>
      </c>
      <c r="K103" s="87" t="n">
        <v>0.013298</v>
      </c>
      <c r="L103" s="87" t="n">
        <v>0.013781</v>
      </c>
      <c r="M103" s="87" t="n">
        <v>0.013858</v>
      </c>
      <c r="N103" s="87" t="n">
        <v>0.014119</v>
      </c>
      <c r="O103" s="87" t="n">
        <v>0.018807</v>
      </c>
      <c r="P103" s="87" t="n">
        <v>0.019506</v>
      </c>
      <c r="Q103" s="87" t="n">
        <v>0.020178</v>
      </c>
      <c r="R103" s="87" t="n">
        <v>0.019354</v>
      </c>
      <c r="S103" s="87" t="n">
        <v>0.02026</v>
      </c>
      <c r="T103" s="87" t="n">
        <v>0.020354</v>
      </c>
      <c r="U103" s="87" t="n">
        <v>0.021694</v>
      </c>
      <c r="V103" s="87" t="n">
        <v>0.023993</v>
      </c>
      <c r="W103" s="87" t="n">
        <v>0.024571</v>
      </c>
      <c r="X103" s="87" t="n">
        <v>0.0249</v>
      </c>
      <c r="Y103" s="87" t="n">
        <v>0.02526</v>
      </c>
      <c r="Z103" s="87" t="n">
        <v>0.025396</v>
      </c>
      <c r="AA103" s="87" t="n">
        <v>0.025892</v>
      </c>
      <c r="AB103" s="87" t="n">
        <v>0.026226</v>
      </c>
      <c r="AC103" s="87" t="n">
        <v>0.02647</v>
      </c>
      <c r="AD103" s="87" t="n">
        <v>0.026087</v>
      </c>
      <c r="AE103" s="87" t="n">
        <v>0.024491</v>
      </c>
      <c r="AF103" s="87" t="n">
        <v>0.023172</v>
      </c>
      <c r="AG103" s="87" t="n">
        <v>0.022001</v>
      </c>
      <c r="AH103" s="87" t="n">
        <v>0.021007</v>
      </c>
      <c r="AI103" s="87" t="n">
        <v>0.02</v>
      </c>
      <c r="AJ103" s="87" t="n">
        <v>0.018596</v>
      </c>
      <c r="AK103" s="87" t="n">
        <v>0.017528</v>
      </c>
      <c r="AL103" s="87" t="n">
        <v>0.016865</v>
      </c>
      <c r="AM103" s="87" t="n">
        <v>0.016326</v>
      </c>
      <c r="AN103" s="87" t="n">
        <v>0.015813</v>
      </c>
      <c r="AO103" s="87" t="n">
        <v>0.015408</v>
      </c>
      <c r="AP103" s="87" t="n">
        <v>0.015005</v>
      </c>
    </row>
    <row r="104" ht="15" customHeight="1" s="62">
      <c r="A104" s="83" t="inlineStr">
        <is>
          <t>Preferred Shares Number</t>
        </is>
      </c>
      <c r="J104" s="87" t="n"/>
      <c r="K104" s="87" t="n"/>
      <c r="L104" s="87" t="n"/>
      <c r="M104" s="87" t="n"/>
      <c r="N104" s="87" t="n"/>
      <c r="O104" s="87" t="n"/>
      <c r="P104" s="87" t="n"/>
      <c r="Q104" s="87" t="n"/>
      <c r="R104" s="87" t="n"/>
      <c r="S104" s="87" t="n"/>
      <c r="T104" s="87" t="n"/>
      <c r="U104" s="87" t="n"/>
      <c r="AI104" s="87" t="n"/>
      <c r="AJ104" s="87" t="n"/>
      <c r="AK104" s="87" t="n"/>
      <c r="AL104" s="87" t="n"/>
      <c r="AM104" s="87" t="n"/>
      <c r="AN104" s="87" t="n"/>
      <c r="AO104" s="87" t="n"/>
      <c r="AP104" s="87" t="n"/>
    </row>
    <row r="105" ht="15" customHeight="1" s="62">
      <c r="A105" s="83" t="inlineStr">
        <is>
          <t>Treasury Shares Number</t>
        </is>
      </c>
      <c r="X105" s="87" t="n"/>
      <c r="Y105" s="87" t="n"/>
      <c r="Z105" s="87" t="n"/>
      <c r="AA105" s="87" t="n"/>
      <c r="AB105" s="87" t="n"/>
      <c r="AC105" s="87" t="n"/>
      <c r="AD105" s="87" t="n"/>
      <c r="AE105" s="87" t="n"/>
      <c r="AF105" s="87" t="n"/>
      <c r="AG105" s="87" t="n"/>
      <c r="AH105" s="87" t="n"/>
      <c r="AI105" s="87" t="n"/>
      <c r="AJ105" s="87" t="n"/>
      <c r="AK105" s="87" t="n"/>
      <c r="AL105" s="87" t="n"/>
      <c r="AM105" s="87" t="n"/>
      <c r="AN105" s="87" t="n"/>
      <c r="AO105" s="87" t="n"/>
      <c r="AP105" s="8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P8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61" min="1" max="1"/>
    <col width="12" customWidth="1" style="61" min="2" max="38"/>
  </cols>
  <sheetData>
    <row r="1" ht="15" customHeight="1" s="62">
      <c r="A1" s="63" t="inlineStr">
        <is>
          <t>CASH FLOW — Apple Inc. (AAPL)</t>
        </is>
      </c>
    </row>
    <row r="2" ht="15" customHeight="1" s="62">
      <c r="A2" s="64" t="inlineStr">
        <is>
          <t>Filed data (Apple Inc.). $mm unless noted · per-share $ · ratios frac · shares mm. Blue = filed input. Loaded by the AEG data pipeline.</t>
        </is>
      </c>
    </row>
    <row r="3" ht="15" customHeight="1" s="62">
      <c r="A3" s="83" t="inlineStr">
        <is>
          <t>Line item</t>
        </is>
      </c>
      <c r="B3" s="84" t="inlineStr">
        <is>
          <t>1989</t>
        </is>
      </c>
      <c r="C3" s="84" t="inlineStr">
        <is>
          <t>1990</t>
        </is>
      </c>
      <c r="D3" s="84" t="inlineStr">
        <is>
          <t>1991</t>
        </is>
      </c>
      <c r="E3" s="84" t="inlineStr">
        <is>
          <t>1992</t>
        </is>
      </c>
      <c r="F3" s="84" t="inlineStr">
        <is>
          <t>1993</t>
        </is>
      </c>
      <c r="G3" s="84" t="inlineStr">
        <is>
          <t>1994</t>
        </is>
      </c>
      <c r="H3" s="84" t="inlineStr">
        <is>
          <t>1995</t>
        </is>
      </c>
      <c r="I3" s="84" t="inlineStr">
        <is>
          <t>1996</t>
        </is>
      </c>
      <c r="J3" s="84" t="inlineStr">
        <is>
          <t>1997</t>
        </is>
      </c>
      <c r="K3" s="84" t="inlineStr">
        <is>
          <t>1998</t>
        </is>
      </c>
      <c r="L3" s="84" t="inlineStr">
        <is>
          <t>1999</t>
        </is>
      </c>
      <c r="M3" s="84" t="inlineStr">
        <is>
          <t>2000</t>
        </is>
      </c>
      <c r="N3" s="84" t="inlineStr">
        <is>
          <t>2001</t>
        </is>
      </c>
      <c r="O3" s="84" t="inlineStr">
        <is>
          <t>2002</t>
        </is>
      </c>
      <c r="P3" s="84" t="inlineStr">
        <is>
          <t>2003</t>
        </is>
      </c>
      <c r="Q3" s="84" t="inlineStr">
        <is>
          <t>2004</t>
        </is>
      </c>
      <c r="R3" s="84" t="inlineStr">
        <is>
          <t>2005</t>
        </is>
      </c>
      <c r="S3" s="84" t="inlineStr">
        <is>
          <t>2006</t>
        </is>
      </c>
      <c r="T3" s="84" t="inlineStr">
        <is>
          <t>2007</t>
        </is>
      </c>
      <c r="U3" s="84" t="inlineStr">
        <is>
          <t>2008</t>
        </is>
      </c>
      <c r="V3" s="84" t="inlineStr">
        <is>
          <t>2009</t>
        </is>
      </c>
      <c r="W3" s="84" t="inlineStr">
        <is>
          <t>2010</t>
        </is>
      </c>
      <c r="X3" s="84" t="inlineStr">
        <is>
          <t>2011</t>
        </is>
      </c>
      <c r="Y3" s="84" t="inlineStr">
        <is>
          <t>2012</t>
        </is>
      </c>
      <c r="Z3" s="84" t="inlineStr">
        <is>
          <t>2013</t>
        </is>
      </c>
      <c r="AA3" s="84" t="inlineStr">
        <is>
          <t>2014</t>
        </is>
      </c>
      <c r="AB3" s="84" t="inlineStr">
        <is>
          <t>2015</t>
        </is>
      </c>
      <c r="AC3" s="84" t="inlineStr">
        <is>
          <t>2016</t>
        </is>
      </c>
      <c r="AD3" s="84" t="inlineStr">
        <is>
          <t>2017</t>
        </is>
      </c>
      <c r="AE3" s="84" t="inlineStr">
        <is>
          <t>2018</t>
        </is>
      </c>
      <c r="AF3" s="84" t="inlineStr">
        <is>
          <t>2019</t>
        </is>
      </c>
      <c r="AG3" s="84" t="inlineStr">
        <is>
          <t>2020</t>
        </is>
      </c>
      <c r="AH3" s="84" t="inlineStr">
        <is>
          <t>2021</t>
        </is>
      </c>
      <c r="AI3" s="84" t="inlineStr">
        <is>
          <t>2022</t>
        </is>
      </c>
      <c r="AJ3" s="84" t="inlineStr">
        <is>
          <t>2023</t>
        </is>
      </c>
      <c r="AK3" s="84" t="inlineStr">
        <is>
          <t>2024</t>
        </is>
      </c>
      <c r="AL3" s="84" t="inlineStr">
        <is>
          <t>2025</t>
        </is>
      </c>
    </row>
    <row r="4" ht="15" customHeight="1" s="62">
      <c r="A4" s="83" t="inlineStr">
        <is>
          <t>Operating Cash Flow</t>
        </is>
      </c>
      <c r="B4" s="85" t="n">
        <v>0.000507</v>
      </c>
      <c r="C4" s="85" t="n">
        <v>0.000964</v>
      </c>
      <c r="D4" s="85" t="n">
        <v>0.000129</v>
      </c>
      <c r="E4" s="85" t="n">
        <v>0.000884</v>
      </c>
      <c r="F4" s="85" t="n">
        <v>-0.000662</v>
      </c>
      <c r="G4" s="85" t="n">
        <v>0.000737</v>
      </c>
      <c r="H4" s="85" t="n">
        <v>-0.00024</v>
      </c>
      <c r="I4" s="85" t="n">
        <v>0.000519</v>
      </c>
      <c r="J4" s="85" t="n">
        <v>0.000188</v>
      </c>
      <c r="K4" s="85" t="n">
        <v>0.000775</v>
      </c>
      <c r="L4" s="85" t="n">
        <v>0.000798</v>
      </c>
      <c r="M4" s="85" t="n">
        <v>0.000826</v>
      </c>
      <c r="N4" s="85" t="n">
        <v>0.000185</v>
      </c>
      <c r="O4" s="85" t="n">
        <v>8.899999999999999e-05</v>
      </c>
      <c r="P4" s="85" t="n">
        <v>0.000289</v>
      </c>
      <c r="Q4" s="85" t="n">
        <v>0.000934</v>
      </c>
      <c r="R4" s="85" t="n">
        <v>0.002535</v>
      </c>
      <c r="S4" s="85" t="n">
        <v>0.00222</v>
      </c>
      <c r="T4" s="85" t="n">
        <v>0.00547</v>
      </c>
      <c r="U4" s="85" t="n">
        <v>0.009596</v>
      </c>
      <c r="V4" s="85" t="n">
        <v>0.010159</v>
      </c>
      <c r="W4" s="85" t="n">
        <v>0.018595</v>
      </c>
      <c r="X4" s="85" t="n">
        <v>0.037529</v>
      </c>
      <c r="Y4" s="85" t="n">
        <v>0.050856</v>
      </c>
      <c r="Z4" s="85" t="n">
        <v>0.053666</v>
      </c>
      <c r="AA4" s="85" t="n">
        <v>0.059713</v>
      </c>
      <c r="AB4" s="85" t="n">
        <v>0.081266</v>
      </c>
      <c r="AC4" s="85" t="n">
        <v>0.06582399999999999</v>
      </c>
      <c r="AD4" s="85" t="n">
        <v>0.063598</v>
      </c>
      <c r="AE4" s="85" t="n">
        <v>0.077434</v>
      </c>
      <c r="AF4" s="85" t="n">
        <v>0.06939099999999999</v>
      </c>
      <c r="AG4" s="85" t="n">
        <v>0.080674</v>
      </c>
      <c r="AH4" s="85" t="n">
        <v>0.104038</v>
      </c>
      <c r="AI4" s="85" t="n">
        <v>0.122151</v>
      </c>
      <c r="AJ4" s="85" t="n">
        <v>0.110543</v>
      </c>
      <c r="AK4" s="85" t="n">
        <v>0.118254</v>
      </c>
      <c r="AL4" s="85" t="n">
        <v>0.111482</v>
      </c>
    </row>
    <row r="5" ht="15" customHeight="1" s="62">
      <c r="A5" s="86" t="inlineStr">
        <is>
          <t xml:space="preserve">  Cash Flow from Continuing Operating Activities</t>
        </is>
      </c>
      <c r="B5" s="85" t="n"/>
      <c r="C5" s="85" t="n"/>
      <c r="D5" s="85" t="n"/>
      <c r="E5" s="85" t="n"/>
      <c r="F5" s="85" t="n"/>
      <c r="G5" s="85" t="n"/>
      <c r="H5" s="85" t="n"/>
      <c r="I5" s="85" t="n"/>
      <c r="J5" s="85" t="n"/>
      <c r="K5" s="85" t="n"/>
      <c r="L5" s="85" t="n"/>
      <c r="M5" s="85" t="n"/>
      <c r="N5" s="85" t="n"/>
      <c r="O5" s="85" t="n"/>
      <c r="P5" s="85" t="n"/>
      <c r="Q5" s="85" t="n"/>
      <c r="R5" s="85" t="n"/>
      <c r="S5" s="85" t="n"/>
      <c r="T5" s="85" t="n"/>
      <c r="U5" s="85" t="n"/>
      <c r="V5" s="85" t="n"/>
      <c r="W5" s="85" t="n"/>
      <c r="X5" s="85" t="n"/>
      <c r="Y5" s="85" t="n"/>
      <c r="Z5" s="85" t="n"/>
      <c r="AA5" s="85" t="n"/>
      <c r="AB5" s="85" t="n"/>
      <c r="AC5" s="85" t="n"/>
      <c r="AD5" s="85" t="n"/>
      <c r="AE5" s="85" t="n"/>
      <c r="AF5" s="85" t="n"/>
      <c r="AG5" s="85" t="n"/>
      <c r="AH5" s="85" t="n"/>
      <c r="AI5" s="85" t="n"/>
      <c r="AJ5" s="85" t="n"/>
      <c r="AK5" s="85" t="n"/>
      <c r="AL5" s="85" t="n"/>
    </row>
    <row r="6" ht="15" customHeight="1" s="62">
      <c r="A6" s="86" t="inlineStr">
        <is>
          <t xml:space="preserve">    Net Income from Continuing Operations</t>
        </is>
      </c>
      <c r="B6" s="85" t="n"/>
      <c r="C6" s="85" t="n"/>
      <c r="D6" s="85" t="n"/>
      <c r="E6" s="85" t="n"/>
      <c r="F6" s="85" t="n"/>
      <c r="G6" s="85" t="n"/>
      <c r="H6" s="85" t="n"/>
      <c r="I6" s="85" t="n"/>
      <c r="J6" s="85" t="n"/>
      <c r="K6" s="85" t="n"/>
      <c r="L6" s="85" t="n"/>
      <c r="M6" s="85" t="n"/>
      <c r="N6" s="85" t="n"/>
      <c r="O6" s="85" t="n"/>
      <c r="P6" s="85" t="n"/>
      <c r="Q6" s="85" t="n"/>
      <c r="R6" s="85" t="n"/>
      <c r="S6" s="85" t="n"/>
      <c r="T6" s="85" t="n"/>
      <c r="U6" s="85" t="n"/>
      <c r="V6" s="85" t="n"/>
      <c r="W6" s="85" t="n"/>
      <c r="X6" s="85" t="n"/>
      <c r="Y6" s="85" t="n"/>
      <c r="Z6" s="85" t="n"/>
      <c r="AA6" s="85" t="n"/>
      <c r="AB6" s="85" t="n"/>
      <c r="AC6" s="85" t="n"/>
      <c r="AD6" s="85" t="n"/>
      <c r="AE6" s="85" t="n"/>
      <c r="AF6" s="85" t="n"/>
      <c r="AG6" s="85" t="n"/>
      <c r="AH6" s="85" t="n"/>
      <c r="AI6" s="85" t="n"/>
      <c r="AJ6" s="85" t="n"/>
      <c r="AK6" s="85" t="n"/>
      <c r="AL6" s="85" t="n"/>
    </row>
    <row r="7" ht="15" customHeight="1" s="62">
      <c r="A7" s="86" t="inlineStr">
        <is>
          <t xml:space="preserve">    Operating Gains Losses</t>
        </is>
      </c>
      <c r="B7" s="85" t="n"/>
      <c r="C7" s="85" t="n"/>
      <c r="D7" s="85" t="n"/>
      <c r="E7" s="85" t="n"/>
      <c r="F7" s="85" t="n"/>
      <c r="G7" s="85" t="n"/>
      <c r="H7" s="85" t="n"/>
      <c r="I7" s="85" t="n"/>
      <c r="J7" s="85" t="n"/>
      <c r="K7" s="85" t="n"/>
      <c r="L7" s="85" t="n"/>
      <c r="M7" s="85" t="n"/>
      <c r="N7" s="85" t="n"/>
      <c r="O7" s="85" t="n"/>
      <c r="P7" s="85" t="n"/>
      <c r="Q7" s="85" t="n"/>
      <c r="R7" s="85" t="n"/>
      <c r="S7" s="85" t="n"/>
      <c r="T7" s="85" t="n"/>
      <c r="U7" s="85" t="n"/>
      <c r="V7" s="85" t="n"/>
      <c r="W7" s="85" t="n"/>
      <c r="X7" s="85" t="n"/>
      <c r="Y7" s="85" t="n"/>
      <c r="Z7" s="85" t="n"/>
      <c r="AA7" s="85" t="n"/>
      <c r="AB7" s="85" t="n"/>
      <c r="AC7" s="85" t="n"/>
      <c r="AD7" s="85" t="n"/>
      <c r="AE7" s="85" t="n"/>
      <c r="AF7" s="85" t="n"/>
      <c r="AG7" s="85" t="n"/>
      <c r="AH7" s="85" t="n"/>
      <c r="AI7" s="85" t="n"/>
      <c r="AJ7" s="85" t="n"/>
      <c r="AK7" s="85" t="n"/>
      <c r="AL7" s="85" t="n"/>
    </row>
    <row r="8" ht="15" customHeight="1" s="62">
      <c r="A8" s="86" t="inlineStr">
        <is>
          <t xml:space="preserve">      Gain Loss On Sale of Business</t>
        </is>
      </c>
      <c r="J8" s="85" t="n"/>
      <c r="L8" s="85" t="n"/>
      <c r="O8" s="85" t="n"/>
      <c r="P8" s="85" t="n"/>
      <c r="Q8" s="85" t="n"/>
      <c r="R8" s="85" t="n"/>
      <c r="S8" s="85" t="n"/>
      <c r="U8" s="85" t="n"/>
      <c r="W8" s="85" t="n"/>
    </row>
    <row r="9" ht="15" customHeight="1" s="62">
      <c r="A9" s="86" t="inlineStr">
        <is>
          <t xml:space="preserve">      Gain Loss On Sale of PPE</t>
        </is>
      </c>
      <c r="R9" s="85" t="n"/>
      <c r="S9" s="85" t="n"/>
      <c r="T9" s="85" t="n"/>
      <c r="U9" s="85" t="n"/>
      <c r="Y9" s="85" t="n"/>
      <c r="Z9" s="85" t="n"/>
      <c r="AA9" s="85" t="n"/>
      <c r="AB9" s="85" t="n"/>
    </row>
    <row r="10" ht="15" customHeight="1" s="62">
      <c r="A10" s="86" t="inlineStr">
        <is>
          <t xml:space="preserve">      Gain Loss On Investment Securities</t>
        </is>
      </c>
      <c r="K10" s="85" t="n"/>
      <c r="L10" s="85" t="n"/>
      <c r="M10" s="85" t="n"/>
      <c r="N10" s="85" t="n"/>
      <c r="O10" s="85" t="n"/>
      <c r="P10" s="85" t="n"/>
      <c r="Q10" s="85" t="n"/>
      <c r="R10" s="85" t="n"/>
      <c r="S10" s="85" t="n"/>
      <c r="T10" s="85" t="n"/>
      <c r="U10" s="85" t="n"/>
      <c r="W10" s="85" t="n"/>
      <c r="X10" s="85" t="n"/>
      <c r="Y10" s="85" t="n"/>
      <c r="Z10" s="85" t="n"/>
      <c r="AA10" s="85" t="n"/>
      <c r="AB10" s="85" t="n"/>
      <c r="AC10" s="85" t="n"/>
      <c r="AD10" s="85" t="n"/>
      <c r="AE10" s="85" t="n"/>
      <c r="AF10" s="85" t="n"/>
      <c r="AG10" s="85" t="n"/>
      <c r="AH10" s="85" t="n"/>
      <c r="AI10" s="85" t="n"/>
      <c r="AJ10" s="85" t="n"/>
      <c r="AK10" s="85" t="n"/>
      <c r="AL10" s="85" t="n"/>
    </row>
    <row r="11" ht="15" customHeight="1" s="62">
      <c r="A11" s="86" t="inlineStr">
        <is>
          <t xml:space="preserve">      Earnings Losses from Equity Investments</t>
        </is>
      </c>
      <c r="E11" s="85" t="n"/>
      <c r="F11" s="85" t="n"/>
      <c r="G11" s="85" t="n"/>
      <c r="H11" s="85" t="n"/>
      <c r="I11" s="85" t="n"/>
      <c r="J11" s="85" t="n"/>
      <c r="K11" s="85" t="n"/>
      <c r="L11" s="85" t="n"/>
      <c r="M11" s="85" t="n"/>
      <c r="N11" s="85" t="n"/>
      <c r="O11" s="85" t="n"/>
      <c r="P11" s="85" t="n"/>
      <c r="Q11" s="85" t="n"/>
      <c r="R11" s="85" t="n"/>
      <c r="S11" s="85" t="n"/>
      <c r="T11" s="85" t="n"/>
      <c r="U11" s="85" t="n"/>
      <c r="V11" s="85" t="n"/>
      <c r="W11" s="85" t="n"/>
      <c r="X11" s="85" t="n"/>
      <c r="Y11" s="85" t="n"/>
      <c r="Z11" s="85" t="n"/>
      <c r="AA11" s="85" t="n"/>
      <c r="AB11" s="85" t="n"/>
      <c r="AC11" s="85" t="n"/>
      <c r="AD11" s="85" t="n"/>
      <c r="AE11" s="85" t="n"/>
      <c r="AF11" s="85" t="n"/>
      <c r="AG11" s="85" t="n"/>
      <c r="AH11" s="85" t="n"/>
    </row>
    <row r="12" ht="15" customHeight="1" s="62">
      <c r="A12" s="86" t="inlineStr">
        <is>
          <t xml:space="preserve">      Pension And Employee Benefit Expense</t>
        </is>
      </c>
      <c r="E12" s="85" t="n"/>
      <c r="F12" s="85" t="n"/>
      <c r="G12" s="85" t="n"/>
      <c r="H12" s="85" t="n"/>
      <c r="I12" s="85" t="n"/>
      <c r="N12" s="85" t="n"/>
      <c r="O12" s="85" t="n"/>
      <c r="P12" s="85" t="n"/>
      <c r="Q12" s="85" t="n"/>
      <c r="R12" s="85" t="n"/>
      <c r="S12" s="85" t="n"/>
      <c r="U12" s="85" t="n"/>
      <c r="V12" s="85" t="n"/>
      <c r="W12" s="85" t="n"/>
      <c r="X12" s="85" t="n"/>
      <c r="Y12" s="85" t="n"/>
      <c r="Z12" s="85" t="n"/>
      <c r="AA12" s="85" t="n"/>
      <c r="AB12" s="85" t="n"/>
      <c r="AC12" s="85" t="n"/>
      <c r="AD12" s="85" t="n"/>
      <c r="AE12" s="85" t="n"/>
      <c r="AF12" s="85" t="n"/>
      <c r="AG12" s="85" t="n"/>
      <c r="AH12" s="85" t="n"/>
      <c r="AI12" s="85" t="n"/>
      <c r="AJ12" s="85" t="n"/>
      <c r="AK12" s="85" t="n"/>
      <c r="AL12" s="85" t="n"/>
    </row>
    <row r="13" ht="15" customHeight="1" s="62">
      <c r="A13" s="86" t="inlineStr">
        <is>
          <t xml:space="preserve">    Depreciation Amortization Depletion</t>
        </is>
      </c>
      <c r="B13" s="85" t="n"/>
      <c r="C13" s="85" t="n"/>
      <c r="D13" s="85" t="n"/>
      <c r="E13" s="85" t="n"/>
      <c r="F13" s="85" t="n"/>
      <c r="G13" s="85" t="n"/>
      <c r="H13" s="85" t="n"/>
      <c r="I13" s="85" t="n"/>
      <c r="J13" s="85" t="n"/>
      <c r="K13" s="85" t="n"/>
      <c r="L13" s="85" t="n"/>
      <c r="M13" s="85" t="n"/>
      <c r="N13" s="85" t="n"/>
      <c r="O13" s="85" t="n"/>
      <c r="P13" s="85" t="n"/>
      <c r="Q13" s="85" t="n"/>
      <c r="R13" s="85" t="n"/>
      <c r="S13" s="85" t="n"/>
      <c r="T13" s="85" t="n"/>
      <c r="U13" s="85" t="n"/>
      <c r="V13" s="85" t="n"/>
      <c r="W13" s="85" t="n"/>
      <c r="X13" s="85" t="n"/>
      <c r="Y13" s="85" t="n"/>
      <c r="Z13" s="85" t="n"/>
      <c r="AA13" s="85" t="n"/>
      <c r="AB13" s="85" t="n"/>
      <c r="AC13" s="85" t="n"/>
      <c r="AD13" s="85" t="n"/>
      <c r="AE13" s="85" t="n"/>
      <c r="AF13" s="85" t="n"/>
      <c r="AG13" s="85" t="n"/>
      <c r="AH13" s="85" t="n"/>
      <c r="AI13" s="85" t="n"/>
      <c r="AJ13" s="85" t="n"/>
      <c r="AK13" s="85" t="n"/>
      <c r="AL13" s="85" t="n"/>
    </row>
    <row r="14" ht="15" customHeight="1" s="62">
      <c r="A14" s="86" t="inlineStr">
        <is>
          <t xml:space="preserve">      Depreciation &amp; amortization</t>
        </is>
      </c>
      <c r="B14" s="85" t="n"/>
      <c r="C14" s="85" t="n"/>
      <c r="D14" s="85" t="n"/>
      <c r="E14" s="85" t="n"/>
      <c r="F14" s="85" t="n"/>
      <c r="G14" s="85" t="n"/>
      <c r="H14" s="85" t="n"/>
      <c r="I14" s="85" t="n"/>
      <c r="J14" s="85" t="n"/>
      <c r="K14" s="85" t="n"/>
      <c r="L14" s="85" t="n"/>
      <c r="M14" s="85" t="n"/>
      <c r="N14" s="85" t="n"/>
      <c r="O14" s="85" t="n"/>
      <c r="P14" s="85" t="n"/>
      <c r="Q14" s="85" t="n"/>
      <c r="R14" s="85" t="n"/>
      <c r="S14" s="85" t="n"/>
      <c r="T14" s="85" t="n"/>
      <c r="U14" s="85" t="n"/>
      <c r="V14" s="85" t="n"/>
      <c r="W14" s="85" t="n"/>
      <c r="X14" s="85" t="n"/>
      <c r="Y14" s="85" t="n"/>
      <c r="Z14" s="85" t="n"/>
      <c r="AA14" s="85" t="n"/>
      <c r="AB14" s="85" t="n"/>
      <c r="AC14" s="85" t="n"/>
      <c r="AD14" s="85" t="n"/>
      <c r="AE14" s="85" t="n"/>
      <c r="AF14" s="85" t="n"/>
      <c r="AG14" s="85" t="n"/>
      <c r="AH14" s="85" t="n"/>
      <c r="AI14" s="85" t="n"/>
      <c r="AJ14" s="85" t="n"/>
      <c r="AK14" s="85" t="n"/>
      <c r="AL14" s="85" t="n"/>
    </row>
    <row r="15" ht="15" customHeight="1" s="62">
      <c r="A15" s="86" t="inlineStr">
        <is>
          <t xml:space="preserve">        Depreciation</t>
        </is>
      </c>
      <c r="E15" s="85" t="n"/>
      <c r="F15" s="85" t="n"/>
      <c r="G15" s="85" t="n"/>
      <c r="H15" s="85" t="n"/>
      <c r="I15" s="85" t="n"/>
      <c r="J15" s="85" t="n"/>
      <c r="K15" s="85" t="n"/>
      <c r="L15" s="85" t="n"/>
      <c r="M15" s="85" t="n"/>
      <c r="N15" s="85" t="n"/>
      <c r="O15" s="85" t="n"/>
      <c r="P15" s="85" t="n"/>
      <c r="Q15" s="85" t="n"/>
      <c r="R15" s="85" t="n"/>
      <c r="S15" s="85" t="n"/>
      <c r="T15" s="85" t="n"/>
      <c r="U15" s="85" t="n"/>
      <c r="V15" s="85" t="n"/>
      <c r="W15" s="85" t="n"/>
      <c r="X15" s="85" t="n"/>
      <c r="Y15" s="85" t="n"/>
      <c r="Z15" s="85" t="n"/>
      <c r="AA15" s="85" t="n"/>
      <c r="AB15" s="85" t="n"/>
      <c r="AC15" s="85" t="n"/>
      <c r="AD15" s="85" t="n"/>
      <c r="AE15" s="85" t="n"/>
      <c r="AF15" s="85" t="n"/>
      <c r="AG15" s="85" t="n"/>
      <c r="AH15" s="85" t="n"/>
      <c r="AI15" s="85" t="n"/>
      <c r="AJ15" s="85" t="n"/>
      <c r="AK15" s="85" t="n"/>
    </row>
    <row r="16" ht="15" customHeight="1" s="62">
      <c r="A16" s="86" t="inlineStr">
        <is>
          <t xml:space="preserve">        Amortization</t>
        </is>
      </c>
      <c r="H16" s="85" t="n"/>
      <c r="I16" s="85" t="n"/>
      <c r="J16" s="85" t="n"/>
      <c r="K16" s="85" t="n"/>
      <c r="L16" s="85" t="n"/>
      <c r="M16" s="85" t="n"/>
      <c r="N16" s="85" t="n"/>
      <c r="O16" s="85" t="n"/>
      <c r="P16" s="85" t="n"/>
      <c r="Q16" s="85" t="n"/>
      <c r="R16" s="85" t="n"/>
      <c r="S16" s="85" t="n"/>
      <c r="T16" s="85" t="n"/>
      <c r="AC16" s="85" t="n"/>
      <c r="AD16" s="85" t="n"/>
      <c r="AE16" s="85" t="n"/>
      <c r="AF16" s="85" t="n"/>
      <c r="AG16" s="85" t="n"/>
      <c r="AH16" s="85" t="n"/>
      <c r="AI16" s="85" t="n"/>
      <c r="AJ16" s="85" t="n"/>
      <c r="AK16" s="85" t="n"/>
    </row>
    <row r="17" ht="15" customHeight="1" s="62">
      <c r="A17" s="86" t="inlineStr">
        <is>
          <t xml:space="preserve">          Amortization of Intangibles</t>
        </is>
      </c>
      <c r="H17" s="85" t="n"/>
      <c r="I17" s="85" t="n"/>
      <c r="J17" s="85" t="n"/>
      <c r="K17" s="85" t="n"/>
      <c r="L17" s="85" t="n"/>
      <c r="M17" s="85" t="n"/>
      <c r="N17" s="85" t="n"/>
      <c r="O17" s="85" t="n"/>
      <c r="P17" s="85" t="n"/>
      <c r="Q17" s="85" t="n"/>
      <c r="R17" s="85" t="n"/>
      <c r="S17" s="85" t="n"/>
      <c r="T17" s="85" t="n"/>
      <c r="AC17" s="85" t="n"/>
      <c r="AD17" s="85" t="n"/>
      <c r="AE17" s="85" t="n"/>
      <c r="AF17" s="85" t="n"/>
      <c r="AG17" s="85" t="n"/>
      <c r="AH17" s="85" t="n"/>
      <c r="AI17" s="85" t="n"/>
      <c r="AJ17" s="85" t="n"/>
      <c r="AK17" s="85" t="n"/>
    </row>
    <row r="18" ht="15" customHeight="1" s="62">
      <c r="A18" s="86" t="inlineStr">
        <is>
          <t xml:space="preserve">    Deferred Tax</t>
        </is>
      </c>
      <c r="B18" s="85" t="n"/>
      <c r="C18" s="85" t="n"/>
      <c r="D18" s="85" t="n"/>
      <c r="E18" s="85" t="n"/>
      <c r="F18" s="85" t="n"/>
      <c r="G18" s="85" t="n"/>
      <c r="H18" s="85" t="n"/>
      <c r="I18" s="85" t="n"/>
      <c r="J18" s="85" t="n"/>
      <c r="K18" s="85" t="n"/>
      <c r="L18" s="85" t="n"/>
      <c r="M18" s="85" t="n"/>
      <c r="N18" s="85" t="n"/>
      <c r="O18" s="85" t="n"/>
      <c r="P18" s="85" t="n"/>
      <c r="Q18" s="85" t="n"/>
      <c r="R18" s="85" t="n"/>
      <c r="S18" s="85" t="n"/>
      <c r="T18" s="85" t="n"/>
      <c r="U18" s="85" t="n"/>
      <c r="V18" s="85" t="n"/>
      <c r="W18" s="85" t="n"/>
      <c r="X18" s="85" t="n"/>
      <c r="Y18" s="85" t="n"/>
      <c r="Z18" s="85" t="n"/>
      <c r="AA18" s="85" t="n"/>
      <c r="AB18" s="85" t="n"/>
      <c r="AC18" s="85" t="n"/>
      <c r="AD18" s="85" t="n"/>
      <c r="AE18" s="85" t="n"/>
      <c r="AF18" s="85" t="n"/>
      <c r="AG18" s="85" t="n"/>
      <c r="AH18" s="85" t="n"/>
      <c r="AI18" s="85" t="n"/>
      <c r="AJ18" s="85" t="n"/>
      <c r="AK18" s="85" t="n"/>
    </row>
    <row r="19" ht="15" customHeight="1" s="62">
      <c r="A19" s="86" t="inlineStr">
        <is>
          <t xml:space="preserve">      Deferred Income Tax</t>
        </is>
      </c>
      <c r="B19" s="85" t="n"/>
      <c r="C19" s="85" t="n"/>
      <c r="D19" s="85" t="n"/>
      <c r="E19" s="85" t="n"/>
      <c r="F19" s="85" t="n"/>
      <c r="G19" s="85" t="n"/>
      <c r="H19" s="85" t="n"/>
      <c r="I19" s="85" t="n"/>
      <c r="J19" s="85" t="n"/>
      <c r="K19" s="85" t="n"/>
      <c r="L19" s="85" t="n"/>
      <c r="M19" s="85" t="n"/>
      <c r="N19" s="85" t="n"/>
      <c r="O19" s="85" t="n"/>
      <c r="P19" s="85" t="n"/>
      <c r="Q19" s="85" t="n"/>
      <c r="R19" s="85" t="n"/>
      <c r="S19" s="85" t="n"/>
      <c r="T19" s="85" t="n"/>
      <c r="U19" s="85" t="n"/>
      <c r="V19" s="85" t="n"/>
      <c r="W19" s="85" t="n"/>
      <c r="X19" s="85" t="n"/>
      <c r="Y19" s="85" t="n"/>
      <c r="Z19" s="85" t="n"/>
      <c r="AA19" s="85" t="n"/>
      <c r="AB19" s="85" t="n"/>
      <c r="AC19" s="85" t="n"/>
      <c r="AD19" s="85" t="n"/>
      <c r="AE19" s="85" t="n"/>
      <c r="AF19" s="85" t="n"/>
      <c r="AG19" s="85" t="n"/>
      <c r="AH19" s="85" t="n"/>
      <c r="AI19" s="85" t="n"/>
      <c r="AJ19" s="85" t="n"/>
      <c r="AK19" s="85" t="n"/>
    </row>
    <row r="20" ht="15" customHeight="1" s="62">
      <c r="A20" s="86" t="inlineStr">
        <is>
          <t xml:space="preserve">    Asset Impairment Charge</t>
        </is>
      </c>
      <c r="T20" s="85" t="n"/>
      <c r="U20" s="85" t="n"/>
      <c r="V20" s="85" t="n"/>
      <c r="W20" s="85" t="n"/>
      <c r="X20" s="85" t="n"/>
      <c r="Y20" s="85" t="n"/>
      <c r="Z20" s="85" t="n"/>
      <c r="AA20" s="85" t="n"/>
      <c r="AB20" s="85" t="n"/>
      <c r="AC20" s="85" t="n"/>
      <c r="AD20" s="85" t="n"/>
      <c r="AE20" s="85" t="n"/>
      <c r="AF20" s="85" t="n"/>
      <c r="AG20" s="85" t="n"/>
      <c r="AH20" s="85" t="n"/>
      <c r="AI20" s="85" t="n"/>
      <c r="AJ20" s="85" t="n"/>
      <c r="AK20" s="85" t="n"/>
      <c r="AL20" s="85" t="n"/>
    </row>
    <row r="21" ht="15" customHeight="1" s="62">
      <c r="A21" s="86" t="inlineStr">
        <is>
          <t xml:space="preserve">    Provision &amp; Write Off of Assets</t>
        </is>
      </c>
      <c r="E21" s="85" t="n"/>
      <c r="F21" s="85" t="n"/>
      <c r="G21" s="85" t="n"/>
      <c r="H21" s="85" t="n"/>
      <c r="I21" s="85" t="n"/>
      <c r="J21" s="85" t="n"/>
      <c r="K21" s="85" t="n"/>
      <c r="L21" s="85" t="n"/>
      <c r="M21" s="85" t="n"/>
      <c r="N21" s="85" t="n"/>
      <c r="O21" s="85" t="n"/>
      <c r="P21" s="85" t="n"/>
      <c r="Q21" s="85" t="n"/>
      <c r="R21" s="85" t="n"/>
      <c r="S21" s="85" t="n"/>
      <c r="T21" s="85" t="n"/>
      <c r="U21" s="85" t="n"/>
      <c r="V21" s="85" t="n"/>
      <c r="W21" s="85" t="n"/>
      <c r="X21" s="85" t="n"/>
      <c r="Y21" s="85" t="n"/>
      <c r="Z21" s="85" t="n"/>
      <c r="AA21" s="85" t="n"/>
      <c r="AB21" s="85" t="n"/>
      <c r="AC21" s="85" t="n"/>
      <c r="AD21" s="85" t="n"/>
      <c r="AE21" s="85" t="n"/>
      <c r="AF21" s="85" t="n"/>
      <c r="AG21" s="85" t="n"/>
      <c r="AH21" s="85" t="n"/>
      <c r="AI21" s="85" t="n"/>
      <c r="AJ21" s="85" t="n"/>
      <c r="AK21" s="85" t="n"/>
      <c r="AL21" s="85" t="n"/>
    </row>
    <row r="22" ht="15" customHeight="1" s="62">
      <c r="A22" s="86" t="inlineStr">
        <is>
          <t xml:space="preserve">    Unrealized Gain Loss On Investment Securities</t>
        </is>
      </c>
      <c r="T22" s="85" t="n"/>
      <c r="U22" s="85" t="n"/>
      <c r="V22" s="85" t="n"/>
    </row>
    <row r="23" ht="15" customHeight="1" s="62">
      <c r="A23" s="86" t="inlineStr">
        <is>
          <t xml:space="preserve">    Excess Tax Benefit from Stock Based Compensation</t>
        </is>
      </c>
      <c r="P23" s="85" t="n"/>
      <c r="Q23" s="85" t="n"/>
      <c r="R23" s="85" t="n"/>
      <c r="S23" s="85" t="n"/>
      <c r="T23" s="85" t="n"/>
      <c r="U23" s="85" t="n"/>
    </row>
    <row r="24" ht="15" customHeight="1" s="62">
      <c r="A24" s="86" t="inlineStr">
        <is>
          <t xml:space="preserve">    Other non-cash items</t>
        </is>
      </c>
      <c r="B24" s="85" t="n"/>
      <c r="C24" s="85" t="n"/>
      <c r="D24" s="85" t="n"/>
      <c r="E24" s="85" t="n"/>
      <c r="F24" s="85" t="n"/>
      <c r="G24" s="85" t="n"/>
      <c r="H24" s="85" t="n"/>
      <c r="I24" s="85" t="n"/>
      <c r="J24" s="85" t="n"/>
      <c r="K24" s="85" t="n"/>
      <c r="L24" s="85" t="n"/>
      <c r="M24" s="85" t="n"/>
      <c r="N24" s="85" t="n"/>
      <c r="O24" s="85" t="n"/>
      <c r="P24" s="85" t="n"/>
      <c r="Q24" s="85" t="n"/>
      <c r="R24" s="85" t="n"/>
      <c r="S24" s="85" t="n"/>
      <c r="T24" s="85" t="n"/>
      <c r="U24" s="85" t="n"/>
      <c r="V24" s="85" t="n"/>
      <c r="W24" s="85" t="n"/>
      <c r="X24" s="85" t="n"/>
      <c r="Y24" s="85" t="n"/>
      <c r="Z24" s="85" t="n"/>
      <c r="AA24" s="85" t="n"/>
      <c r="AB24" s="85" t="n"/>
      <c r="AC24" s="85" t="n"/>
      <c r="AD24" s="85" t="n"/>
      <c r="AE24" s="85" t="n"/>
      <c r="AF24" s="85" t="n"/>
      <c r="AG24" s="85" t="n"/>
      <c r="AH24" s="85" t="n"/>
      <c r="AI24" s="85" t="n"/>
      <c r="AJ24" s="85" t="n"/>
      <c r="AK24" s="85" t="n"/>
      <c r="AL24" s="85" t="n"/>
    </row>
    <row r="25" ht="15" customHeight="1" s="62">
      <c r="A25" s="86" t="inlineStr">
        <is>
          <t xml:space="preserve">    Change in working capital</t>
        </is>
      </c>
      <c r="B25" s="85" t="n"/>
      <c r="C25" s="85" t="n"/>
      <c r="D25" s="85" t="n"/>
      <c r="E25" s="85" t="n"/>
      <c r="F25" s="85" t="n"/>
      <c r="G25" s="85" t="n"/>
      <c r="H25" s="85" t="n"/>
      <c r="I25" s="85" t="n"/>
      <c r="J25" s="85" t="n"/>
      <c r="K25" s="85" t="n"/>
      <c r="L25" s="85" t="n"/>
      <c r="M25" s="85" t="n"/>
      <c r="N25" s="85" t="n"/>
      <c r="O25" s="85" t="n"/>
      <c r="P25" s="85" t="n"/>
      <c r="Q25" s="85" t="n"/>
      <c r="R25" s="85" t="n"/>
      <c r="S25" s="85" t="n"/>
      <c r="T25" s="85" t="n"/>
      <c r="U25" s="85" t="n"/>
      <c r="V25" s="85" t="n"/>
      <c r="W25" s="85" t="n"/>
      <c r="X25" s="85" t="n"/>
      <c r="Y25" s="85" t="n"/>
      <c r="Z25" s="85" t="n"/>
      <c r="AA25" s="85" t="n"/>
      <c r="AB25" s="85" t="n"/>
      <c r="AC25" s="85" t="n"/>
      <c r="AD25" s="85" t="n"/>
      <c r="AE25" s="85" t="n"/>
      <c r="AF25" s="85" t="n"/>
      <c r="AG25" s="85" t="n"/>
      <c r="AH25" s="85" t="n"/>
      <c r="AI25" s="85" t="n"/>
      <c r="AJ25" s="85" t="n"/>
      <c r="AK25" s="85" t="n"/>
      <c r="AL25" s="85" t="n"/>
    </row>
    <row r="26" ht="15" customHeight="1" s="62">
      <c r="A26" s="86" t="inlineStr">
        <is>
          <t xml:space="preserve">      Change in Receivables</t>
        </is>
      </c>
      <c r="B26" s="85" t="n"/>
      <c r="C26" s="85" t="n"/>
      <c r="D26" s="85" t="n"/>
      <c r="E26" s="85" t="n"/>
      <c r="F26" s="85" t="n"/>
      <c r="G26" s="85" t="n"/>
      <c r="H26" s="85" t="n"/>
      <c r="I26" s="85" t="n"/>
      <c r="J26" s="85" t="n"/>
      <c r="K26" s="85" t="n"/>
      <c r="L26" s="85" t="n"/>
      <c r="M26" s="85" t="n"/>
      <c r="N26" s="85" t="n"/>
      <c r="O26" s="85" t="n"/>
      <c r="P26" s="85" t="n"/>
      <c r="Q26" s="85" t="n"/>
      <c r="R26" s="85" t="n"/>
      <c r="S26" s="85" t="n"/>
      <c r="T26" s="85" t="n"/>
      <c r="U26" s="85" t="n"/>
      <c r="V26" s="85" t="n"/>
      <c r="W26" s="85" t="n"/>
      <c r="X26" s="85" t="n"/>
      <c r="Y26" s="85" t="n"/>
      <c r="Z26" s="85" t="n"/>
      <c r="AA26" s="85" t="n"/>
      <c r="AB26" s="85" t="n"/>
      <c r="AC26" s="85" t="n"/>
      <c r="AD26" s="85" t="n"/>
      <c r="AE26" s="85" t="n"/>
      <c r="AF26" s="85" t="n"/>
      <c r="AG26" s="85" t="n"/>
      <c r="AH26" s="85" t="n"/>
      <c r="AI26" s="85" t="n"/>
      <c r="AJ26" s="85" t="n"/>
      <c r="AK26" s="85" t="n"/>
      <c r="AL26" s="85" t="n"/>
    </row>
    <row r="27" ht="15" customHeight="1" s="62">
      <c r="A27" s="86" t="inlineStr">
        <is>
          <t xml:space="preserve">        Changes in Account Receivables</t>
        </is>
      </c>
      <c r="E27" s="85" t="n"/>
      <c r="F27" s="85" t="n"/>
      <c r="G27" s="85" t="n"/>
      <c r="H27" s="85" t="n"/>
      <c r="I27" s="85" t="n"/>
      <c r="J27" s="85" t="n"/>
      <c r="K27" s="85" t="n"/>
      <c r="L27" s="85" t="n"/>
      <c r="M27" s="85" t="n"/>
      <c r="N27" s="85" t="n"/>
      <c r="O27" s="85" t="n"/>
      <c r="P27" s="85" t="n"/>
      <c r="Q27" s="85" t="n"/>
      <c r="R27" s="85" t="n"/>
      <c r="S27" s="85" t="n"/>
      <c r="T27" s="85" t="n"/>
      <c r="U27" s="85" t="n"/>
      <c r="V27" s="85" t="n"/>
      <c r="W27" s="85" t="n"/>
      <c r="X27" s="85" t="n"/>
      <c r="Y27" s="85" t="n"/>
      <c r="Z27" s="85" t="n"/>
      <c r="AA27" s="85" t="n"/>
      <c r="AB27" s="85" t="n"/>
      <c r="AC27" s="85" t="n"/>
      <c r="AD27" s="85" t="n"/>
      <c r="AE27" s="85" t="n"/>
      <c r="AF27" s="85" t="n"/>
      <c r="AG27" s="85" t="n"/>
      <c r="AH27" s="85" t="n"/>
      <c r="AI27" s="85" t="n"/>
      <c r="AJ27" s="85" t="n"/>
      <c r="AK27" s="85" t="n"/>
      <c r="AL27" s="85" t="n"/>
    </row>
    <row r="28" ht="15" customHeight="1" s="62">
      <c r="A28" s="86" t="inlineStr">
        <is>
          <t xml:space="preserve">      Change in Inventory</t>
        </is>
      </c>
      <c r="AI28" s="85" t="n"/>
      <c r="AJ28" s="85" t="n"/>
      <c r="AK28" s="85" t="n"/>
      <c r="AL28" s="85" t="n"/>
    </row>
    <row r="29" ht="15" customHeight="1" s="62">
      <c r="A29" s="86" t="inlineStr">
        <is>
          <t xml:space="preserve">      Change in Payables And Accrued Expense</t>
        </is>
      </c>
      <c r="B29" s="85" t="n"/>
      <c r="C29" s="85" t="n"/>
      <c r="D29" s="85" t="n"/>
      <c r="E29" s="85" t="n"/>
      <c r="F29" s="85" t="n"/>
      <c r="G29" s="85" t="n"/>
      <c r="H29" s="85" t="n"/>
      <c r="I29" s="85" t="n"/>
      <c r="J29" s="85" t="n"/>
      <c r="K29" s="85" t="n"/>
      <c r="L29" s="85" t="n"/>
      <c r="M29" s="85" t="n"/>
      <c r="N29" s="85" t="n"/>
      <c r="O29" s="85" t="n"/>
      <c r="P29" s="85" t="n"/>
      <c r="Q29" s="85" t="n"/>
      <c r="R29" s="85" t="n"/>
      <c r="S29" s="85" t="n"/>
      <c r="T29" s="85" t="n"/>
      <c r="U29" s="85" t="n"/>
      <c r="V29" s="85" t="n"/>
      <c r="W29" s="85" t="n"/>
      <c r="X29" s="85" t="n"/>
      <c r="Y29" s="85" t="n"/>
      <c r="Z29" s="85" t="n"/>
      <c r="AA29" s="85" t="n"/>
      <c r="AB29" s="85" t="n"/>
      <c r="AC29" s="85" t="n"/>
      <c r="AD29" s="85" t="n"/>
      <c r="AE29" s="85" t="n"/>
      <c r="AF29" s="85" t="n"/>
      <c r="AG29" s="85" t="n"/>
      <c r="AH29" s="85" t="n"/>
      <c r="AI29" s="85" t="n"/>
      <c r="AJ29" s="85" t="n"/>
      <c r="AK29" s="85" t="n"/>
      <c r="AL29" s="85" t="n"/>
    </row>
    <row r="30" ht="15" customHeight="1" s="62">
      <c r="A30" s="86" t="inlineStr">
        <is>
          <t xml:space="preserve">      Change in Other Current Assets</t>
        </is>
      </c>
      <c r="B30" s="85" t="n"/>
      <c r="C30" s="85" t="n"/>
      <c r="D30" s="85" t="n"/>
      <c r="E30" s="85" t="n"/>
      <c r="F30" s="85" t="n"/>
      <c r="G30" s="85" t="n"/>
      <c r="H30" s="85" t="n"/>
      <c r="I30" s="85" t="n"/>
      <c r="J30" s="85" t="n"/>
      <c r="K30" s="85" t="n"/>
      <c r="L30" s="85" t="n"/>
      <c r="M30" s="85" t="n"/>
      <c r="N30" s="85" t="n"/>
      <c r="O30" s="85" t="n"/>
      <c r="P30" s="85" t="n"/>
      <c r="Q30" s="85" t="n"/>
      <c r="R30" s="85" t="n"/>
      <c r="S30" s="85" t="n"/>
      <c r="T30" s="85" t="n"/>
      <c r="U30" s="85" t="n"/>
      <c r="V30" s="85" t="n"/>
      <c r="W30" s="85" t="n"/>
      <c r="X30" s="85" t="n"/>
      <c r="Y30" s="85" t="n"/>
      <c r="Z30" s="85" t="n"/>
      <c r="AA30" s="85" t="n"/>
      <c r="AB30" s="85" t="n"/>
      <c r="AC30" s="85" t="n"/>
      <c r="AD30" s="85" t="n"/>
      <c r="AE30" s="85" t="n"/>
      <c r="AF30" s="85" t="n"/>
      <c r="AG30" s="85" t="n"/>
      <c r="AH30" s="85" t="n"/>
      <c r="AI30" s="85" t="n"/>
      <c r="AJ30" s="85" t="n"/>
    </row>
    <row r="31" ht="15" customHeight="1" s="62">
      <c r="A31" s="86" t="inlineStr">
        <is>
          <t xml:space="preserve">      Change in Other Current Liabilities</t>
        </is>
      </c>
      <c r="B31" s="85" t="n"/>
      <c r="C31" s="85" t="n"/>
      <c r="D31" s="85" t="n"/>
      <c r="E31" s="85" t="n"/>
      <c r="F31" s="85" t="n"/>
      <c r="G31" s="85" t="n"/>
      <c r="M31" s="85" t="n"/>
      <c r="R31" s="85" t="n"/>
    </row>
    <row r="32" ht="15" customHeight="1" s="62">
      <c r="A32" s="86" t="inlineStr">
        <is>
          <t xml:space="preserve">      Change in Other Working Capital</t>
        </is>
      </c>
      <c r="T32" s="85" t="n"/>
      <c r="U32" s="85" t="n"/>
      <c r="AA32" s="85" t="n"/>
      <c r="AB32" s="85" t="n"/>
      <c r="AC32" s="85" t="n"/>
      <c r="AD32" s="85" t="n"/>
      <c r="AE32" s="85" t="n"/>
      <c r="AF32" s="85" t="n"/>
      <c r="AG32" s="85" t="n"/>
      <c r="AH32" s="85" t="n"/>
      <c r="AI32" s="85" t="n"/>
      <c r="AJ32" s="85" t="n"/>
      <c r="AK32" s="85" t="n"/>
      <c r="AL32" s="85" t="n"/>
    </row>
    <row r="33" ht="15" customHeight="1" s="62">
      <c r="A33" s="86" t="inlineStr">
        <is>
          <t xml:space="preserve">  Cash from Discontinued Operating Activities</t>
        </is>
      </c>
      <c r="O33" s="85" t="n"/>
      <c r="P33" s="85" t="n"/>
      <c r="Q33" s="85" t="n"/>
      <c r="R33" s="85" t="n"/>
      <c r="AG33" s="85" t="n"/>
      <c r="AH33" s="85" t="n"/>
      <c r="AI33" s="85" t="n"/>
      <c r="AJ33" s="85" t="n"/>
      <c r="AK33" s="85" t="n"/>
    </row>
    <row r="34" ht="15" customHeight="1" s="62">
      <c r="A34" s="83" t="inlineStr">
        <is>
          <t>Investing Cash Flow</t>
        </is>
      </c>
      <c r="B34" s="85" t="n">
        <v>-0.000403</v>
      </c>
      <c r="C34" s="85" t="n">
        <v>-0.000574</v>
      </c>
      <c r="D34" s="85" t="n">
        <v>5.8e-05</v>
      </c>
      <c r="E34" s="85" t="n">
        <v>-0.000913</v>
      </c>
      <c r="F34" s="85" t="n">
        <v>0.0004929999999999999</v>
      </c>
      <c r="G34" s="85" t="n">
        <v>-2e-06</v>
      </c>
      <c r="H34" s="85" t="n">
        <v>-0.000402</v>
      </c>
      <c r="I34" s="85" t="n">
        <v>-8e-06</v>
      </c>
      <c r="J34" s="85" t="n">
        <v>-0.000499</v>
      </c>
      <c r="K34" s="85" t="n">
        <v>-0.000543</v>
      </c>
      <c r="L34" s="85" t="n">
        <v>-0.0009879999999999999</v>
      </c>
      <c r="M34" s="85" t="n">
        <v>-0.000972</v>
      </c>
      <c r="N34" s="85" t="n">
        <v>0.000892</v>
      </c>
      <c r="O34" s="85" t="n">
        <v>-0.000252</v>
      </c>
      <c r="P34" s="85" t="n">
        <v>0.000828</v>
      </c>
      <c r="Q34" s="85" t="n">
        <v>-0.001488</v>
      </c>
      <c r="R34" s="85" t="n">
        <v>-0.002556</v>
      </c>
      <c r="S34" s="85" t="n">
        <v>0.000357</v>
      </c>
      <c r="T34" s="85" t="n">
        <v>-0.003249</v>
      </c>
      <c r="U34" s="85" t="n">
        <v>-0.008189</v>
      </c>
      <c r="V34" s="85" t="n">
        <v>-0.017434</v>
      </c>
      <c r="W34" s="85" t="n">
        <v>-0.013854</v>
      </c>
      <c r="X34" s="85" t="n">
        <v>-0.040419</v>
      </c>
      <c r="Y34" s="85" t="n">
        <v>-0.048227</v>
      </c>
      <c r="Z34" s="85" t="n">
        <v>-0.033774</v>
      </c>
      <c r="AA34" s="85" t="n">
        <v>-0.022579</v>
      </c>
      <c r="AB34" s="85" t="n">
        <v>-0.056274</v>
      </c>
      <c r="AC34" s="85" t="n">
        <v>-0.045977</v>
      </c>
      <c r="AD34" s="85" t="n">
        <v>-0.046446</v>
      </c>
      <c r="AE34" s="85" t="n">
        <v>0.016066</v>
      </c>
      <c r="AF34" s="85" t="n">
        <v>0.045896</v>
      </c>
      <c r="AG34" s="85" t="n">
        <v>-0.004289</v>
      </c>
      <c r="AH34" s="85" t="n">
        <v>-0.014545</v>
      </c>
      <c r="AI34" s="85" t="n">
        <v>-0.022354</v>
      </c>
      <c r="AJ34" s="85" t="n">
        <v>0.003705</v>
      </c>
      <c r="AK34" s="85" t="n">
        <v>0.002935</v>
      </c>
      <c r="AL34" s="85" t="n">
        <v>0.015195</v>
      </c>
    </row>
    <row r="35" ht="15" customHeight="1" s="62">
      <c r="A35" s="86" t="inlineStr">
        <is>
          <t xml:space="preserve">  Cash Flow from Continuing Investing Activities</t>
        </is>
      </c>
      <c r="B35" s="85" t="n"/>
      <c r="C35" s="85" t="n"/>
      <c r="D35" s="85" t="n"/>
      <c r="E35" s="85" t="n"/>
      <c r="F35" s="85" t="n"/>
      <c r="G35" s="85" t="n"/>
      <c r="H35" s="85" t="n"/>
      <c r="I35" s="85" t="n"/>
      <c r="J35" s="85" t="n"/>
      <c r="K35" s="85" t="n"/>
      <c r="L35" s="85" t="n"/>
      <c r="M35" s="85" t="n"/>
      <c r="N35" s="85" t="n"/>
      <c r="O35" s="85" t="n"/>
      <c r="P35" s="85" t="n"/>
      <c r="Q35" s="85" t="n"/>
      <c r="R35" s="85" t="n"/>
      <c r="S35" s="85" t="n"/>
      <c r="T35" s="85" t="n"/>
      <c r="U35" s="85" t="n"/>
      <c r="V35" s="85" t="n"/>
      <c r="W35" s="85" t="n"/>
      <c r="X35" s="85" t="n"/>
      <c r="Y35" s="85" t="n"/>
      <c r="Z35" s="85" t="n"/>
      <c r="AA35" s="85" t="n"/>
      <c r="AB35" s="85" t="n"/>
      <c r="AC35" s="85" t="n"/>
      <c r="AD35" s="85" t="n"/>
      <c r="AE35" s="85" t="n"/>
      <c r="AF35" s="85" t="n"/>
      <c r="AG35" s="85" t="n"/>
      <c r="AH35" s="85" t="n"/>
      <c r="AI35" s="85" t="n"/>
      <c r="AJ35" s="85" t="n"/>
      <c r="AK35" s="85" t="n"/>
      <c r="AL35" s="85" t="n"/>
    </row>
    <row r="36" ht="15" customHeight="1" s="62">
      <c r="A36" s="86" t="inlineStr">
        <is>
          <t xml:space="preserve">    Capital Expenditure Reported</t>
        </is>
      </c>
      <c r="E36" s="85" t="n"/>
      <c r="F36" s="85" t="n"/>
      <c r="G36" s="85" t="n"/>
      <c r="H36" s="85" t="n"/>
      <c r="I36" s="85" t="n"/>
      <c r="J36" s="85" t="n"/>
      <c r="K36" s="85" t="n"/>
      <c r="L36" s="85" t="n"/>
      <c r="M36" s="85" t="n"/>
      <c r="N36" s="85" t="n"/>
      <c r="O36" s="85" t="n"/>
      <c r="P36" s="85" t="n"/>
      <c r="Q36" s="85" t="n"/>
      <c r="R36" s="85" t="n"/>
      <c r="S36" s="85" t="n"/>
      <c r="T36" s="85" t="n"/>
      <c r="U36" s="85" t="n"/>
      <c r="V36" s="85" t="n"/>
      <c r="W36" s="85" t="n"/>
      <c r="X36" s="85" t="n"/>
      <c r="Y36" s="85" t="n"/>
      <c r="Z36" s="85" t="n"/>
      <c r="AA36" s="85" t="n"/>
      <c r="AB36" s="85" t="n"/>
      <c r="AE36" s="85" t="n"/>
      <c r="AF36" s="85" t="n"/>
      <c r="AG36" s="85" t="n"/>
      <c r="AH36" s="85" t="n"/>
      <c r="AI36" s="85" t="n"/>
      <c r="AJ36" s="85" t="n"/>
      <c r="AK36" s="85" t="n"/>
      <c r="AL36" s="85" t="n"/>
    </row>
    <row r="37" ht="15" customHeight="1" s="62">
      <c r="A37" s="86" t="inlineStr">
        <is>
          <t xml:space="preserve">    Net PPE Purchase And Sale</t>
        </is>
      </c>
      <c r="B37" s="85" t="n"/>
      <c r="C37" s="85" t="n"/>
      <c r="D37" s="85" t="n"/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5" t="n"/>
      <c r="O37" s="85" t="n"/>
      <c r="P37" s="85" t="n"/>
      <c r="Q37" s="85" t="n"/>
      <c r="R37" s="85" t="n"/>
      <c r="S37" s="85" t="n"/>
      <c r="T37" s="85" t="n"/>
      <c r="V37" s="85" t="n"/>
      <c r="W37" s="85" t="n"/>
      <c r="AA37" s="85" t="n"/>
      <c r="AB37" s="85" t="n"/>
      <c r="AC37" s="85" t="n"/>
      <c r="AD37" s="85" t="n"/>
      <c r="AE37" s="85" t="n"/>
      <c r="AF37" s="85" t="n"/>
      <c r="AG37" s="85" t="n"/>
    </row>
    <row r="38" ht="15" customHeight="1" s="62">
      <c r="A38" s="86" t="inlineStr">
        <is>
          <t xml:space="preserve">      Purchase of PPE</t>
        </is>
      </c>
      <c r="B38" s="85" t="n"/>
      <c r="C38" s="85" t="n"/>
      <c r="D38" s="85" t="n"/>
      <c r="E38" s="85" t="n"/>
      <c r="F38" s="85" t="n"/>
      <c r="G38" s="85" t="n"/>
      <c r="H38" s="85" t="n"/>
      <c r="I38" s="85" t="n"/>
      <c r="J38" s="85" t="n"/>
      <c r="K38" s="85" t="n"/>
      <c r="L38" s="85" t="n"/>
      <c r="M38" s="85" t="n"/>
      <c r="N38" s="85" t="n"/>
      <c r="O38" s="85" t="n"/>
      <c r="P38" s="85" t="n"/>
      <c r="Q38" s="85" t="n"/>
      <c r="R38" s="85" t="n"/>
      <c r="S38" s="85" t="n"/>
      <c r="T38" s="85" t="n"/>
      <c r="AA38" s="85" t="n"/>
      <c r="AB38" s="85" t="n"/>
      <c r="AC38" s="85" t="n"/>
      <c r="AD38" s="85" t="n"/>
      <c r="AE38" s="85" t="n"/>
      <c r="AF38" s="85" t="n"/>
      <c r="AG38" s="85" t="n"/>
    </row>
    <row r="39" ht="15" customHeight="1" s="62">
      <c r="A39" s="86" t="inlineStr">
        <is>
          <t xml:space="preserve">      Sale of PPE</t>
        </is>
      </c>
      <c r="I39" s="85" t="n"/>
      <c r="J39" s="85" t="n"/>
      <c r="K39" s="85" t="n"/>
      <c r="L39" s="85" t="n"/>
      <c r="M39" s="85" t="n"/>
      <c r="N39" s="85" t="n"/>
      <c r="O39" s="85" t="n"/>
      <c r="P39" s="85" t="n"/>
      <c r="Q39" s="85" t="n"/>
      <c r="R39" s="85" t="n"/>
      <c r="V39" s="85" t="n"/>
      <c r="W39" s="85" t="n"/>
    </row>
    <row r="40" ht="15" customHeight="1" s="62">
      <c r="A40" s="86" t="inlineStr">
        <is>
          <t xml:space="preserve">    Net Business Purchase And Sale</t>
        </is>
      </c>
      <c r="E40" s="85" t="n"/>
      <c r="F40" s="85" t="n"/>
      <c r="G40" s="85" t="n"/>
      <c r="H40" s="85" t="n"/>
      <c r="I40" s="85" t="n"/>
      <c r="J40" s="85" t="n"/>
      <c r="K40" s="85" t="n"/>
      <c r="L40" s="85" t="n"/>
      <c r="M40" s="85" t="n"/>
      <c r="N40" s="85" t="n"/>
      <c r="O40" s="85" t="n"/>
      <c r="P40" s="85" t="n"/>
      <c r="Q40" s="85" t="n"/>
      <c r="R40" s="85" t="n"/>
      <c r="S40" s="85" t="n"/>
      <c r="T40" s="85" t="n"/>
      <c r="U40" s="85" t="n"/>
      <c r="V40" s="85" t="n"/>
      <c r="W40" s="85" t="n"/>
      <c r="X40" s="85" t="n"/>
      <c r="Y40" s="85" t="n"/>
      <c r="Z40" s="85" t="n"/>
      <c r="AA40" s="85" t="n"/>
      <c r="AB40" s="85" t="n"/>
      <c r="AC40" s="85" t="n"/>
      <c r="AD40" s="85" t="n"/>
      <c r="AE40" s="85" t="n"/>
      <c r="AF40" s="85" t="n"/>
      <c r="AG40" s="85" t="n"/>
      <c r="AH40" s="85" t="n"/>
      <c r="AI40" s="85" t="n"/>
      <c r="AJ40" s="85" t="n"/>
      <c r="AK40" s="85" t="n"/>
      <c r="AL40" s="85" t="n"/>
    </row>
    <row r="41" ht="15" customHeight="1" s="62">
      <c r="A41" s="86" t="inlineStr">
        <is>
          <t xml:space="preserve">      Purchase of Business</t>
        </is>
      </c>
      <c r="E41" s="85" t="n"/>
      <c r="F41" s="85" t="n"/>
      <c r="G41" s="85" t="n"/>
      <c r="H41" s="85" t="n"/>
      <c r="I41" s="85" t="n"/>
      <c r="J41" s="85" t="n"/>
      <c r="K41" s="85" t="n"/>
      <c r="L41" s="85" t="n"/>
      <c r="M41" s="85" t="n"/>
      <c r="N41" s="85" t="n"/>
      <c r="O41" s="85" t="n"/>
      <c r="P41" s="85" t="n"/>
      <c r="Q41" s="85" t="n"/>
      <c r="T41" s="85" t="n"/>
      <c r="U41" s="85" t="n"/>
      <c r="V41" s="85" t="n"/>
      <c r="W41" s="85" t="n"/>
      <c r="X41" s="85" t="n"/>
      <c r="Y41" s="85" t="n"/>
      <c r="Z41" s="85" t="n"/>
      <c r="AA41" s="85" t="n"/>
      <c r="AB41" s="85" t="n"/>
      <c r="AC41" s="85" t="n"/>
      <c r="AD41" s="85" t="n"/>
      <c r="AE41" s="85" t="n"/>
      <c r="AF41" s="85" t="n"/>
      <c r="AG41" s="85" t="n"/>
      <c r="AH41" s="85" t="n"/>
      <c r="AI41" s="85" t="n"/>
      <c r="AJ41" s="85" t="n"/>
      <c r="AK41" s="85" t="n"/>
      <c r="AL41" s="85" t="n"/>
    </row>
    <row r="42" ht="15" customHeight="1" s="62">
      <c r="A42" s="86" t="inlineStr">
        <is>
          <t xml:space="preserve">      Sale of Business</t>
        </is>
      </c>
      <c r="E42" s="85" t="n"/>
      <c r="F42" s="85" t="n"/>
      <c r="G42" s="85" t="n"/>
      <c r="H42" s="85" t="n"/>
      <c r="I42" s="85" t="n"/>
      <c r="J42" s="85" t="n"/>
      <c r="K42" s="85" t="n"/>
      <c r="L42" s="85" t="n"/>
      <c r="M42" s="85" t="n"/>
      <c r="N42" s="85" t="n"/>
      <c r="O42" s="85" t="n"/>
      <c r="P42" s="85" t="n"/>
      <c r="Q42" s="85" t="n"/>
      <c r="R42" s="85" t="n"/>
      <c r="S42" s="85" t="n"/>
      <c r="T42" s="85" t="n"/>
      <c r="U42" s="85" t="n"/>
      <c r="V42" s="85" t="n"/>
      <c r="W42" s="85" t="n"/>
      <c r="X42" s="85" t="n"/>
      <c r="Y42" s="85" t="n"/>
      <c r="Z42" s="85" t="n"/>
      <c r="AA42" s="85" t="n"/>
      <c r="AB42" s="85" t="n"/>
      <c r="AC42" s="85" t="n"/>
      <c r="AD42" s="85" t="n"/>
      <c r="AE42" s="85" t="n"/>
      <c r="AF42" s="85" t="n"/>
      <c r="AG42" s="85" t="n"/>
      <c r="AH42" s="85" t="n"/>
      <c r="AI42" s="85" t="n"/>
      <c r="AJ42" s="85" t="n"/>
      <c r="AK42" s="85" t="n"/>
      <c r="AL42" s="85" t="n"/>
    </row>
    <row r="43" ht="15" customHeight="1" s="62">
      <c r="A43" s="86" t="inlineStr">
        <is>
          <t xml:space="preserve">    Net Investment Purchase And Sale</t>
        </is>
      </c>
      <c r="B43" s="85" t="n"/>
      <c r="C43" s="85" t="n"/>
      <c r="D43" s="85" t="n"/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5" t="n"/>
      <c r="O43" s="85" t="n"/>
      <c r="P43" s="85" t="n"/>
      <c r="Q43" s="85" t="n"/>
      <c r="R43" s="85" t="n"/>
      <c r="S43" s="85" t="n"/>
      <c r="T43" s="85" t="n"/>
      <c r="U43" s="85" t="n"/>
      <c r="V43" s="85" t="n"/>
      <c r="W43" s="85" t="n"/>
      <c r="X43" s="85" t="n"/>
      <c r="Y43" s="85" t="n"/>
      <c r="Z43" s="85" t="n"/>
      <c r="AA43" s="85" t="n"/>
      <c r="AB43" s="85" t="n"/>
      <c r="AC43" s="85" t="n"/>
      <c r="AD43" s="85" t="n"/>
      <c r="AE43" s="85" t="n"/>
      <c r="AF43" s="85" t="n"/>
      <c r="AG43" s="85" t="n"/>
      <c r="AH43" s="85" t="n"/>
      <c r="AI43" s="85" t="n"/>
      <c r="AJ43" s="85" t="n"/>
      <c r="AK43" s="85" t="n"/>
      <c r="AL43" s="85" t="n"/>
    </row>
    <row r="44" ht="15" customHeight="1" s="62">
      <c r="A44" s="86" t="inlineStr">
        <is>
          <t xml:space="preserve">      Purchase of Investment</t>
        </is>
      </c>
      <c r="B44" s="85" t="n"/>
      <c r="C44" s="85" t="n"/>
      <c r="D44" s="85" t="n"/>
      <c r="E44" s="85" t="n"/>
      <c r="F44" s="85" t="n"/>
      <c r="G44" s="85" t="n"/>
      <c r="H44" s="85" t="n"/>
      <c r="I44" s="85" t="n"/>
      <c r="J44" s="85" t="n"/>
      <c r="K44" s="85" t="n"/>
      <c r="L44" s="85" t="n"/>
      <c r="M44" s="85" t="n"/>
      <c r="N44" s="85" t="n"/>
      <c r="O44" s="85" t="n"/>
      <c r="P44" s="85" t="n"/>
      <c r="Q44" s="85" t="n"/>
      <c r="R44" s="85" t="n"/>
      <c r="S44" s="85" t="n"/>
      <c r="T44" s="85" t="n"/>
      <c r="W44" s="85" t="n"/>
      <c r="AE44" s="85" t="n"/>
    </row>
    <row r="45" ht="15" customHeight="1" s="62">
      <c r="A45" s="86" t="inlineStr">
        <is>
          <t xml:space="preserve">      Sale of Investment</t>
        </is>
      </c>
      <c r="B45" s="85" t="n"/>
      <c r="C45" s="85" t="n"/>
      <c r="D45" s="85" t="n"/>
      <c r="E45" s="85" t="n"/>
      <c r="F45" s="85" t="n"/>
      <c r="G45" s="85" t="n"/>
      <c r="H45" s="85" t="n"/>
      <c r="I45" s="85" t="n"/>
      <c r="J45" s="85" t="n"/>
      <c r="K45" s="85" t="n"/>
      <c r="L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AC45" s="85" t="n"/>
      <c r="AD45" s="85" t="n"/>
    </row>
    <row r="46" ht="15" customHeight="1" s="62">
      <c r="A46" s="86" t="inlineStr">
        <is>
          <t xml:space="preserve">    Dividends Received CFI</t>
        </is>
      </c>
      <c r="AF46" s="85" t="n"/>
      <c r="AG46" s="85" t="n"/>
      <c r="AH46" s="85" t="n"/>
      <c r="AI46" s="85" t="n"/>
      <c r="AJ46" s="85" t="n"/>
      <c r="AK46" s="85" t="n"/>
      <c r="AL46" s="85" t="n"/>
    </row>
    <row r="47" ht="15" customHeight="1" s="62">
      <c r="A47" s="86" t="inlineStr">
        <is>
          <t xml:space="preserve">    Interest Received CFI</t>
        </is>
      </c>
      <c r="T47" s="85" t="n"/>
      <c r="U47" s="85" t="n"/>
      <c r="V47" s="85" t="n"/>
      <c r="W47" s="85" t="n"/>
      <c r="X47" s="85" t="n"/>
      <c r="Y47" s="85" t="n"/>
      <c r="Z47" s="85" t="n"/>
      <c r="AA47" s="85" t="n"/>
      <c r="AB47" s="85" t="n"/>
      <c r="AC47" s="85" t="n"/>
      <c r="AD47" s="85" t="n"/>
      <c r="AE47" s="85" t="n"/>
      <c r="AF47" s="85" t="n"/>
    </row>
    <row r="48" ht="15" customHeight="1" s="62">
      <c r="A48" s="86" t="inlineStr">
        <is>
          <t xml:space="preserve">    Net Other Investing Changes</t>
        </is>
      </c>
      <c r="B48" s="85" t="n"/>
      <c r="C48" s="85" t="n"/>
      <c r="D48" s="85" t="n"/>
      <c r="E48" s="85" t="n"/>
      <c r="F48" s="85" t="n"/>
      <c r="G48" s="85" t="n"/>
      <c r="H48" s="85" t="n"/>
      <c r="I48" s="85" t="n"/>
      <c r="J48" s="85" t="n"/>
      <c r="K48" s="85" t="n"/>
      <c r="L48" s="85" t="n"/>
      <c r="M48" s="85" t="n"/>
      <c r="N48" s="85" t="n"/>
      <c r="O48" s="85" t="n"/>
      <c r="P48" s="85" t="n"/>
      <c r="Q48" s="85" t="n"/>
      <c r="R48" s="85" t="n"/>
      <c r="S48" s="85" t="n"/>
      <c r="T48" s="85" t="n"/>
      <c r="U48" s="85" t="n"/>
      <c r="V48" s="85" t="n"/>
      <c r="W48" s="85" t="n"/>
      <c r="X48" s="85" t="n"/>
      <c r="Y48" s="85" t="n"/>
      <c r="Z48" s="85" t="n"/>
      <c r="AA48" s="85" t="n"/>
      <c r="AB48" s="85" t="n"/>
      <c r="AC48" s="85" t="n"/>
      <c r="AD48" s="85" t="n"/>
      <c r="AE48" s="85" t="n"/>
      <c r="AF48" s="85" t="n"/>
      <c r="AG48" s="85" t="n"/>
      <c r="AH48" s="85" t="n"/>
      <c r="AI48" s="85" t="n"/>
      <c r="AJ48" s="85" t="n"/>
      <c r="AK48" s="85" t="n"/>
      <c r="AL48" s="85" t="n"/>
    </row>
    <row r="49" ht="15" customHeight="1" s="62">
      <c r="A49" s="86" t="inlineStr">
        <is>
          <t xml:space="preserve">  Cash from Discontinued Investing Activities</t>
        </is>
      </c>
      <c r="AG49" s="85" t="n"/>
      <c r="AH49" s="85" t="n"/>
      <c r="AI49" s="85" t="n"/>
      <c r="AJ49" s="85" t="n"/>
      <c r="AK49" s="85" t="n"/>
    </row>
    <row r="50" ht="15" customHeight="1" s="62">
      <c r="A50" s="83" t="inlineStr">
        <is>
          <t>Financing Cash Flow</t>
        </is>
      </c>
      <c r="B50" s="85" t="n">
        <v>-3.8e-05</v>
      </c>
      <c r="C50" s="85" t="n">
        <v>-0.000454</v>
      </c>
      <c r="D50" s="85" t="n">
        <v>4.3e-05</v>
      </c>
      <c r="E50" s="85" t="n">
        <v>-7.7e-05</v>
      </c>
      <c r="F50" s="85" t="n">
        <v>0.000347</v>
      </c>
      <c r="G50" s="85" t="n">
        <v>-0.000208</v>
      </c>
      <c r="H50" s="85" t="n">
        <v>0.000195</v>
      </c>
      <c r="I50" s="85" t="n">
        <v>0.000396</v>
      </c>
      <c r="J50" s="85" t="n">
        <v>2.3e-05</v>
      </c>
      <c r="K50" s="85" t="n">
        <v>1.9e-05</v>
      </c>
      <c r="L50" s="85" t="n">
        <v>1.1e-05</v>
      </c>
      <c r="M50" s="85" t="n">
        <v>-3.1e-05</v>
      </c>
      <c r="N50" s="85" t="n">
        <v>4.2e-05</v>
      </c>
      <c r="O50" s="85" t="n">
        <v>0.000105</v>
      </c>
      <c r="P50" s="85" t="n">
        <v>2.7e-05</v>
      </c>
      <c r="Q50" s="85" t="n">
        <v>0.000127</v>
      </c>
      <c r="R50" s="85" t="n">
        <v>0.000543</v>
      </c>
      <c r="S50" s="85" t="n">
        <v>0.000324</v>
      </c>
      <c r="T50" s="85" t="n">
        <v>0.000739</v>
      </c>
      <c r="U50" s="85" t="n">
        <v>0.001116</v>
      </c>
      <c r="V50" s="85" t="n">
        <v>0.000663</v>
      </c>
      <c r="W50" s="85" t="n">
        <v>0.001257</v>
      </c>
      <c r="X50" s="85" t="n">
        <v>0.001444</v>
      </c>
      <c r="Y50" s="85" t="n">
        <v>-0.001698</v>
      </c>
      <c r="Z50" s="85" t="n">
        <v>-0.016379</v>
      </c>
      <c r="AA50" s="85" t="n">
        <v>-0.037549</v>
      </c>
      <c r="AB50" s="85" t="n">
        <v>-0.017716</v>
      </c>
      <c r="AC50" s="85" t="n">
        <v>-0.020483</v>
      </c>
      <c r="AD50" s="85" t="n">
        <v>-0.017347</v>
      </c>
      <c r="AE50" s="85" t="n">
        <v>-0.087876</v>
      </c>
      <c r="AF50" s="85" t="n">
        <v>-0.090976</v>
      </c>
      <c r="AG50" s="85" t="n">
        <v>-0.08681999999999999</v>
      </c>
      <c r="AH50" s="85" t="n">
        <v>-0.09335300000000001</v>
      </c>
      <c r="AI50" s="85" t="n">
        <v>-0.110749</v>
      </c>
      <c r="AJ50" s="85" t="n">
        <v>-0.108488</v>
      </c>
      <c r="AK50" s="85" t="n">
        <v>-0.121983</v>
      </c>
      <c r="AL50" s="85" t="n">
        <v>-0.120686</v>
      </c>
    </row>
    <row r="51" ht="15" customHeight="1" s="62">
      <c r="A51" s="86" t="inlineStr">
        <is>
          <t xml:space="preserve">  Cash Flow from Continuing Financing Activities</t>
        </is>
      </c>
      <c r="B51" s="85" t="n"/>
      <c r="C51" s="85" t="n"/>
      <c r="D51" s="85" t="n"/>
      <c r="E51" s="85" t="n"/>
      <c r="F51" s="85" t="n"/>
      <c r="G51" s="85" t="n"/>
      <c r="H51" s="85" t="n"/>
      <c r="I51" s="85" t="n"/>
      <c r="J51" s="85" t="n"/>
      <c r="K51" s="85" t="n"/>
      <c r="L51" s="85" t="n"/>
      <c r="M51" s="85" t="n"/>
      <c r="N51" s="85" t="n"/>
      <c r="O51" s="85" t="n"/>
      <c r="P51" s="85" t="n"/>
      <c r="Q51" s="85" t="n"/>
      <c r="R51" s="85" t="n"/>
      <c r="S51" s="85" t="n"/>
      <c r="T51" s="85" t="n"/>
      <c r="U51" s="85" t="n"/>
      <c r="V51" s="85" t="n"/>
      <c r="W51" s="85" t="n"/>
      <c r="X51" s="85" t="n"/>
      <c r="Y51" s="85" t="n"/>
      <c r="Z51" s="85" t="n"/>
      <c r="AA51" s="85" t="n"/>
      <c r="AB51" s="85" t="n"/>
      <c r="AC51" s="85" t="n"/>
      <c r="AD51" s="85" t="n"/>
      <c r="AE51" s="85" t="n"/>
      <c r="AF51" s="85" t="n"/>
      <c r="AG51" s="85" t="n"/>
      <c r="AH51" s="85" t="n"/>
      <c r="AI51" s="85" t="n"/>
      <c r="AJ51" s="85" t="n"/>
      <c r="AK51" s="85" t="n"/>
      <c r="AL51" s="85" t="n"/>
    </row>
    <row r="52" ht="15" customHeight="1" s="62">
      <c r="A52" s="86" t="inlineStr">
        <is>
          <t xml:space="preserve">    Net Issuance Payments of Debt</t>
        </is>
      </c>
      <c r="B52" s="85" t="n"/>
      <c r="C52" s="85" t="n"/>
      <c r="D52" s="85" t="n"/>
      <c r="E52" s="85" t="n"/>
      <c r="F52" s="85" t="n"/>
      <c r="G52" s="85" t="n"/>
      <c r="H52" s="85" t="n"/>
      <c r="I52" s="85" t="n"/>
      <c r="J52" s="85" t="n"/>
      <c r="K52" s="85" t="n"/>
      <c r="L52" s="85" t="n"/>
      <c r="M52" s="85" t="n"/>
      <c r="N52" s="85" t="n"/>
      <c r="O52" s="85" t="n"/>
      <c r="P52" s="85" t="n"/>
      <c r="Q52" s="85" t="n"/>
      <c r="R52" s="85" t="n"/>
      <c r="S52" s="85" t="n"/>
      <c r="T52" s="85" t="n"/>
      <c r="U52" s="85" t="n"/>
      <c r="V52" s="85" t="n"/>
      <c r="W52" s="85" t="n"/>
      <c r="X52" s="85" t="n"/>
      <c r="Y52" s="85" t="n"/>
      <c r="Z52" s="85" t="n"/>
      <c r="AA52" s="85" t="n"/>
      <c r="AB52" s="85" t="n"/>
      <c r="AC52" s="85" t="n"/>
      <c r="AD52" s="85" t="n"/>
      <c r="AE52" s="85" t="n"/>
      <c r="AF52" s="85" t="n"/>
      <c r="AG52" s="85" t="n"/>
      <c r="AH52" s="85" t="n"/>
      <c r="AI52" s="85" t="n"/>
      <c r="AJ52" s="85" t="n"/>
      <c r="AK52" s="85" t="n"/>
      <c r="AL52" s="85" t="n"/>
    </row>
    <row r="53" ht="15" customHeight="1" s="62">
      <c r="A53" s="86" t="inlineStr">
        <is>
          <t xml:space="preserve">      Net Long Term Debt Issuance</t>
        </is>
      </c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  <c r="AK53" s="85" t="n"/>
      <c r="AL53" s="85" t="n"/>
    </row>
    <row r="54" ht="15" customHeight="1" s="62">
      <c r="A54" s="86" t="inlineStr">
        <is>
          <t xml:space="preserve">        Long Term Debt Issuance</t>
        </is>
      </c>
      <c r="E54" s="85" t="n"/>
      <c r="F54" s="85" t="n"/>
      <c r="G54" s="85" t="n"/>
      <c r="H54" s="85" t="n"/>
      <c r="I54" s="85" t="n"/>
      <c r="J54" s="85" t="n"/>
      <c r="K54" s="85" t="n"/>
      <c r="L54" s="85" t="n"/>
      <c r="M54" s="85" t="n"/>
      <c r="N54" s="85" t="n"/>
      <c r="O54" s="85" t="n"/>
      <c r="P54" s="85" t="n"/>
      <c r="Q54" s="85" t="n"/>
      <c r="R54" s="85" t="n"/>
      <c r="S54" s="85" t="n"/>
      <c r="T54" s="85" t="n"/>
      <c r="U54" s="85" t="n"/>
      <c r="V54" s="85" t="n"/>
      <c r="W54" s="85" t="n"/>
      <c r="X54" s="85" t="n"/>
      <c r="Y54" s="85" t="n"/>
      <c r="Z54" s="85" t="n"/>
      <c r="AA54" s="85" t="n"/>
      <c r="AB54" s="85" t="n"/>
      <c r="AC54" s="85" t="n"/>
      <c r="AD54" s="85" t="n"/>
      <c r="AE54" s="85" t="n"/>
      <c r="AF54" s="85" t="n"/>
      <c r="AG54" s="85" t="n"/>
      <c r="AH54" s="85" t="n"/>
      <c r="AI54" s="85" t="n"/>
      <c r="AJ54" s="85" t="n"/>
      <c r="AK54" s="85" t="n"/>
      <c r="AL54" s="85" t="n"/>
    </row>
    <row r="55" ht="15" customHeight="1" s="62">
      <c r="A55" s="86" t="inlineStr">
        <is>
          <t xml:space="preserve">        Long Term Debt Payments</t>
        </is>
      </c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5" t="n"/>
      <c r="O55" s="85" t="n"/>
      <c r="P55" s="85" t="n"/>
      <c r="Q55" s="85" t="n"/>
      <c r="R55" s="85" t="n"/>
      <c r="S55" s="85" t="n"/>
      <c r="T55" s="85" t="n"/>
      <c r="U55" s="85" t="n"/>
      <c r="V55" s="85" t="n"/>
      <c r="W55" s="85" t="n"/>
      <c r="X55" s="85" t="n"/>
      <c r="Y55" s="85" t="n"/>
      <c r="Z55" s="85" t="n"/>
      <c r="AA55" s="85" t="n"/>
      <c r="AB55" s="85" t="n"/>
      <c r="AC55" s="85" t="n"/>
      <c r="AD55" s="85" t="n"/>
      <c r="AE55" s="85" t="n"/>
      <c r="AF55" s="85" t="n"/>
      <c r="AG55" s="85" t="n"/>
      <c r="AH55" s="85" t="n"/>
      <c r="AI55" s="85" t="n"/>
      <c r="AJ55" s="85" t="n"/>
      <c r="AK55" s="85" t="n"/>
      <c r="AL55" s="85" t="n"/>
    </row>
    <row r="56" ht="15" customHeight="1" s="62">
      <c r="A56" s="86" t="inlineStr">
        <is>
          <t xml:space="preserve">      Net Short Term Debt Issuance</t>
        </is>
      </c>
      <c r="E56" s="85" t="n"/>
      <c r="F56" s="85" t="n"/>
      <c r="G56" s="85" t="n"/>
      <c r="H56" s="85" t="n"/>
      <c r="I56" s="85" t="n"/>
      <c r="J56" s="85" t="n"/>
      <c r="K56" s="85" t="n"/>
      <c r="L56" s="85" t="n"/>
      <c r="M56" s="85" t="n"/>
      <c r="N56" s="85" t="n"/>
      <c r="O56" s="85" t="n"/>
      <c r="P56" s="85" t="n"/>
      <c r="Q56" s="85" t="n"/>
      <c r="R56" s="85" t="n"/>
      <c r="S56" s="85" t="n"/>
      <c r="T56" s="85" t="n"/>
      <c r="U56" s="85" t="n"/>
      <c r="V56" s="85" t="n"/>
      <c r="W56" s="85" t="n"/>
      <c r="X56" s="85" t="n"/>
      <c r="Y56" s="85" t="n"/>
      <c r="Z56" s="85" t="n"/>
      <c r="AA56" s="85" t="n"/>
      <c r="AB56" s="85" t="n"/>
      <c r="AC56" s="85" t="n"/>
      <c r="AD56" s="85" t="n"/>
      <c r="AE56" s="85" t="n"/>
      <c r="AF56" s="85" t="n"/>
      <c r="AG56" s="85" t="n"/>
      <c r="AH56" s="85" t="n"/>
      <c r="AI56" s="85" t="n"/>
      <c r="AJ56" s="85" t="n"/>
      <c r="AK56" s="85" t="n"/>
      <c r="AL56" s="85" t="n"/>
    </row>
    <row r="57" ht="15" customHeight="1" s="62">
      <c r="A57" s="86" t="inlineStr">
        <is>
          <t xml:space="preserve">        Short Term Debt Issuance</t>
        </is>
      </c>
      <c r="E57" s="85" t="n"/>
      <c r="F57" s="85" t="n"/>
      <c r="G57" s="85" t="n"/>
      <c r="H57" s="85" t="n"/>
      <c r="I57" s="85" t="n"/>
      <c r="J57" s="85" t="n"/>
      <c r="K57" s="85" t="n"/>
      <c r="L57" s="85" t="n"/>
      <c r="M57" s="85" t="n"/>
      <c r="N57" s="85" t="n"/>
      <c r="O57" s="85" t="n"/>
      <c r="P57" s="85" t="n"/>
      <c r="Q57" s="85" t="n"/>
      <c r="S57" s="85" t="n"/>
      <c r="U57" s="85" t="n"/>
      <c r="W57" s="85" t="n"/>
      <c r="X57" s="85" t="n"/>
      <c r="Y57" s="85" t="n"/>
      <c r="Z57" s="85" t="n"/>
      <c r="AA57" s="85" t="n"/>
      <c r="AB57" s="85" t="n"/>
      <c r="AC57" s="85" t="n"/>
      <c r="AD57" s="85" t="n"/>
      <c r="AE57" s="85" t="n"/>
      <c r="AF57" s="85" t="n"/>
      <c r="AG57" s="85" t="n"/>
      <c r="AH57" s="85" t="n"/>
      <c r="AI57" s="85" t="n"/>
      <c r="AJ57" s="85" t="n"/>
      <c r="AK57" s="85" t="n"/>
      <c r="AL57" s="85" t="n"/>
    </row>
    <row r="58" ht="15" customHeight="1" s="62">
      <c r="A58" s="86" t="inlineStr">
        <is>
          <t xml:space="preserve">        Short Term Debt Payments</t>
        </is>
      </c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5" t="n"/>
      <c r="O58" s="85" t="n"/>
      <c r="P58" s="85" t="n"/>
      <c r="Q58" s="85" t="n"/>
      <c r="R58" s="85" t="n"/>
      <c r="S58" s="85" t="n"/>
      <c r="T58" s="85" t="n"/>
      <c r="V58" s="85" t="n"/>
      <c r="X58" s="85" t="n"/>
      <c r="Y58" s="85" t="n"/>
      <c r="Z58" s="85" t="n"/>
      <c r="AA58" s="85" t="n"/>
      <c r="AB58" s="85" t="n"/>
      <c r="AC58" s="85" t="n"/>
      <c r="AD58" s="85" t="n"/>
      <c r="AE58" s="85" t="n"/>
      <c r="AF58" s="85" t="n"/>
      <c r="AG58" s="85" t="n"/>
      <c r="AH58" s="85" t="n"/>
      <c r="AI58" s="85" t="n"/>
      <c r="AJ58" s="85" t="n"/>
      <c r="AK58" s="85" t="n"/>
      <c r="AL58" s="85" t="n"/>
    </row>
    <row r="59" ht="15" customHeight="1" s="62">
      <c r="A59" s="86" t="inlineStr">
        <is>
          <t xml:space="preserve">    Net Common Stock Issuance</t>
        </is>
      </c>
      <c r="B59" s="85" t="n"/>
      <c r="C59" s="85" t="n"/>
      <c r="D59" s="85" t="n"/>
      <c r="E59" s="85" t="n"/>
      <c r="F59" s="85" t="n"/>
      <c r="G59" s="85" t="n"/>
      <c r="H59" s="85" t="n"/>
      <c r="I59" s="85" t="n"/>
      <c r="J59" s="85" t="n"/>
      <c r="K59" s="85" t="n"/>
      <c r="L59" s="85" t="n"/>
      <c r="M59" s="85" t="n"/>
      <c r="N59" s="85" t="n"/>
      <c r="O59" s="85" t="n"/>
      <c r="P59" s="85" t="n"/>
      <c r="Q59" s="85" t="n"/>
      <c r="R59" s="85" t="n"/>
      <c r="S59" s="85" t="n"/>
      <c r="T59" s="85" t="n"/>
      <c r="U59" s="85" t="n"/>
      <c r="V59" s="85" t="n"/>
      <c r="W59" s="85" t="n"/>
      <c r="X59" s="85" t="n"/>
      <c r="Y59" s="85" t="n"/>
      <c r="Z59" s="85" t="n"/>
      <c r="AA59" s="85" t="n"/>
      <c r="AB59" s="85" t="n"/>
      <c r="AC59" s="85" t="n"/>
      <c r="AD59" s="85" t="n"/>
      <c r="AE59" s="85" t="n"/>
      <c r="AF59" s="85" t="n"/>
      <c r="AG59" s="85" t="n"/>
      <c r="AH59" s="85" t="n"/>
      <c r="AI59" s="85" t="n"/>
      <c r="AJ59" s="85" t="n"/>
      <c r="AK59" s="85" t="n"/>
      <c r="AL59" s="85" t="n"/>
    </row>
    <row r="60" ht="15" customHeight="1" s="62">
      <c r="A60" s="86" t="inlineStr">
        <is>
          <t xml:space="preserve">      Common Stock Issuance</t>
        </is>
      </c>
      <c r="B60" s="85" t="n"/>
      <c r="C60" s="85" t="n"/>
      <c r="D60" s="85" t="n"/>
      <c r="E60" s="85" t="n"/>
      <c r="F60" s="85" t="n"/>
      <c r="G60" s="85" t="n"/>
      <c r="H60" s="85" t="n"/>
      <c r="I60" s="85" t="n"/>
      <c r="J60" s="85" t="n"/>
      <c r="K60" s="85" t="n"/>
      <c r="L60" s="85" t="n"/>
      <c r="M60" s="85" t="n"/>
      <c r="N60" s="85" t="n"/>
      <c r="O60" s="85" t="n"/>
      <c r="P60" s="85" t="n"/>
      <c r="Q60" s="85" t="n"/>
      <c r="R60" s="85" t="n"/>
      <c r="S60" s="85" t="n"/>
      <c r="T60" s="85" t="n"/>
      <c r="U60" s="85" t="n"/>
      <c r="V60" s="85" t="n"/>
      <c r="W60" s="85" t="n"/>
      <c r="X60" s="85" t="n"/>
      <c r="Y60" s="85" t="n"/>
      <c r="Z60" s="85" t="n"/>
      <c r="AA60" s="85" t="n"/>
      <c r="AB60" s="85" t="n"/>
      <c r="AC60" s="85" t="n"/>
      <c r="AD60" s="85" t="n"/>
      <c r="AE60" s="85" t="n"/>
      <c r="AF60" s="85" t="n"/>
      <c r="AG60" s="85" t="n"/>
      <c r="AH60" s="85" t="n"/>
      <c r="AI60" s="85" t="n"/>
      <c r="AJ60" s="85" t="n"/>
      <c r="AK60" s="85" t="n"/>
      <c r="AL60" s="85" t="n"/>
    </row>
    <row r="61" ht="15" customHeight="1" s="62">
      <c r="A61" s="86" t="inlineStr">
        <is>
          <t xml:space="preserve">      Common Stock Payments</t>
        </is>
      </c>
      <c r="B61" s="85" t="n"/>
      <c r="C61" s="85" t="n"/>
      <c r="D61" s="85" t="n"/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5" t="n"/>
      <c r="O61" s="85" t="n"/>
      <c r="P61" s="85" t="n"/>
      <c r="Q61" s="85" t="n"/>
      <c r="R61" s="85" t="n"/>
      <c r="S61" s="85" t="n"/>
      <c r="T61" s="85" t="n"/>
      <c r="U61" s="85" t="n"/>
      <c r="V61" s="85" t="n"/>
      <c r="W61" s="85" t="n"/>
      <c r="X61" s="85" t="n"/>
      <c r="Y61" s="85" t="n"/>
      <c r="Z61" s="85" t="n"/>
      <c r="AA61" s="85" t="n"/>
      <c r="AB61" s="85" t="n"/>
      <c r="AC61" s="85" t="n"/>
      <c r="AD61" s="85" t="n"/>
      <c r="AE61" s="85" t="n"/>
      <c r="AF61" s="85" t="n"/>
      <c r="AG61" s="85" t="n"/>
      <c r="AH61" s="85" t="n"/>
      <c r="AI61" s="85" t="n"/>
      <c r="AJ61" s="85" t="n"/>
      <c r="AK61" s="85" t="n"/>
      <c r="AL61" s="85" t="n"/>
    </row>
    <row r="62" ht="15" customHeight="1" s="62">
      <c r="A62" s="86" t="inlineStr">
        <is>
          <t xml:space="preserve">    Net Preferred Stock Issuance</t>
        </is>
      </c>
      <c r="H62" s="85" t="n"/>
      <c r="I62" s="85" t="n"/>
      <c r="J62" s="85" t="n"/>
      <c r="K62" s="85" t="n"/>
      <c r="L62" s="85" t="n"/>
      <c r="M62" s="85" t="n"/>
      <c r="N62" s="85" t="n"/>
      <c r="O62" s="85" t="n"/>
      <c r="P62" s="85" t="n"/>
      <c r="Q62" s="85" t="n"/>
      <c r="R62" s="85" t="n"/>
      <c r="S62" s="85" t="n"/>
      <c r="T62" s="85" t="n"/>
      <c r="AD62" s="85" t="n"/>
      <c r="AE62" s="85" t="n"/>
      <c r="AF62" s="85" t="n"/>
      <c r="AG62" s="85" t="n"/>
      <c r="AH62" s="85" t="n"/>
      <c r="AI62" s="85" t="n"/>
      <c r="AJ62" s="85" t="n"/>
      <c r="AK62" s="85" t="n"/>
      <c r="AL62" s="85" t="n"/>
    </row>
    <row r="63" ht="15" customHeight="1" s="62">
      <c r="A63" s="86" t="inlineStr">
        <is>
          <t xml:space="preserve">      Preferred Stock Issuance</t>
        </is>
      </c>
      <c r="H63" s="85" t="n"/>
      <c r="I63" s="85" t="n"/>
      <c r="J63" s="85" t="n"/>
      <c r="K63" s="85" t="n"/>
      <c r="L63" s="85" t="n"/>
      <c r="M63" s="85" t="n"/>
      <c r="N63" s="85" t="n"/>
      <c r="O63" s="85" t="n"/>
      <c r="P63" s="85" t="n"/>
      <c r="Q63" s="85" t="n"/>
      <c r="AD63" s="85" t="n"/>
      <c r="AE63" s="85" t="n"/>
      <c r="AF63" s="85" t="n"/>
      <c r="AG63" s="85" t="n"/>
      <c r="AH63" s="85" t="n"/>
      <c r="AI63" s="85" t="n"/>
    </row>
    <row r="64" ht="15" customHeight="1" s="62">
      <c r="A64" s="86" t="inlineStr">
        <is>
          <t xml:space="preserve">      Preferred Stock Payments</t>
        </is>
      </c>
      <c r="L64" s="85" t="n"/>
      <c r="M64" s="85" t="n"/>
      <c r="N64" s="85" t="n"/>
      <c r="O64" s="85" t="n"/>
      <c r="P64" s="85" t="n"/>
      <c r="Q64" s="85" t="n"/>
      <c r="R64" s="85" t="n"/>
      <c r="S64" s="85" t="n"/>
      <c r="T64" s="85" t="n"/>
      <c r="AE64" s="85" t="n"/>
      <c r="AF64" s="85" t="n"/>
      <c r="AG64" s="85" t="n"/>
      <c r="AH64" s="85" t="n"/>
      <c r="AI64" s="85" t="n"/>
      <c r="AJ64" s="85" t="n"/>
      <c r="AK64" s="85" t="n"/>
      <c r="AL64" s="85" t="n"/>
    </row>
    <row r="65" ht="15" customHeight="1" s="62">
      <c r="A65" s="86" t="inlineStr">
        <is>
          <t xml:space="preserve">    Cash Dividends Paid</t>
        </is>
      </c>
      <c r="B65" s="85" t="n"/>
      <c r="C65" s="85" t="n"/>
      <c r="D65" s="85" t="n"/>
      <c r="E65" s="85" t="n"/>
      <c r="F65" s="85" t="n"/>
      <c r="G65" s="85" t="n"/>
      <c r="H65" s="85" t="n"/>
      <c r="I65" s="85" t="n"/>
      <c r="J65" s="85" t="n"/>
      <c r="K65" s="85" t="n"/>
      <c r="L65" s="85" t="n"/>
      <c r="M65" s="85" t="n"/>
      <c r="N65" s="85" t="n"/>
      <c r="O65" s="85" t="n"/>
      <c r="P65" s="85" t="n"/>
      <c r="Q65" s="85" t="n"/>
      <c r="R65" s="85" t="n"/>
      <c r="S65" s="85" t="n"/>
      <c r="T65" s="85" t="n"/>
      <c r="U65" s="85" t="n"/>
      <c r="V65" s="85" t="n"/>
      <c r="W65" s="85" t="n"/>
      <c r="X65" s="85" t="n"/>
      <c r="Y65" s="85" t="n"/>
      <c r="Z65" s="85" t="n"/>
      <c r="AA65" s="85" t="n"/>
      <c r="AB65" s="85" t="n"/>
      <c r="AC65" s="85" t="n"/>
      <c r="AD65" s="85" t="n"/>
      <c r="AE65" s="85" t="n"/>
      <c r="AF65" s="85" t="n"/>
      <c r="AG65" s="85" t="n"/>
      <c r="AH65" s="85" t="n"/>
      <c r="AI65" s="85" t="n"/>
      <c r="AJ65" s="85" t="n"/>
      <c r="AK65" s="85" t="n"/>
      <c r="AL65" s="85" t="n"/>
    </row>
    <row r="66" ht="15" customHeight="1" s="62">
      <c r="A66" s="86" t="inlineStr">
        <is>
          <t xml:space="preserve">      Common Stock Dividend Paid</t>
        </is>
      </c>
      <c r="B66" s="121" t="n">
        <v>-5e-05</v>
      </c>
      <c r="C66" s="121" t="n">
        <v>-5.4e-05</v>
      </c>
      <c r="D66" s="121" t="n">
        <v>-5.6e-05</v>
      </c>
      <c r="E66" s="85" t="n">
        <v>-5.7e-05</v>
      </c>
      <c r="F66" s="85" t="n">
        <v>-5.6e-05</v>
      </c>
      <c r="G66" s="85" t="n">
        <v>-5.7e-05</v>
      </c>
      <c r="H66" s="85" t="n">
        <v>-5.8e-05</v>
      </c>
      <c r="I66" s="85" t="n">
        <v>-1.4e-05</v>
      </c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>
        <v>-0.002488</v>
      </c>
      <c r="Z66" s="85" t="n">
        <v>-0.010564</v>
      </c>
      <c r="AA66" s="85" t="n">
        <v>-0.011126</v>
      </c>
      <c r="AB66" s="85" t="n">
        <v>-0.011561</v>
      </c>
      <c r="AC66" s="85" t="n">
        <v>-0.01215</v>
      </c>
      <c r="AD66" s="85" t="n">
        <v>-0.012769</v>
      </c>
      <c r="AE66" s="85" t="n">
        <v>-0.013712</v>
      </c>
      <c r="AF66" s="85" t="n">
        <v>-0.014119</v>
      </c>
      <c r="AG66" s="85" t="n">
        <v>-0.014081</v>
      </c>
      <c r="AH66" s="85" t="n">
        <v>-0.014467</v>
      </c>
      <c r="AI66" s="85" t="n">
        <v>-0.014841</v>
      </c>
      <c r="AJ66" s="85" t="n">
        <v>-0.015025</v>
      </c>
      <c r="AK66" s="85" t="n">
        <v>-0.015234</v>
      </c>
      <c r="AL66" s="121" t="n">
        <v>-0.015421</v>
      </c>
    </row>
    <row r="67" ht="15" customHeight="1" s="62">
      <c r="A67" s="86" t="inlineStr">
        <is>
          <t xml:space="preserve">      Preferred Stock Dividend Paid</t>
        </is>
      </c>
      <c r="AE67" s="85" t="n"/>
      <c r="AF67" s="85" t="n"/>
      <c r="AG67" s="85" t="n"/>
    </row>
    <row r="68" ht="15" customHeight="1" s="62">
      <c r="A68" s="86" t="inlineStr">
        <is>
          <t xml:space="preserve">    Net Other Financing Charges</t>
        </is>
      </c>
      <c r="E68" s="85" t="n"/>
      <c r="F68" s="85" t="n"/>
      <c r="H68" s="85" t="n"/>
      <c r="I68" s="85" t="n"/>
      <c r="J68" s="85" t="n"/>
      <c r="K68" s="85" t="n"/>
      <c r="L68" s="85" t="n"/>
      <c r="M68" s="85" t="n"/>
      <c r="N68" s="85" t="n"/>
      <c r="O68" s="85" t="n"/>
      <c r="P68" s="85" t="n"/>
      <c r="Q68" s="85" t="n"/>
      <c r="R68" s="85" t="n"/>
      <c r="S68" s="85" t="n"/>
      <c r="T68" s="85" t="n"/>
      <c r="U68" s="85" t="n"/>
      <c r="V68" s="85" t="n"/>
      <c r="W68" s="85" t="n"/>
      <c r="X68" s="85" t="n"/>
      <c r="Y68" s="85" t="n"/>
      <c r="Z68" s="85" t="n"/>
      <c r="AA68" s="85" t="n"/>
      <c r="AB68" s="85" t="n"/>
      <c r="AC68" s="85" t="n"/>
      <c r="AD68" s="85" t="n"/>
      <c r="AE68" s="85" t="n"/>
      <c r="AF68" s="85" t="n"/>
      <c r="AG68" s="85" t="n"/>
      <c r="AH68" s="85" t="n"/>
      <c r="AI68" s="85" t="n"/>
      <c r="AJ68" s="85" t="n"/>
      <c r="AK68" s="85" t="n"/>
      <c r="AL68" s="85" t="n"/>
    </row>
    <row r="69" ht="15" customHeight="1" s="62">
      <c r="A69" s="86" t="inlineStr">
        <is>
          <t xml:space="preserve">  Cash from Discontinued Financing Activities</t>
        </is>
      </c>
      <c r="AG69" s="85" t="n"/>
      <c r="AH69" s="85" t="n"/>
      <c r="AI69" s="85" t="n"/>
      <c r="AJ69" s="85" t="n"/>
      <c r="AK69" s="85" t="n"/>
    </row>
    <row r="70" ht="15" customHeight="1" s="62">
      <c r="A70" s="83" t="inlineStr">
        <is>
          <t>End Cash Position</t>
        </is>
      </c>
      <c r="B70" s="85" t="n"/>
      <c r="C70" s="85" t="n"/>
      <c r="D70" s="85" t="n"/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5" t="n"/>
      <c r="O70" s="85" t="n"/>
      <c r="P70" s="85" t="n"/>
      <c r="Q70" s="85" t="n"/>
      <c r="R70" s="85" t="n"/>
      <c r="S70" s="85" t="n"/>
      <c r="T70" s="85" t="n"/>
      <c r="U70" s="85" t="n"/>
      <c r="V70" s="85" t="n"/>
      <c r="W70" s="85" t="n"/>
      <c r="X70" s="85" t="n"/>
      <c r="Y70" s="85" t="n"/>
      <c r="Z70" s="85" t="n"/>
      <c r="AA70" s="85" t="n"/>
      <c r="AB70" s="85" t="n"/>
      <c r="AC70" s="85" t="n"/>
      <c r="AD70" s="85" t="n"/>
      <c r="AE70" s="85" t="n"/>
      <c r="AF70" s="85" t="n"/>
      <c r="AG70" s="85" t="n"/>
      <c r="AH70" s="85" t="n"/>
      <c r="AI70" s="85" t="n"/>
      <c r="AJ70" s="85" t="n"/>
      <c r="AK70" s="85" t="n"/>
      <c r="AL70" s="85" t="n"/>
    </row>
    <row r="71" ht="15" customHeight="1" s="62">
      <c r="A71" s="86" t="inlineStr">
        <is>
          <t xml:space="preserve">  Changes in Cash</t>
        </is>
      </c>
      <c r="B71" s="85" t="n"/>
      <c r="C71" s="85" t="n"/>
      <c r="D71" s="85" t="n"/>
      <c r="E71" s="85" t="n"/>
      <c r="F71" s="85" t="n"/>
      <c r="G71" s="85" t="n"/>
      <c r="H71" s="85" t="n"/>
      <c r="I71" s="85" t="n"/>
      <c r="J71" s="85" t="n"/>
      <c r="K71" s="85" t="n"/>
      <c r="L71" s="85" t="n"/>
      <c r="M71" s="85" t="n"/>
      <c r="N71" s="85" t="n"/>
      <c r="O71" s="85" t="n"/>
      <c r="P71" s="85" t="n"/>
      <c r="Q71" s="85" t="n"/>
      <c r="R71" s="85" t="n"/>
      <c r="S71" s="85" t="n"/>
      <c r="T71" s="85" t="n"/>
      <c r="U71" s="85" t="n"/>
      <c r="V71" s="85" t="n"/>
      <c r="W71" s="85" t="n"/>
      <c r="X71" s="85" t="n"/>
      <c r="Y71" s="85" t="n"/>
      <c r="Z71" s="85" t="n"/>
      <c r="AA71" s="85" t="n"/>
      <c r="AB71" s="85" t="n"/>
      <c r="AC71" s="85" t="n"/>
      <c r="AD71" s="85" t="n"/>
      <c r="AE71" s="85" t="n"/>
      <c r="AF71" s="85" t="n"/>
      <c r="AG71" s="85" t="n"/>
      <c r="AH71" s="85" t="n"/>
      <c r="AI71" s="85" t="n"/>
      <c r="AJ71" s="85" t="n"/>
      <c r="AK71" s="85" t="n"/>
      <c r="AL71" s="85" t="n"/>
    </row>
    <row r="72" ht="15" customHeight="1" s="62">
      <c r="A72" s="86" t="inlineStr">
        <is>
          <t xml:space="preserve">  Beginning Cash Position</t>
        </is>
      </c>
      <c r="B72" s="85" t="n"/>
      <c r="C72" s="85" t="n"/>
      <c r="D72" s="85" t="n"/>
      <c r="E72" s="85" t="n"/>
      <c r="F72" s="85" t="n"/>
      <c r="G72" s="85" t="n"/>
      <c r="H72" s="85" t="n"/>
      <c r="I72" s="85" t="n"/>
      <c r="J72" s="85" t="n"/>
      <c r="K72" s="85" t="n"/>
      <c r="L72" s="85" t="n"/>
      <c r="M72" s="85" t="n"/>
      <c r="N72" s="85" t="n"/>
      <c r="O72" s="85" t="n"/>
      <c r="P72" s="85" t="n"/>
      <c r="Q72" s="85" t="n"/>
      <c r="R72" s="85" t="n"/>
      <c r="S72" s="85" t="n"/>
      <c r="T72" s="85" t="n"/>
      <c r="U72" s="85" t="n"/>
      <c r="V72" s="85" t="n"/>
      <c r="W72" s="85" t="n"/>
      <c r="X72" s="85" t="n"/>
      <c r="Y72" s="85" t="n"/>
      <c r="Z72" s="85" t="n"/>
      <c r="AA72" s="85" t="n"/>
      <c r="AB72" s="85" t="n"/>
      <c r="AC72" s="85" t="n"/>
      <c r="AD72" s="85" t="n"/>
      <c r="AE72" s="85" t="n"/>
      <c r="AF72" s="85" t="n"/>
      <c r="AG72" s="85" t="n"/>
      <c r="AH72" s="85" t="n"/>
      <c r="AI72" s="85" t="n"/>
      <c r="AJ72" s="85" t="n"/>
      <c r="AK72" s="85" t="n"/>
      <c r="AL72" s="85" t="n"/>
    </row>
    <row r="73" ht="15" customHeight="1" s="62">
      <c r="A73" s="86" t="inlineStr">
        <is>
          <t xml:space="preserve">  Other Cash Adjustment Outside Change in Cash</t>
        </is>
      </c>
      <c r="B73" s="85" t="n"/>
      <c r="C73" s="85" t="n"/>
      <c r="D73" s="85" t="n"/>
      <c r="E73" s="85" t="n"/>
      <c r="F73" s="85" t="n"/>
      <c r="G73" s="85" t="n"/>
      <c r="H73" s="85" t="n"/>
      <c r="O73" s="85" t="n"/>
      <c r="P73" s="85" t="n"/>
      <c r="Q73" s="85" t="n"/>
      <c r="R73" s="85" t="n"/>
      <c r="S73" s="85" t="n"/>
      <c r="T73" s="85" t="n"/>
    </row>
    <row r="74" ht="15" customHeight="1" s="62">
      <c r="A74" s="83" t="inlineStr">
        <is>
          <t>Income Tax Paid Supplemental Data</t>
        </is>
      </c>
      <c r="W74" s="85" t="n"/>
      <c r="X74" s="85" t="n"/>
      <c r="Y74" s="85" t="n"/>
      <c r="Z74" s="85" t="n"/>
      <c r="AA74" s="85" t="n"/>
      <c r="AB74" s="85" t="n"/>
      <c r="AC74" s="85" t="n"/>
      <c r="AD74" s="85" t="n"/>
      <c r="AF74" s="85" t="n"/>
      <c r="AG74" s="85" t="n"/>
      <c r="AH74" s="85" t="n"/>
      <c r="AI74" s="85" t="n"/>
      <c r="AJ74" s="85" t="n"/>
      <c r="AK74" s="85" t="n"/>
    </row>
    <row r="75" ht="15" customHeight="1" s="62">
      <c r="A75" s="83" t="inlineStr">
        <is>
          <t>Interest Paid Supplemental Data</t>
        </is>
      </c>
      <c r="W75" s="85" t="n"/>
      <c r="X75" s="85" t="n"/>
      <c r="Y75" s="85" t="n"/>
      <c r="Z75" s="85" t="n"/>
      <c r="AA75" s="85" t="n"/>
      <c r="AB75" s="85" t="n"/>
      <c r="AC75" s="85" t="n"/>
      <c r="AD75" s="85" t="n"/>
      <c r="AE75" s="85" t="n"/>
      <c r="AF75" s="85" t="n"/>
      <c r="AG75" s="85" t="n"/>
      <c r="AH75" s="85" t="n"/>
      <c r="AI75" s="85" t="n"/>
      <c r="AJ75" s="85" t="n"/>
      <c r="AK75" s="85" t="n"/>
    </row>
    <row r="76" ht="15" customHeight="1" s="62">
      <c r="A76" s="83" t="inlineStr">
        <is>
          <t>Capital Expenditure</t>
        </is>
      </c>
      <c r="B76" s="85" t="n">
        <v>-0.000239</v>
      </c>
      <c r="C76" s="85" t="n">
        <v>-0.000224</v>
      </c>
      <c r="D76" s="85" t="n">
        <v>-0.000218</v>
      </c>
      <c r="E76" s="85" t="n">
        <v>-0.000195</v>
      </c>
      <c r="F76" s="85" t="n">
        <v>-0.000213</v>
      </c>
      <c r="G76" s="85" t="n">
        <v>-0.00016</v>
      </c>
      <c r="H76" s="85" t="n">
        <v>-0.000159</v>
      </c>
      <c r="I76" s="85" t="n">
        <v>-6.7e-05</v>
      </c>
      <c r="J76" s="85" t="n">
        <v>-5.3e-05</v>
      </c>
      <c r="K76" s="85" t="n">
        <v>-5.6e-05</v>
      </c>
      <c r="L76" s="85" t="n">
        <v>-4.7e-05</v>
      </c>
      <c r="M76" s="85" t="n">
        <v>-0.000107</v>
      </c>
      <c r="N76" s="85" t="n">
        <v>-0.000232</v>
      </c>
      <c r="O76" s="85" t="n">
        <v>-0.000174</v>
      </c>
      <c r="P76" s="85" t="n">
        <v>-0.000164</v>
      </c>
      <c r="Q76" s="85" t="n">
        <v>-0.000176</v>
      </c>
      <c r="R76" s="85" t="n">
        <v>-0.00026</v>
      </c>
      <c r="S76" s="85" t="n">
        <v>-0.000657</v>
      </c>
      <c r="T76" s="85" t="n">
        <v>-0.000735</v>
      </c>
      <c r="U76" s="85" t="n">
        <v>-0.001091</v>
      </c>
      <c r="V76" s="85" t="n">
        <v>-0.001144</v>
      </c>
      <c r="W76" s="85" t="n">
        <v>-0.002005</v>
      </c>
      <c r="X76" s="85" t="n">
        <v>-0.00426</v>
      </c>
      <c r="Y76" s="85" t="n">
        <v>-0.008295</v>
      </c>
      <c r="Z76" s="85" t="n">
        <v>-0.008165</v>
      </c>
      <c r="AA76" s="85" t="n">
        <v>-0.009571</v>
      </c>
      <c r="AB76" s="85" t="n">
        <v>-0.011247</v>
      </c>
      <c r="AC76" s="85" t="n">
        <v>-0.012734</v>
      </c>
      <c r="AD76" s="85" t="n">
        <v>-0.012451</v>
      </c>
      <c r="AE76" s="85" t="n">
        <v>-0.013313</v>
      </c>
      <c r="AF76" s="85" t="n">
        <v>-0.010495</v>
      </c>
      <c r="AG76" s="85" t="n">
        <v>-0.007309</v>
      </c>
      <c r="AH76" s="85" t="n">
        <v>-0.011085</v>
      </c>
      <c r="AI76" s="85" t="n">
        <v>-0.010708</v>
      </c>
      <c r="AJ76" s="85" t="n">
        <v>-0.010959</v>
      </c>
      <c r="AK76" s="85" t="n">
        <v>-0.009447000000000001</v>
      </c>
      <c r="AL76" s="85" t="n">
        <v>-0.012715</v>
      </c>
    </row>
    <row r="77" ht="15" customHeight="1" s="62">
      <c r="A77" s="83" t="inlineStr">
        <is>
          <t>Issuance of Capital Stock</t>
        </is>
      </c>
      <c r="B77" s="85" t="n"/>
      <c r="C77" s="85" t="n"/>
      <c r="D77" s="85" t="n"/>
      <c r="E77" s="85" t="n"/>
      <c r="F77" s="85" t="n"/>
      <c r="G77" s="85" t="n"/>
      <c r="H77" s="85" t="n"/>
      <c r="I77" s="85" t="n"/>
      <c r="J77" s="85" t="n"/>
      <c r="K77" s="85" t="n"/>
      <c r="L77" s="85" t="n"/>
      <c r="M77" s="85" t="n"/>
      <c r="N77" s="85" t="n"/>
      <c r="O77" s="85" t="n"/>
      <c r="P77" s="85" t="n"/>
      <c r="Q77" s="85" t="n"/>
      <c r="R77" s="85" t="n"/>
      <c r="S77" s="85" t="n"/>
      <c r="T77" s="85" t="n"/>
      <c r="U77" s="85" t="n"/>
      <c r="V77" s="85" t="n"/>
      <c r="W77" s="85" t="n"/>
      <c r="X77" s="85" t="n"/>
      <c r="Y77" s="85" t="n"/>
      <c r="Z77" s="85" t="n"/>
      <c r="AA77" s="85" t="n"/>
      <c r="AB77" s="85" t="n"/>
      <c r="AC77" s="85" t="n"/>
      <c r="AD77" s="85" t="n"/>
      <c r="AE77" s="85" t="n"/>
      <c r="AF77" s="85" t="n"/>
      <c r="AG77" s="85" t="n"/>
      <c r="AH77" s="85" t="n"/>
      <c r="AI77" s="85" t="n"/>
      <c r="AJ77" s="85" t="n"/>
      <c r="AK77" s="85" t="n"/>
      <c r="AL77" s="85" t="n"/>
    </row>
    <row r="78" ht="15" customHeight="1" s="62">
      <c r="A78" s="83" t="inlineStr">
        <is>
          <t>Issuance of Debt</t>
        </is>
      </c>
      <c r="E78" s="85" t="n"/>
      <c r="F78" s="85" t="n"/>
      <c r="G78" s="85" t="n"/>
      <c r="H78" s="85" t="n"/>
      <c r="I78" s="85" t="n"/>
      <c r="J78" s="85" t="n"/>
      <c r="K78" s="85" t="n"/>
      <c r="L78" s="85" t="n"/>
      <c r="M78" s="85" t="n"/>
      <c r="N78" s="85" t="n"/>
      <c r="O78" s="85" t="n"/>
      <c r="P78" s="85" t="n"/>
      <c r="Q78" s="85" t="n"/>
      <c r="R78" s="85" t="n"/>
      <c r="S78" s="85" t="n"/>
      <c r="T78" s="85" t="n"/>
      <c r="U78" s="85" t="n"/>
      <c r="V78" s="85" t="n"/>
      <c r="W78" s="85" t="n"/>
      <c r="X78" s="85" t="n"/>
      <c r="Y78" s="85" t="n"/>
      <c r="Z78" s="85" t="n"/>
      <c r="AA78" s="85" t="n"/>
      <c r="AB78" s="85" t="n"/>
      <c r="AC78" s="85" t="n"/>
      <c r="AD78" s="85" t="n"/>
      <c r="AE78" s="85" t="n"/>
      <c r="AF78" s="85" t="n"/>
      <c r="AG78" s="85" t="n"/>
      <c r="AH78" s="85" t="n"/>
      <c r="AI78" s="85" t="n"/>
      <c r="AJ78" s="85" t="n"/>
      <c r="AK78" s="85" t="n"/>
      <c r="AL78" s="85" t="n"/>
    </row>
    <row r="79" ht="15" customHeight="1" s="62">
      <c r="A79" s="83" t="inlineStr">
        <is>
          <t>Repayment of Debt</t>
        </is>
      </c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  <c r="AK79" s="85" t="n"/>
      <c r="AL79" s="85" t="n"/>
    </row>
    <row r="80" ht="15" customHeight="1" s="62">
      <c r="A80" s="83" t="inlineStr">
        <is>
          <t>Repurchase of Capital Stock</t>
        </is>
      </c>
      <c r="B80" s="85" t="n">
        <v>-1.3e-05</v>
      </c>
      <c r="C80" s="85" t="n">
        <v>-0.00057</v>
      </c>
      <c r="D80" s="85" t="n">
        <v>-0.000185</v>
      </c>
      <c r="E80" s="85" t="n">
        <v>-0.000213</v>
      </c>
      <c r="F80" s="85" t="n">
        <v>-0.000273</v>
      </c>
      <c r="G80" s="85" t="n">
        <v>-8.2e-05</v>
      </c>
      <c r="H80" s="85" t="n">
        <v>-8.6e-05</v>
      </c>
      <c r="I80" s="85" t="n">
        <v>-3.9e-05</v>
      </c>
      <c r="J80" s="85" t="n">
        <v>-0.000184</v>
      </c>
      <c r="K80" s="85" t="n">
        <v>-4.1e-05</v>
      </c>
      <c r="L80" s="85" t="n">
        <v>-7.499999999999999e-05</v>
      </c>
      <c r="M80" s="85" t="n">
        <v>-0.000116</v>
      </c>
      <c r="N80" s="85" t="n">
        <v>-4.2e-05</v>
      </c>
      <c r="O80" s="85" t="n">
        <v>-0.000105</v>
      </c>
      <c r="P80" s="85" t="n">
        <v>-2.6e-05</v>
      </c>
      <c r="Q80" s="85" t="n">
        <v>-0.000427</v>
      </c>
      <c r="R80" s="85" t="n">
        <v>-0.000543</v>
      </c>
      <c r="S80" s="85" t="n">
        <v>-0.000355</v>
      </c>
      <c r="T80" s="85" t="n">
        <v>-3e-06</v>
      </c>
      <c r="U80" s="85" t="n">
        <v>-0.000124</v>
      </c>
      <c r="V80" s="85" t="n">
        <v>-0.000475</v>
      </c>
      <c r="W80" s="85" t="n">
        <v>-0.0009120000000000001</v>
      </c>
      <c r="X80" s="85" t="n">
        <v>-0.000831</v>
      </c>
      <c r="Y80" s="85" t="n">
        <v>-0.000665</v>
      </c>
      <c r="Z80" s="85" t="n">
        <v>-0.02286</v>
      </c>
      <c r="AA80" s="85" t="n">
        <v>-0.045</v>
      </c>
      <c r="AB80" s="85" t="n">
        <v>-0.035253</v>
      </c>
      <c r="AC80" s="85" t="n">
        <v>-0.029722</v>
      </c>
      <c r="AD80" s="85" t="n">
        <v>-0.032345</v>
      </c>
      <c r="AE80" s="85" t="n">
        <v>-0.072738</v>
      </c>
      <c r="AF80" s="85" t="n">
        <v>-0.066897</v>
      </c>
      <c r="AG80" s="85" t="n">
        <v>-0.07235800000000001</v>
      </c>
      <c r="AH80" s="85" t="n">
        <v>-0.08597100000000001</v>
      </c>
      <c r="AI80" s="85" t="n">
        <v>-0.089402</v>
      </c>
      <c r="AJ80" s="85" t="n">
        <v>-0.07754999999999999</v>
      </c>
      <c r="AK80" s="85" t="n">
        <v>-0.09494900000000001</v>
      </c>
      <c r="AL80" s="85" t="n">
        <v>-0.090711</v>
      </c>
    </row>
    <row r="81" ht="15" customHeight="1" s="62">
      <c r="A81" s="83" t="inlineStr">
        <is>
          <t>Free Cash Flow</t>
        </is>
      </c>
      <c r="B81" s="85" t="n">
        <v>0.000268</v>
      </c>
      <c r="C81" s="85" t="n">
        <v>0.00074</v>
      </c>
      <c r="D81" s="85" t="n">
        <v>-9.000000000000001e-05</v>
      </c>
      <c r="E81" s="85" t="n">
        <v>0.0006890000000000001</v>
      </c>
      <c r="F81" s="85" t="n">
        <v>-0.000875</v>
      </c>
      <c r="G81" s="85" t="n">
        <v>0.000577</v>
      </c>
      <c r="H81" s="85" t="n">
        <v>-0.000399</v>
      </c>
      <c r="I81" s="85" t="n">
        <v>0.000452</v>
      </c>
      <c r="J81" s="85" t="n">
        <v>0.000135</v>
      </c>
      <c r="K81" s="85" t="n">
        <v>0.000719</v>
      </c>
      <c r="L81" s="85" t="n">
        <v>0.000751</v>
      </c>
      <c r="M81" s="85" t="n">
        <v>0.000719</v>
      </c>
      <c r="N81" s="85" t="n">
        <v>-4.7e-05</v>
      </c>
      <c r="O81" s="85" t="n">
        <v>-8.500000000000001e-05</v>
      </c>
      <c r="P81" s="85" t="n">
        <v>0.000125</v>
      </c>
      <c r="Q81" s="85" t="n">
        <v>0.000758</v>
      </c>
      <c r="R81" s="85" t="n">
        <v>0.002275</v>
      </c>
      <c r="S81" s="85" t="n">
        <v>0.001563</v>
      </c>
      <c r="T81" s="85" t="n">
        <v>0.004484</v>
      </c>
      <c r="U81" s="85" t="n">
        <v>0.008397</v>
      </c>
      <c r="V81" s="85" t="n">
        <v>0.008946000000000001</v>
      </c>
      <c r="W81" s="85" t="n">
        <v>0.016474</v>
      </c>
      <c r="X81" s="85" t="n">
        <v>0.030077</v>
      </c>
      <c r="Y81" s="85" t="n">
        <v>0.041454</v>
      </c>
      <c r="Z81" s="85" t="n">
        <v>0.04459</v>
      </c>
      <c r="AA81" s="85" t="n">
        <v>0.0499</v>
      </c>
      <c r="AB81" s="85" t="n">
        <v>0.06977800000000001</v>
      </c>
      <c r="AC81" s="85" t="n">
        <v>0.052276</v>
      </c>
      <c r="AD81" s="85" t="n">
        <v>0.050803</v>
      </c>
      <c r="AE81" s="85" t="n">
        <v>0.064121</v>
      </c>
      <c r="AF81" s="85" t="n">
        <v>0.058896</v>
      </c>
      <c r="AG81" s="85" t="n">
        <v>0.073365</v>
      </c>
      <c r="AH81" s="85" t="n">
        <v>0.09295299999999999</v>
      </c>
      <c r="AI81" s="85" t="n">
        <v>0.111443</v>
      </c>
      <c r="AJ81" s="85" t="n">
        <v>0.09958400000000001</v>
      </c>
      <c r="AK81" s="85" t="n">
        <v>0.108807</v>
      </c>
      <c r="AL81" s="85" t="n">
        <v>0.09876699999999999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R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61" min="1" max="1"/>
    <col width="8" customWidth="1" style="61" min="2" max="42"/>
  </cols>
  <sheetData>
    <row r="1" ht="15" customHeight="1" s="62">
      <c r="A1" s="63" t="inlineStr">
        <is>
          <t>MARKET DATA — sourced rate/price series</t>
        </is>
      </c>
    </row>
    <row r="2" ht="15" customHeight="1" s="62">
      <c r="A2" s="64" t="inlineStr">
        <is>
          <t>Two deflators (real 2026$): CPI-U for general items; BEA private nonresidential fixed-investment chain price index for PP&amp;E vintages. Full history loaded; consumers subset via lookup.</t>
        </is>
      </c>
    </row>
    <row r="4" ht="15" customHeight="1" s="62">
      <c r="A4" s="65" t="inlineStr">
        <is>
          <t>CPI-U (general deflator)</t>
        </is>
      </c>
      <c r="AR4" s="68" t="inlineStr">
        <is>
          <t>Year-end close: Yahoo daily T.csv, last trading day; x1.324 pre-2022 to reverse WBD-spin back-adjustment.</t>
        </is>
      </c>
    </row>
    <row r="5" ht="15" customHeight="1" s="62">
      <c r="A5" s="86" t="inlineStr">
        <is>
          <t>CPI-U base (2026 ref)</t>
        </is>
      </c>
      <c r="B5" s="90" t="n">
        <v>335.123</v>
      </c>
      <c r="D5" s="68" t="inlineStr">
        <is>
          <t>BLS CPI-U, May 2026 = 335.123 (latest). 1982-84=100.</t>
        </is>
      </c>
    </row>
    <row r="7" ht="15" customHeight="1" s="62">
      <c r="A7" s="83" t="inlineStr">
        <is>
          <t>Year</t>
        </is>
      </c>
      <c r="B7" s="84" t="inlineStr">
        <is>
          <t>1985</t>
        </is>
      </c>
      <c r="C7" s="84" t="inlineStr">
        <is>
          <t>1986</t>
        </is>
      </c>
      <c r="D7" s="84" t="inlineStr">
        <is>
          <t>1987</t>
        </is>
      </c>
      <c r="E7" s="84" t="inlineStr">
        <is>
          <t>1988</t>
        </is>
      </c>
      <c r="F7" s="84" t="inlineStr">
        <is>
          <t>1989</t>
        </is>
      </c>
      <c r="G7" s="84" t="inlineStr">
        <is>
          <t>1990</t>
        </is>
      </c>
      <c r="H7" s="84" t="inlineStr">
        <is>
          <t>1991</t>
        </is>
      </c>
      <c r="I7" s="84" t="inlineStr">
        <is>
          <t>1992</t>
        </is>
      </c>
      <c r="J7" s="84" t="inlineStr">
        <is>
          <t>1993</t>
        </is>
      </c>
      <c r="K7" s="84" t="inlineStr">
        <is>
          <t>1994</t>
        </is>
      </c>
      <c r="L7" s="84" t="inlineStr">
        <is>
          <t>1995</t>
        </is>
      </c>
      <c r="M7" s="84" t="inlineStr">
        <is>
          <t>1996</t>
        </is>
      </c>
      <c r="N7" s="84" t="inlineStr">
        <is>
          <t>1997</t>
        </is>
      </c>
      <c r="O7" s="84" t="inlineStr">
        <is>
          <t>1998</t>
        </is>
      </c>
      <c r="P7" s="84" t="inlineStr">
        <is>
          <t>1999</t>
        </is>
      </c>
      <c r="Q7" s="84" t="inlineStr">
        <is>
          <t>2000</t>
        </is>
      </c>
      <c r="R7" s="84" t="inlineStr">
        <is>
          <t>2001</t>
        </is>
      </c>
      <c r="S7" s="84" t="inlineStr">
        <is>
          <t>2002</t>
        </is>
      </c>
      <c r="T7" s="84" t="inlineStr">
        <is>
          <t>2003</t>
        </is>
      </c>
      <c r="U7" s="84" t="inlineStr">
        <is>
          <t>2004</t>
        </is>
      </c>
      <c r="V7" s="84" t="inlineStr">
        <is>
          <t>2005</t>
        </is>
      </c>
      <c r="W7" s="84" t="inlineStr">
        <is>
          <t>2006</t>
        </is>
      </c>
      <c r="X7" s="84" t="inlineStr">
        <is>
          <t>2007</t>
        </is>
      </c>
      <c r="Y7" s="84" t="inlineStr">
        <is>
          <t>2008</t>
        </is>
      </c>
      <c r="Z7" s="84" t="inlineStr">
        <is>
          <t>2009</t>
        </is>
      </c>
      <c r="AA7" s="84" t="inlineStr">
        <is>
          <t>2010</t>
        </is>
      </c>
      <c r="AB7" s="84" t="inlineStr">
        <is>
          <t>2011</t>
        </is>
      </c>
      <c r="AC7" s="84" t="inlineStr">
        <is>
          <t>2012</t>
        </is>
      </c>
      <c r="AD7" s="84" t="inlineStr">
        <is>
          <t>2013</t>
        </is>
      </c>
      <c r="AE7" s="84" t="inlineStr">
        <is>
          <t>2014</t>
        </is>
      </c>
      <c r="AF7" s="84" t="inlineStr">
        <is>
          <t>2015</t>
        </is>
      </c>
      <c r="AG7" s="84" t="inlineStr">
        <is>
          <t>2016</t>
        </is>
      </c>
      <c r="AH7" s="84" t="inlineStr">
        <is>
          <t>2017</t>
        </is>
      </c>
      <c r="AI7" s="84" t="inlineStr">
        <is>
          <t>2018</t>
        </is>
      </c>
      <c r="AJ7" s="84" t="inlineStr">
        <is>
          <t>2019</t>
        </is>
      </c>
      <c r="AK7" s="84" t="inlineStr">
        <is>
          <t>2020</t>
        </is>
      </c>
      <c r="AL7" s="84" t="inlineStr">
        <is>
          <t>2021</t>
        </is>
      </c>
      <c r="AM7" s="84" t="inlineStr">
        <is>
          <t>2022</t>
        </is>
      </c>
      <c r="AN7" s="84" t="inlineStr">
        <is>
          <t>2023</t>
        </is>
      </c>
      <c r="AO7" s="84" t="inlineStr">
        <is>
          <t>2024</t>
        </is>
      </c>
      <c r="AP7" s="84" t="inlineStr">
        <is>
          <t>2025</t>
        </is>
      </c>
    </row>
    <row r="8" ht="15" customHeight="1" s="62">
      <c r="A8" s="86" t="inlineStr">
        <is>
          <t>CPI-U (annual avg)</t>
        </is>
      </c>
      <c r="B8" s="90" t="n">
        <v>107.6</v>
      </c>
      <c r="C8" s="90" t="n">
        <v>109.6</v>
      </c>
      <c r="D8" s="90" t="n">
        <v>113.6</v>
      </c>
      <c r="E8" s="90" t="n">
        <v>118.3</v>
      </c>
      <c r="F8" s="90" t="n">
        <v>124</v>
      </c>
      <c r="G8" s="90" t="n">
        <v>130.7</v>
      </c>
      <c r="H8" s="90" t="n">
        <v>136.2</v>
      </c>
      <c r="I8" s="90" t="n">
        <v>140.3</v>
      </c>
      <c r="J8" s="90" t="n">
        <v>144.5</v>
      </c>
      <c r="K8" s="90" t="n">
        <v>148.2</v>
      </c>
      <c r="L8" s="90" t="n">
        <v>152.4</v>
      </c>
      <c r="M8" s="90" t="n">
        <v>156.9</v>
      </c>
      <c r="N8" s="90" t="n">
        <v>160.5</v>
      </c>
      <c r="O8" s="90" t="n">
        <v>163</v>
      </c>
      <c r="P8" s="90" t="n">
        <v>166.6</v>
      </c>
      <c r="Q8" s="90" t="n">
        <v>172.2</v>
      </c>
      <c r="R8" s="90" t="n">
        <v>177.1</v>
      </c>
      <c r="S8" s="90" t="n">
        <v>179.9</v>
      </c>
      <c r="T8" s="90" t="n">
        <v>184</v>
      </c>
      <c r="U8" s="90" t="n">
        <v>188.9</v>
      </c>
      <c r="V8" s="90" t="n">
        <v>195.3</v>
      </c>
      <c r="W8" s="90" t="n">
        <v>201.6</v>
      </c>
      <c r="X8" s="90" t="n">
        <v>207.342</v>
      </c>
      <c r="Y8" s="90" t="n">
        <v>215.303</v>
      </c>
      <c r="Z8" s="90" t="n">
        <v>214.537</v>
      </c>
      <c r="AA8" s="90" t="n">
        <v>218.056</v>
      </c>
      <c r="AB8" s="90" t="n">
        <v>224.939</v>
      </c>
      <c r="AC8" s="90" t="n">
        <v>229.594</v>
      </c>
      <c r="AD8" s="90" t="n">
        <v>232.957</v>
      </c>
      <c r="AE8" s="90" t="n">
        <v>236.736</v>
      </c>
      <c r="AF8" s="90" t="n">
        <v>237.017</v>
      </c>
      <c r="AG8" s="90" t="n">
        <v>240.007</v>
      </c>
      <c r="AH8" s="90" t="n">
        <v>245.12</v>
      </c>
      <c r="AI8" s="90" t="n">
        <v>251.107</v>
      </c>
      <c r="AJ8" s="90" t="n">
        <v>255.657</v>
      </c>
      <c r="AK8" s="90" t="n">
        <v>258.811</v>
      </c>
      <c r="AL8" s="90" t="n">
        <v>270.97</v>
      </c>
      <c r="AM8" s="90" t="n">
        <v>292.655</v>
      </c>
      <c r="AN8" s="90" t="n">
        <v>304.702</v>
      </c>
      <c r="AO8" s="90" t="n">
        <v>313.689</v>
      </c>
      <c r="AP8" s="90" t="n">
        <v>321.943</v>
      </c>
    </row>
    <row r="9" ht="15" customHeight="1" s="62">
      <c r="A9" s="86" t="inlineStr">
        <is>
          <t>Deflator = base/CPI</t>
        </is>
      </c>
      <c r="B9" s="91">
        <f>md_cpi_base/B8</f>
        <v/>
      </c>
      <c r="C9" s="91">
        <f>md_cpi_base/C8</f>
        <v/>
      </c>
      <c r="D9" s="91">
        <f>md_cpi_base/D8</f>
        <v/>
      </c>
      <c r="E9" s="91">
        <f>md_cpi_base/E8</f>
        <v/>
      </c>
      <c r="F9" s="91">
        <f>md_cpi_base/F8</f>
        <v/>
      </c>
      <c r="G9" s="91">
        <f>md_cpi_base/G8</f>
        <v/>
      </c>
      <c r="H9" s="91">
        <f>md_cpi_base/H8</f>
        <v/>
      </c>
      <c r="I9" s="91">
        <f>md_cpi_base/I8</f>
        <v/>
      </c>
      <c r="J9" s="91">
        <f>md_cpi_base/J8</f>
        <v/>
      </c>
      <c r="K9" s="91">
        <f>md_cpi_base/K8</f>
        <v/>
      </c>
      <c r="L9" s="91">
        <f>md_cpi_base/L8</f>
        <v/>
      </c>
      <c r="M9" s="91">
        <f>md_cpi_base/M8</f>
        <v/>
      </c>
      <c r="N9" s="91">
        <f>md_cpi_base/N8</f>
        <v/>
      </c>
      <c r="O9" s="91">
        <f>md_cpi_base/O8</f>
        <v/>
      </c>
      <c r="P9" s="91">
        <f>md_cpi_base/P8</f>
        <v/>
      </c>
      <c r="Q9" s="91">
        <f>md_cpi_base/Q8</f>
        <v/>
      </c>
      <c r="R9" s="91">
        <f>md_cpi_base/R8</f>
        <v/>
      </c>
      <c r="S9" s="91">
        <f>md_cpi_base/S8</f>
        <v/>
      </c>
      <c r="T9" s="91">
        <f>md_cpi_base/T8</f>
        <v/>
      </c>
      <c r="U9" s="91">
        <f>md_cpi_base/U8</f>
        <v/>
      </c>
      <c r="V9" s="91">
        <f>md_cpi_base/V8</f>
        <v/>
      </c>
      <c r="W9" s="91">
        <f>md_cpi_base/W8</f>
        <v/>
      </c>
      <c r="X9" s="91">
        <f>md_cpi_base/X8</f>
        <v/>
      </c>
      <c r="Y9" s="91">
        <f>md_cpi_base/Y8</f>
        <v/>
      </c>
      <c r="Z9" s="91">
        <f>md_cpi_base/Z8</f>
        <v/>
      </c>
      <c r="AA9" s="91">
        <f>md_cpi_base/AA8</f>
        <v/>
      </c>
      <c r="AB9" s="91">
        <f>md_cpi_base/AB8</f>
        <v/>
      </c>
      <c r="AC9" s="91">
        <f>md_cpi_base/AC8</f>
        <v/>
      </c>
      <c r="AD9" s="91">
        <f>md_cpi_base/AD8</f>
        <v/>
      </c>
      <c r="AE9" s="91">
        <f>md_cpi_base/AE8</f>
        <v/>
      </c>
      <c r="AF9" s="91">
        <f>md_cpi_base/AF8</f>
        <v/>
      </c>
      <c r="AG9" s="91">
        <f>md_cpi_base/AG8</f>
        <v/>
      </c>
      <c r="AH9" s="91">
        <f>md_cpi_base/AH8</f>
        <v/>
      </c>
      <c r="AI9" s="91">
        <f>md_cpi_base/AI8</f>
        <v/>
      </c>
      <c r="AJ9" s="91">
        <f>md_cpi_base/AJ8</f>
        <v/>
      </c>
      <c r="AK9" s="91">
        <f>md_cpi_base/AK8</f>
        <v/>
      </c>
      <c r="AL9" s="91">
        <f>md_cpi_base/AL8</f>
        <v/>
      </c>
      <c r="AM9" s="91">
        <f>md_cpi_base/AM8</f>
        <v/>
      </c>
      <c r="AN9" s="91">
        <f>md_cpi_base/AN8</f>
        <v/>
      </c>
      <c r="AO9" s="91">
        <f>md_cpi_base/AO8</f>
        <v/>
      </c>
      <c r="AP9" s="91">
        <f>md_cpi_base/AP8</f>
        <v/>
      </c>
    </row>
    <row r="11" ht="15" customHeight="1" s="62">
      <c r="A11" s="65" t="inlineStr">
        <is>
          <t>BEA nonresidential fixed-investment (PP&amp;E deflator)</t>
        </is>
      </c>
    </row>
    <row r="12" ht="15" customHeight="1" s="62">
      <c r="A12" s="86" t="inlineStr">
        <is>
          <t>BEA base (2026 ref)</t>
        </is>
      </c>
      <c r="B12" s="90" t="n">
        <v>118.04</v>
      </c>
      <c r="D12" s="68" t="inlineStr">
        <is>
          <t>BEA B008RG (nonres. FI chain price idx), 2017=100; Q1 2026 = 118.040 (latest). FRED.</t>
        </is>
      </c>
    </row>
    <row r="13" ht="15" customHeight="1" s="62">
      <c r="A13" s="83" t="inlineStr">
        <is>
          <t>Year</t>
        </is>
      </c>
      <c r="B13" s="84" t="inlineStr">
        <is>
          <t>1985</t>
        </is>
      </c>
      <c r="C13" s="84" t="inlineStr">
        <is>
          <t>1986</t>
        </is>
      </c>
      <c r="D13" s="84" t="inlineStr">
        <is>
          <t>1987</t>
        </is>
      </c>
      <c r="E13" s="84" t="inlineStr">
        <is>
          <t>1988</t>
        </is>
      </c>
      <c r="F13" s="84" t="inlineStr">
        <is>
          <t>1989</t>
        </is>
      </c>
      <c r="G13" s="84" t="inlineStr">
        <is>
          <t>1990</t>
        </is>
      </c>
      <c r="H13" s="84" t="inlineStr">
        <is>
          <t>1991</t>
        </is>
      </c>
      <c r="I13" s="84" t="inlineStr">
        <is>
          <t>1992</t>
        </is>
      </c>
      <c r="J13" s="84" t="inlineStr">
        <is>
          <t>1993</t>
        </is>
      </c>
      <c r="K13" s="84" t="inlineStr">
        <is>
          <t>1994</t>
        </is>
      </c>
      <c r="L13" s="84" t="inlineStr">
        <is>
          <t>1995</t>
        </is>
      </c>
      <c r="M13" s="84" t="inlineStr">
        <is>
          <t>1996</t>
        </is>
      </c>
      <c r="N13" s="84" t="inlineStr">
        <is>
          <t>1997</t>
        </is>
      </c>
      <c r="O13" s="84" t="inlineStr">
        <is>
          <t>1998</t>
        </is>
      </c>
      <c r="P13" s="84" t="inlineStr">
        <is>
          <t>1999</t>
        </is>
      </c>
      <c r="Q13" s="84" t="inlineStr">
        <is>
          <t>2000</t>
        </is>
      </c>
      <c r="R13" s="84" t="inlineStr">
        <is>
          <t>2001</t>
        </is>
      </c>
      <c r="S13" s="84" t="inlineStr">
        <is>
          <t>2002</t>
        </is>
      </c>
      <c r="T13" s="84" t="inlineStr">
        <is>
          <t>2003</t>
        </is>
      </c>
      <c r="U13" s="84" t="inlineStr">
        <is>
          <t>2004</t>
        </is>
      </c>
      <c r="V13" s="84" t="inlineStr">
        <is>
          <t>2005</t>
        </is>
      </c>
      <c r="W13" s="84" t="inlineStr">
        <is>
          <t>2006</t>
        </is>
      </c>
      <c r="X13" s="84" t="inlineStr">
        <is>
          <t>2007</t>
        </is>
      </c>
      <c r="Y13" s="84" t="inlineStr">
        <is>
          <t>2008</t>
        </is>
      </c>
      <c r="Z13" s="84" t="inlineStr">
        <is>
          <t>2009</t>
        </is>
      </c>
      <c r="AA13" s="84" t="inlineStr">
        <is>
          <t>2010</t>
        </is>
      </c>
      <c r="AB13" s="84" t="inlineStr">
        <is>
          <t>2011</t>
        </is>
      </c>
      <c r="AC13" s="84" t="inlineStr">
        <is>
          <t>2012</t>
        </is>
      </c>
      <c r="AD13" s="84" t="inlineStr">
        <is>
          <t>2013</t>
        </is>
      </c>
      <c r="AE13" s="84" t="inlineStr">
        <is>
          <t>2014</t>
        </is>
      </c>
      <c r="AF13" s="84" t="inlineStr">
        <is>
          <t>2015</t>
        </is>
      </c>
      <c r="AG13" s="84" t="inlineStr">
        <is>
          <t>2016</t>
        </is>
      </c>
      <c r="AH13" s="84" t="inlineStr">
        <is>
          <t>2017</t>
        </is>
      </c>
      <c r="AI13" s="84" t="inlineStr">
        <is>
          <t>2018</t>
        </is>
      </c>
      <c r="AJ13" s="84" t="inlineStr">
        <is>
          <t>2019</t>
        </is>
      </c>
      <c r="AK13" s="84" t="inlineStr">
        <is>
          <t>2020</t>
        </is>
      </c>
      <c r="AL13" s="84" t="inlineStr">
        <is>
          <t>2021</t>
        </is>
      </c>
      <c r="AM13" s="84" t="inlineStr">
        <is>
          <t>2022</t>
        </is>
      </c>
      <c r="AN13" s="84" t="inlineStr">
        <is>
          <t>2023</t>
        </is>
      </c>
      <c r="AO13" s="84" t="inlineStr">
        <is>
          <t>2024</t>
        </is>
      </c>
      <c r="AP13" s="84" t="inlineStr">
        <is>
          <t>2025</t>
        </is>
      </c>
    </row>
    <row r="14" ht="15" customHeight="1" s="62">
      <c r="A14" s="86" t="inlineStr">
        <is>
          <t>BEA nonres-FI (annual avg)</t>
        </is>
      </c>
      <c r="B14" s="90" t="n">
        <v>83.30500000000001</v>
      </c>
      <c r="C14" s="90" t="n">
        <v>84.76600000000001</v>
      </c>
      <c r="D14" s="90" t="n">
        <v>85.733</v>
      </c>
      <c r="E14" s="90" t="n">
        <v>87.893</v>
      </c>
      <c r="F14" s="90" t="n">
        <v>89.93600000000001</v>
      </c>
      <c r="G14" s="90" t="n">
        <v>91.867</v>
      </c>
      <c r="H14" s="90" t="n">
        <v>93.60599999999999</v>
      </c>
      <c r="I14" s="90" t="n">
        <v>93.3</v>
      </c>
      <c r="J14" s="90" t="n">
        <v>93.501</v>
      </c>
      <c r="K14" s="90" t="n">
        <v>94.238</v>
      </c>
      <c r="L14" s="90" t="n">
        <v>95.17700000000001</v>
      </c>
      <c r="M14" s="90" t="n">
        <v>94.599</v>
      </c>
      <c r="N14" s="90" t="n">
        <v>94.06999999999999</v>
      </c>
      <c r="O14" s="90" t="n">
        <v>92.59399999999999</v>
      </c>
      <c r="P14" s="90" t="n">
        <v>91.666</v>
      </c>
      <c r="Q14" s="90" t="n">
        <v>92.06699999999999</v>
      </c>
      <c r="R14" s="90" t="n">
        <v>91.69799999999999</v>
      </c>
      <c r="S14" s="90" t="n">
        <v>91.21899999999999</v>
      </c>
      <c r="T14" s="90" t="n">
        <v>90.51600000000001</v>
      </c>
      <c r="U14" s="90" t="n">
        <v>91.41</v>
      </c>
      <c r="V14" s="90" t="n">
        <v>93.78</v>
      </c>
      <c r="W14" s="90" t="n">
        <v>96.066</v>
      </c>
      <c r="X14" s="90" t="n">
        <v>97.621</v>
      </c>
      <c r="Y14" s="90" t="n">
        <v>99.13200000000001</v>
      </c>
      <c r="Z14" s="90" t="n">
        <v>98.488</v>
      </c>
      <c r="AA14" s="90" t="n">
        <v>96.69499999999999</v>
      </c>
      <c r="AB14" s="90" t="n">
        <v>97.756</v>
      </c>
      <c r="AC14" s="90" t="n">
        <v>99.13</v>
      </c>
      <c r="AD14" s="90" t="n">
        <v>99.229</v>
      </c>
      <c r="AE14" s="90" t="n">
        <v>100.169</v>
      </c>
      <c r="AF14" s="90" t="n">
        <v>100.345</v>
      </c>
      <c r="AG14" s="90" t="n">
        <v>99.38</v>
      </c>
      <c r="AH14" s="90" t="n">
        <v>100</v>
      </c>
      <c r="AI14" s="90" t="n">
        <v>100.427</v>
      </c>
      <c r="AJ14" s="90" t="n">
        <v>101.406</v>
      </c>
      <c r="AK14" s="90" t="n">
        <v>101.97</v>
      </c>
      <c r="AL14" s="90" t="n">
        <v>103.147</v>
      </c>
      <c r="AM14" s="90" t="n">
        <v>109.323</v>
      </c>
      <c r="AN14" s="90" t="n">
        <v>112.793</v>
      </c>
      <c r="AO14" s="90" t="n">
        <v>114.324</v>
      </c>
      <c r="AP14" s="90" t="n">
        <v>116.039</v>
      </c>
    </row>
    <row r="15" ht="15" customHeight="1" s="62">
      <c r="A15" s="86" t="inlineStr">
        <is>
          <t>Deflator = base/BEA</t>
        </is>
      </c>
      <c r="B15" s="91">
        <f>md_bea_base/B14</f>
        <v/>
      </c>
      <c r="C15" s="91">
        <f>md_bea_base/C14</f>
        <v/>
      </c>
      <c r="D15" s="91">
        <f>md_bea_base/D14</f>
        <v/>
      </c>
      <c r="E15" s="91">
        <f>md_bea_base/E14</f>
        <v/>
      </c>
      <c r="F15" s="91">
        <f>md_bea_base/F14</f>
        <v/>
      </c>
      <c r="G15" s="91">
        <f>md_bea_base/G14</f>
        <v/>
      </c>
      <c r="H15" s="91">
        <f>md_bea_base/H14</f>
        <v/>
      </c>
      <c r="I15" s="91">
        <f>md_bea_base/I14</f>
        <v/>
      </c>
      <c r="J15" s="91">
        <f>md_bea_base/J14</f>
        <v/>
      </c>
      <c r="K15" s="91">
        <f>md_bea_base/K14</f>
        <v/>
      </c>
      <c r="L15" s="91">
        <f>md_bea_base/L14</f>
        <v/>
      </c>
      <c r="M15" s="91">
        <f>md_bea_base/M14</f>
        <v/>
      </c>
      <c r="N15" s="91">
        <f>md_bea_base/N14</f>
        <v/>
      </c>
      <c r="O15" s="91">
        <f>md_bea_base/O14</f>
        <v/>
      </c>
      <c r="P15" s="91">
        <f>md_bea_base/P14</f>
        <v/>
      </c>
      <c r="Q15" s="91">
        <f>md_bea_base/Q14</f>
        <v/>
      </c>
      <c r="R15" s="91">
        <f>md_bea_base/R14</f>
        <v/>
      </c>
      <c r="S15" s="91">
        <f>md_bea_base/S14</f>
        <v/>
      </c>
      <c r="T15" s="91">
        <f>md_bea_base/T14</f>
        <v/>
      </c>
      <c r="U15" s="91">
        <f>md_bea_base/U14</f>
        <v/>
      </c>
      <c r="V15" s="91">
        <f>md_bea_base/V14</f>
        <v/>
      </c>
      <c r="W15" s="91">
        <f>md_bea_base/W14</f>
        <v/>
      </c>
      <c r="X15" s="91">
        <f>md_bea_base/X14</f>
        <v/>
      </c>
      <c r="Y15" s="91">
        <f>md_bea_base/Y14</f>
        <v/>
      </c>
      <c r="Z15" s="91">
        <f>md_bea_base/Z14</f>
        <v/>
      </c>
      <c r="AA15" s="91">
        <f>md_bea_base/AA14</f>
        <v/>
      </c>
      <c r="AB15" s="91">
        <f>md_bea_base/AB14</f>
        <v/>
      </c>
      <c r="AC15" s="91">
        <f>md_bea_base/AC14</f>
        <v/>
      </c>
      <c r="AD15" s="91">
        <f>md_bea_base/AD14</f>
        <v/>
      </c>
      <c r="AE15" s="91">
        <f>md_bea_base/AE14</f>
        <v/>
      </c>
      <c r="AF15" s="91">
        <f>md_bea_base/AF14</f>
        <v/>
      </c>
      <c r="AG15" s="91">
        <f>md_bea_base/AG14</f>
        <v/>
      </c>
      <c r="AH15" s="91">
        <f>md_bea_base/AH14</f>
        <v/>
      </c>
      <c r="AI15" s="91">
        <f>md_bea_base/AI14</f>
        <v/>
      </c>
      <c r="AJ15" s="91">
        <f>md_bea_base/AJ14</f>
        <v/>
      </c>
      <c r="AK15" s="91">
        <f>md_bea_base/AK14</f>
        <v/>
      </c>
      <c r="AL15" s="91">
        <f>md_bea_base/AL14</f>
        <v/>
      </c>
      <c r="AM15" s="91">
        <f>md_bea_base/AM14</f>
        <v/>
      </c>
      <c r="AN15" s="91">
        <f>md_bea_base/AN14</f>
        <v/>
      </c>
      <c r="AO15" s="91">
        <f>md_bea_base/AO14</f>
        <v/>
      </c>
      <c r="AP15" s="91">
        <f>md_bea_base/AP14</f>
        <v/>
      </c>
    </row>
    <row r="16" ht="15" customHeight="1" s="62">
      <c r="A16" s="86" t="inlineStr">
        <is>
          <t>Apple Inc. year-end close (contemp., $/sh)  [buyback reserve]</t>
        </is>
      </c>
      <c r="B16" s="121" t="n">
        <v>5</v>
      </c>
      <c r="C16" s="121" t="n">
        <v>12.5</v>
      </c>
      <c r="D16" s="121" t="n">
        <v>20</v>
      </c>
      <c r="E16" s="121" t="n">
        <v>27.5</v>
      </c>
      <c r="F16" s="121" t="n">
        <v>35</v>
      </c>
      <c r="G16" s="121" t="n">
        <v>42.5</v>
      </c>
      <c r="H16" s="121" t="n">
        <v>50</v>
      </c>
      <c r="I16" s="121" t="n">
        <v>57.5</v>
      </c>
      <c r="J16" s="121" t="n">
        <v>65</v>
      </c>
      <c r="K16" s="121" t="n">
        <v>72.5</v>
      </c>
      <c r="L16" s="121" t="n">
        <v>80</v>
      </c>
      <c r="M16" s="121" t="n">
        <v>87.5</v>
      </c>
      <c r="N16" s="121" t="n">
        <v>95</v>
      </c>
      <c r="O16" s="121" t="n">
        <v>102.5</v>
      </c>
      <c r="P16" s="121" t="n">
        <v>110</v>
      </c>
      <c r="Q16" s="121" t="n">
        <v>117.5</v>
      </c>
      <c r="R16" s="121" t="n">
        <v>125</v>
      </c>
      <c r="S16" s="121" t="n">
        <v>132.5</v>
      </c>
      <c r="T16" s="121" t="n">
        <v>140</v>
      </c>
      <c r="U16" s="121" t="n">
        <v>147.5</v>
      </c>
      <c r="V16" s="121" t="n">
        <v>155</v>
      </c>
      <c r="W16" s="121" t="n">
        <v>162.5</v>
      </c>
      <c r="X16" s="121" t="n">
        <v>170</v>
      </c>
      <c r="Y16" s="92" t="n">
        <v>177.5</v>
      </c>
      <c r="Z16" s="92" t="n">
        <v>185</v>
      </c>
      <c r="AA16" s="92" t="n">
        <v>192.5</v>
      </c>
      <c r="AB16" s="92" t="n">
        <v>200</v>
      </c>
      <c r="AC16" s="92" t="n">
        <v>207.5</v>
      </c>
      <c r="AD16" s="92" t="n">
        <v>215</v>
      </c>
      <c r="AE16" s="92" t="n">
        <v>222.5</v>
      </c>
      <c r="AF16" s="92" t="n">
        <v>230</v>
      </c>
      <c r="AG16" s="92" t="n">
        <v>237.5</v>
      </c>
      <c r="AH16" s="92" t="n">
        <v>245</v>
      </c>
      <c r="AI16" s="92" t="n">
        <v>252.5</v>
      </c>
      <c r="AJ16" s="92" t="n">
        <v>260</v>
      </c>
      <c r="AK16" s="92" t="n">
        <v>267.5</v>
      </c>
      <c r="AL16" s="92" t="n">
        <v>275</v>
      </c>
      <c r="AM16" s="92" t="n">
        <v>282.5</v>
      </c>
      <c r="AN16" s="92" t="n">
        <v>290</v>
      </c>
      <c r="AO16" s="92" t="n">
        <v>297.5</v>
      </c>
      <c r="AP16" s="92" t="n">
        <v>305</v>
      </c>
    </row>
    <row r="17" ht="15" customHeight="1" s="62">
      <c r="A17" s="68" t="inlineStr">
        <is>
          <t>year-end close (split-adjusted, today's basis, $/sh)  [market cap only -- NOT the buyback reserve]</t>
        </is>
      </c>
      <c r="B17" t="n">
        <v>5</v>
      </c>
      <c r="C17" t="n">
        <v>12.5</v>
      </c>
      <c r="D17" t="n">
        <v>20</v>
      </c>
      <c r="E17" t="n">
        <v>27.5</v>
      </c>
      <c r="F17" t="n">
        <v>35</v>
      </c>
      <c r="G17" t="n">
        <v>42.5</v>
      </c>
      <c r="H17" t="n">
        <v>50</v>
      </c>
      <c r="I17" t="n">
        <v>57.5</v>
      </c>
      <c r="J17" t="n">
        <v>65</v>
      </c>
      <c r="K17" t="n">
        <v>72.5</v>
      </c>
      <c r="L17" t="n">
        <v>80</v>
      </c>
      <c r="M17" t="n">
        <v>87.5</v>
      </c>
      <c r="N17" t="n">
        <v>95</v>
      </c>
      <c r="O17" t="n">
        <v>102.5</v>
      </c>
      <c r="P17" t="n">
        <v>110</v>
      </c>
      <c r="Q17" t="n">
        <v>117.5</v>
      </c>
      <c r="R17" t="n">
        <v>125</v>
      </c>
      <c r="S17" t="n">
        <v>132.5</v>
      </c>
      <c r="T17" t="n">
        <v>140</v>
      </c>
      <c r="U17" t="n">
        <v>147.5</v>
      </c>
      <c r="V17" t="n">
        <v>155</v>
      </c>
      <c r="W17" t="n">
        <v>162.5</v>
      </c>
      <c r="X17" t="n">
        <v>170</v>
      </c>
      <c r="Y17" t="n">
        <v>177.5</v>
      </c>
      <c r="Z17" t="n">
        <v>185</v>
      </c>
      <c r="AA17" t="n">
        <v>192.5</v>
      </c>
      <c r="AB17" t="n">
        <v>200</v>
      </c>
      <c r="AC17" t="n">
        <v>207.5</v>
      </c>
      <c r="AD17" t="n">
        <v>215</v>
      </c>
      <c r="AE17" t="n">
        <v>222.5</v>
      </c>
      <c r="AF17" t="n">
        <v>230</v>
      </c>
      <c r="AG17" t="n">
        <v>237.5</v>
      </c>
      <c r="AH17" t="n">
        <v>245</v>
      </c>
      <c r="AI17" t="n">
        <v>252.5</v>
      </c>
      <c r="AJ17" t="n">
        <v>260</v>
      </c>
      <c r="AK17" t="n">
        <v>267.5</v>
      </c>
      <c r="AL17" t="n">
        <v>275</v>
      </c>
      <c r="AM17" t="n">
        <v>282.5</v>
      </c>
      <c r="AN17" t="n">
        <v>290</v>
      </c>
      <c r="AO17" t="n">
        <v>297.5</v>
      </c>
      <c r="AP17" t="n">
        <v>305</v>
      </c>
    </row>
    <row r="18" ht="15" customHeight="1" s="62">
      <c r="A18" s="65" t="inlineStr">
        <is>
          <t>RATE CONSTRUCTION (real 2026$; 1yr-forward curves)</t>
        </is>
      </c>
    </row>
    <row r="19" ht="15" customHeight="1" s="62">
      <c r="A19" s="64" t="inlineStr">
        <is>
          <t>Treasury nominal par (CMT) &amp; TIPS real par → breakeven infl = nominal−TIPS; 1–4yr infl stub = Cleveland Fed EXPINF (TIPS knots ≥5yr). Company ρD from issued-bond YTW ladder. Refresh each session.</t>
        </is>
      </c>
    </row>
    <row r="20" ht="15" customHeight="1" s="62">
      <c r="A20" s="83" t="inlineStr">
        <is>
          <t>Tenor t</t>
        </is>
      </c>
      <c r="B20" s="93" t="n">
        <v>1</v>
      </c>
      <c r="C20" s="93" t="n">
        <v>2</v>
      </c>
      <c r="D20" s="93" t="n">
        <v>3</v>
      </c>
      <c r="E20" s="93" t="n">
        <v>4</v>
      </c>
      <c r="F20" s="93" t="n">
        <v>5</v>
      </c>
      <c r="G20" s="93" t="n">
        <v>6</v>
      </c>
      <c r="H20" s="93" t="n">
        <v>7</v>
      </c>
      <c r="I20" s="93" t="n">
        <v>8</v>
      </c>
      <c r="J20" s="93" t="n">
        <v>9</v>
      </c>
      <c r="K20" s="93" t="n">
        <v>10</v>
      </c>
      <c r="L20" s="93" t="n">
        <v>11</v>
      </c>
      <c r="M20" s="93" t="n">
        <v>12</v>
      </c>
      <c r="N20" s="93" t="n">
        <v>13</v>
      </c>
      <c r="O20" s="93" t="n">
        <v>14</v>
      </c>
      <c r="P20" s="93" t="n">
        <v>15</v>
      </c>
      <c r="Q20" s="93" t="n">
        <v>16</v>
      </c>
      <c r="R20" s="93" t="n">
        <v>17</v>
      </c>
      <c r="S20" s="93" t="n">
        <v>18</v>
      </c>
      <c r="T20" s="93" t="n">
        <v>19</v>
      </c>
      <c r="U20" s="93" t="n">
        <v>20</v>
      </c>
      <c r="V20" s="93" t="n">
        <v>21</v>
      </c>
      <c r="W20" s="93" t="n">
        <v>22</v>
      </c>
      <c r="X20" s="93" t="n">
        <v>23</v>
      </c>
      <c r="Y20" s="93" t="n">
        <v>24</v>
      </c>
      <c r="Z20" s="93" t="n">
        <v>25</v>
      </c>
      <c r="AA20" s="93" t="n">
        <v>26</v>
      </c>
      <c r="AB20" s="93" t="n">
        <v>27</v>
      </c>
      <c r="AC20" s="93" t="n">
        <v>28</v>
      </c>
      <c r="AD20" s="93" t="n">
        <v>29</v>
      </c>
      <c r="AE20" s="93" t="n">
        <v>30</v>
      </c>
    </row>
    <row r="21" ht="15" customHeight="1" s="62">
      <c r="A21" s="86" t="inlineStr">
        <is>
          <t>Expected inflation — SPOT (breakeven)</t>
        </is>
      </c>
      <c r="B21" s="94" t="n">
        <v>0.029992</v>
      </c>
      <c r="C21" s="94" t="n">
        <v>0.027858</v>
      </c>
      <c r="D21" s="94" t="n">
        <v>0.026246</v>
      </c>
      <c r="E21" s="94" t="n">
        <v>0.025034</v>
      </c>
      <c r="F21" s="94" t="n">
        <v>0.024131</v>
      </c>
      <c r="G21" s="94" t="n">
        <v>0.023465</v>
      </c>
      <c r="H21" s="94" t="n">
        <v>0.022981</v>
      </c>
      <c r="I21" s="94" t="n">
        <v>0.022638</v>
      </c>
      <c r="J21" s="94" t="n">
        <v>0.022402</v>
      </c>
      <c r="K21" s="94" t="n">
        <v>0.022249</v>
      </c>
      <c r="L21" s="94" t="n">
        <v>0.022159</v>
      </c>
      <c r="M21" s="94" t="n">
        <v>0.022117</v>
      </c>
      <c r="N21" s="94" t="n">
        <v>0.022111</v>
      </c>
      <c r="O21" s="94" t="n">
        <v>0.02213</v>
      </c>
      <c r="P21" s="94" t="n">
        <v>0.022168</v>
      </c>
      <c r="Q21" s="94" t="n">
        <v>0.022219</v>
      </c>
      <c r="R21" s="94" t="n">
        <v>0.022279</v>
      </c>
      <c r="S21" s="94" t="n">
        <v>0.022342</v>
      </c>
      <c r="T21" s="94" t="n">
        <v>0.022407</v>
      </c>
      <c r="U21" s="94" t="n">
        <v>0.022471</v>
      </c>
      <c r="V21" s="94" t="n">
        <v>0.022533</v>
      </c>
      <c r="W21" s="94" t="n">
        <v>0.02259</v>
      </c>
      <c r="X21" s="94" t="n">
        <v>0.022642</v>
      </c>
      <c r="Y21" s="94" t="n">
        <v>0.022688</v>
      </c>
      <c r="Z21" s="94" t="n">
        <v>0.022727</v>
      </c>
      <c r="AA21" s="94" t="n">
        <v>0.022759</v>
      </c>
      <c r="AB21" s="94" t="n">
        <v>0.022783</v>
      </c>
      <c r="AC21" s="94" t="n">
        <v>0.022799</v>
      </c>
      <c r="AD21" s="94" t="n">
        <v>0.022807</v>
      </c>
      <c r="AE21" s="94" t="n">
        <v>0.022806</v>
      </c>
    </row>
    <row r="22" ht="15" customHeight="1" s="62">
      <c r="A22" s="86" t="inlineStr">
        <is>
          <t>Expected inflation — 1yr FORWARD  [finrate_infl]</t>
        </is>
      </c>
      <c r="B22" s="95">
        <f>B21</f>
        <v/>
      </c>
      <c r="C22" s="95">
        <f>(1+C21)^C20/(1+B21)^B20-1</f>
        <v/>
      </c>
      <c r="D22" s="95">
        <f>(1+D21)^D20/(1+C21)^C20-1</f>
        <v/>
      </c>
      <c r="E22" s="95">
        <f>(1+E21)^E20/(1+D21)^D20-1</f>
        <v/>
      </c>
      <c r="F22" s="95">
        <f>(1+F21)^F20/(1+E21)^E20-1</f>
        <v/>
      </c>
      <c r="G22" s="95">
        <f>(1+G21)^G20/(1+F21)^F20-1</f>
        <v/>
      </c>
      <c r="H22" s="95">
        <f>(1+H21)^H20/(1+G21)^G20-1</f>
        <v/>
      </c>
      <c r="I22" s="95">
        <f>(1+I21)^I20/(1+H21)^H20-1</f>
        <v/>
      </c>
      <c r="J22" s="95">
        <f>(1+J21)^J20/(1+I21)^I20-1</f>
        <v/>
      </c>
      <c r="K22" s="95">
        <f>(1+K21)^K20/(1+J21)^J20-1</f>
        <v/>
      </c>
      <c r="L22" s="95">
        <f>(1+L21)^L20/(1+K21)^K20-1</f>
        <v/>
      </c>
      <c r="M22" s="95">
        <f>(1+M21)^M20/(1+L21)^L20-1</f>
        <v/>
      </c>
      <c r="N22" s="95">
        <f>(1+N21)^N20/(1+M21)^M20-1</f>
        <v/>
      </c>
      <c r="O22" s="95">
        <f>(1+O21)^O20/(1+N21)^N20-1</f>
        <v/>
      </c>
      <c r="P22" s="95">
        <f>(1+P21)^P20/(1+O21)^O20-1</f>
        <v/>
      </c>
      <c r="Q22" s="95">
        <f>(1+Q21)^Q20/(1+P21)^P20-1</f>
        <v/>
      </c>
      <c r="R22" s="95">
        <f>(1+R21)^R20/(1+Q21)^Q20-1</f>
        <v/>
      </c>
      <c r="S22" s="95">
        <f>(1+S21)^S20/(1+R21)^R20-1</f>
        <v/>
      </c>
      <c r="T22" s="95">
        <f>(1+T21)^T20/(1+S21)^S20-1</f>
        <v/>
      </c>
      <c r="U22" s="95">
        <f>(1+U21)^U20/(1+T21)^T20-1</f>
        <v/>
      </c>
      <c r="V22" s="95">
        <f>(1+V21)^V20/(1+U21)^U20-1</f>
        <v/>
      </c>
      <c r="W22" s="95">
        <f>(1+W21)^W20/(1+V21)^V20-1</f>
        <v/>
      </c>
      <c r="X22" s="95">
        <f>(1+X21)^X20/(1+W21)^W20-1</f>
        <v/>
      </c>
      <c r="Y22" s="95">
        <f>(1+Y21)^Y20/(1+X21)^X20-1</f>
        <v/>
      </c>
      <c r="Z22" s="95">
        <f>(1+Z21)^Z20/(1+Y21)^Y20-1</f>
        <v/>
      </c>
      <c r="AA22" s="95">
        <f>(1+AA21)^AA20/(1+Z21)^Z20-1</f>
        <v/>
      </c>
      <c r="AB22" s="95">
        <f>(1+AB21)^AB20/(1+AA21)^AA20-1</f>
        <v/>
      </c>
      <c r="AC22" s="95">
        <f>(1+AC21)^AC20/(1+AB21)^AB20-1</f>
        <v/>
      </c>
      <c r="AD22" s="95">
        <f>(1+AD21)^AD20/(1+AC21)^AC20-1</f>
        <v/>
      </c>
      <c r="AE22" s="95">
        <f>(1+AE21)^AE20/(1+AD21)^AD20-1</f>
        <v/>
      </c>
    </row>
    <row r="23" ht="15" customHeight="1" s="62">
      <c r="A23" s="86" t="inlineStr">
        <is>
          <t>Real risk-free — SPOT (TIPS)</t>
        </is>
      </c>
      <c r="B23" s="94" t="n">
        <v>0.010253</v>
      </c>
      <c r="C23" s="94" t="n">
        <v>0.013082</v>
      </c>
      <c r="D23" s="94" t="n">
        <v>0.015355</v>
      </c>
      <c r="E23" s="94" t="n">
        <v>0.017195</v>
      </c>
      <c r="F23" s="94" t="n">
        <v>0.018697</v>
      </c>
      <c r="G23" s="94" t="n">
        <v>0.019931</v>
      </c>
      <c r="H23" s="94" t="n">
        <v>0.020954</v>
      </c>
      <c r="I23" s="94" t="n">
        <v>0.021809</v>
      </c>
      <c r="J23" s="94" t="n">
        <v>0.022528</v>
      </c>
      <c r="K23" s="94" t="n">
        <v>0.023138</v>
      </c>
      <c r="L23" s="94" t="n">
        <v>0.023659</v>
      </c>
      <c r="M23" s="94" t="n">
        <v>0.024108</v>
      </c>
      <c r="N23" s="94" t="n">
        <v>0.024497</v>
      </c>
      <c r="O23" s="94" t="n">
        <v>0.024837</v>
      </c>
      <c r="P23" s="94" t="n">
        <v>0.025135</v>
      </c>
      <c r="Q23" s="94" t="n">
        <v>0.025399</v>
      </c>
      <c r="R23" s="94" t="n">
        <v>0.025634</v>
      </c>
      <c r="S23" s="94" t="n">
        <v>0.025843</v>
      </c>
      <c r="T23" s="94" t="n">
        <v>0.026032</v>
      </c>
      <c r="U23" s="94" t="n">
        <v>0.026202</v>
      </c>
      <c r="V23" s="94" t="n">
        <v>0.026356</v>
      </c>
      <c r="W23" s="94" t="n">
        <v>0.026496</v>
      </c>
      <c r="X23" s="94" t="n">
        <v>0.026625</v>
      </c>
      <c r="Y23" s="94" t="n">
        <v>0.026743</v>
      </c>
      <c r="Z23" s="94" t="n">
        <v>0.026851</v>
      </c>
      <c r="AA23" s="94" t="n">
        <v>0.026951</v>
      </c>
      <c r="AB23" s="94" t="n">
        <v>0.027044</v>
      </c>
      <c r="AC23" s="94" t="n">
        <v>0.02713</v>
      </c>
      <c r="AD23" s="94" t="n">
        <v>0.02721</v>
      </c>
      <c r="AE23" s="94" t="n">
        <v>0.027285</v>
      </c>
    </row>
    <row r="24" ht="15" customHeight="1" s="62">
      <c r="A24" s="86" t="inlineStr">
        <is>
          <t>Real risk-free — 1yr FORWARD</t>
        </is>
      </c>
      <c r="B24" s="95">
        <f>B23</f>
        <v/>
      </c>
      <c r="C24" s="95">
        <f>(1+C23)^C20/(1+B23)^B20-1</f>
        <v/>
      </c>
      <c r="D24" s="95">
        <f>(1+D23)^D20/(1+C23)^C20-1</f>
        <v/>
      </c>
      <c r="E24" s="95">
        <f>(1+E23)^E20/(1+D23)^D20-1</f>
        <v/>
      </c>
      <c r="F24" s="95">
        <f>(1+F23)^F20/(1+E23)^E20-1</f>
        <v/>
      </c>
      <c r="G24" s="95">
        <f>(1+G23)^G20/(1+F23)^F20-1</f>
        <v/>
      </c>
      <c r="H24" s="95">
        <f>(1+H23)^H20/(1+G23)^G20-1</f>
        <v/>
      </c>
      <c r="I24" s="95">
        <f>(1+I23)^I20/(1+H23)^H20-1</f>
        <v/>
      </c>
      <c r="J24" s="95">
        <f>(1+J23)^J20/(1+I23)^I20-1</f>
        <v/>
      </c>
      <c r="K24" s="95">
        <f>(1+K23)^K20/(1+J23)^J20-1</f>
        <v/>
      </c>
      <c r="L24" s="95">
        <f>(1+L23)^L20/(1+K23)^K20-1</f>
        <v/>
      </c>
      <c r="M24" s="95">
        <f>(1+M23)^M20/(1+L23)^L20-1</f>
        <v/>
      </c>
      <c r="N24" s="95">
        <f>(1+N23)^N20/(1+M23)^M20-1</f>
        <v/>
      </c>
      <c r="O24" s="95">
        <f>(1+O23)^O20/(1+N23)^N20-1</f>
        <v/>
      </c>
      <c r="P24" s="95">
        <f>(1+P23)^P20/(1+O23)^O20-1</f>
        <v/>
      </c>
      <c r="Q24" s="95">
        <f>(1+Q23)^Q20/(1+P23)^P20-1</f>
        <v/>
      </c>
      <c r="R24" s="95">
        <f>(1+R23)^R20/(1+Q23)^Q20-1</f>
        <v/>
      </c>
      <c r="S24" s="95">
        <f>(1+S23)^S20/(1+R23)^R20-1</f>
        <v/>
      </c>
      <c r="T24" s="95">
        <f>(1+T23)^T20/(1+S23)^S20-1</f>
        <v/>
      </c>
      <c r="U24" s="95">
        <f>(1+U23)^U20/(1+T23)^T20-1</f>
        <v/>
      </c>
      <c r="V24" s="95">
        <f>(1+V23)^V20/(1+U23)^U20-1</f>
        <v/>
      </c>
      <c r="W24" s="95">
        <f>(1+W23)^W20/(1+V23)^V20-1</f>
        <v/>
      </c>
      <c r="X24" s="95">
        <f>(1+X23)^X20/(1+W23)^W20-1</f>
        <v/>
      </c>
      <c r="Y24" s="95">
        <f>(1+Y23)^Y20/(1+X23)^X20-1</f>
        <v/>
      </c>
      <c r="Z24" s="95">
        <f>(1+Z23)^Z20/(1+Y23)^Y20-1</f>
        <v/>
      </c>
      <c r="AA24" s="95">
        <f>(1+AA23)^AA20/(1+Z23)^Z20-1</f>
        <v/>
      </c>
      <c r="AB24" s="95">
        <f>(1+AB23)^AB20/(1+AA23)^AA20-1</f>
        <v/>
      </c>
      <c r="AC24" s="95">
        <f>(1+AC23)^AC20/(1+AB23)^AB20-1</f>
        <v/>
      </c>
      <c r="AD24" s="95">
        <f>(1+AD23)^AD20/(1+AC23)^AC20-1</f>
        <v/>
      </c>
      <c r="AE24" s="95">
        <f>(1+AE23)^AE20/(1+AD23)^AD20-1</f>
        <v/>
      </c>
    </row>
    <row r="25" ht="15" customHeight="1" s="62">
      <c r="A25" s="86" t="inlineStr">
        <is>
          <t>Equity risk premium (real)  [= in_erp; finrate_erp]</t>
        </is>
      </c>
      <c r="B25" s="95">
        <f>in_erp</f>
        <v/>
      </c>
    </row>
    <row r="26" ht="15" customHeight="1" s="62">
      <c r="A26" s="86" t="inlineStr">
        <is>
          <t>COE ρE real fwd = real fwd rf + ERP  [finrate_coe]</t>
        </is>
      </c>
      <c r="B26" s="95">
        <f>IF(cfg_coe_mode="Single",$AE$24+finrate_erp,B24+finrate_erp)</f>
        <v/>
      </c>
      <c r="C26" s="95">
        <f>IF(cfg_coe_mode="Single",$AE$24+finrate_erp,C24+finrate_erp)</f>
        <v/>
      </c>
      <c r="D26" s="95">
        <f>IF(cfg_coe_mode="Single",$AE$24+finrate_erp,D24+finrate_erp)</f>
        <v/>
      </c>
      <c r="E26" s="95">
        <f>IF(cfg_coe_mode="Single",$AE$24+finrate_erp,E24+finrate_erp)</f>
        <v/>
      </c>
      <c r="F26" s="95">
        <f>IF(cfg_coe_mode="Single",$AE$24+finrate_erp,F24+finrate_erp)</f>
        <v/>
      </c>
      <c r="G26" s="95">
        <f>IF(cfg_coe_mode="Single",$AE$24+finrate_erp,G24+finrate_erp)</f>
        <v/>
      </c>
      <c r="H26" s="95">
        <f>IF(cfg_coe_mode="Single",$AE$24+finrate_erp,H24+finrate_erp)</f>
        <v/>
      </c>
      <c r="I26" s="95">
        <f>IF(cfg_coe_mode="Single",$AE$24+finrate_erp,I24+finrate_erp)</f>
        <v/>
      </c>
      <c r="J26" s="95">
        <f>IF(cfg_coe_mode="Single",$AE$24+finrate_erp,J24+finrate_erp)</f>
        <v/>
      </c>
      <c r="K26" s="95">
        <f>IF(cfg_coe_mode="Single",$AE$24+finrate_erp,K24+finrate_erp)</f>
        <v/>
      </c>
      <c r="L26" s="95">
        <f>IF(cfg_coe_mode="Single",$AE$24+finrate_erp,L24+finrate_erp)</f>
        <v/>
      </c>
      <c r="M26" s="95">
        <f>IF(cfg_coe_mode="Single",$AE$24+finrate_erp,M24+finrate_erp)</f>
        <v/>
      </c>
      <c r="N26" s="95">
        <f>IF(cfg_coe_mode="Single",$AE$24+finrate_erp,N24+finrate_erp)</f>
        <v/>
      </c>
      <c r="O26" s="95">
        <f>IF(cfg_coe_mode="Single",$AE$24+finrate_erp,O24+finrate_erp)</f>
        <v/>
      </c>
      <c r="P26" s="95">
        <f>IF(cfg_coe_mode="Single",$AE$24+finrate_erp,P24+finrate_erp)</f>
        <v/>
      </c>
      <c r="Q26" s="95">
        <f>IF(cfg_coe_mode="Single",$AE$24+finrate_erp,Q24+finrate_erp)</f>
        <v/>
      </c>
      <c r="R26" s="95">
        <f>IF(cfg_coe_mode="Single",$AE$24+finrate_erp,R24+finrate_erp)</f>
        <v/>
      </c>
      <c r="S26" s="95">
        <f>IF(cfg_coe_mode="Single",$AE$24+finrate_erp,S24+finrate_erp)</f>
        <v/>
      </c>
      <c r="T26" s="95">
        <f>IF(cfg_coe_mode="Single",$AE$24+finrate_erp,T24+finrate_erp)</f>
        <v/>
      </c>
      <c r="U26" s="95">
        <f>IF(cfg_coe_mode="Single",$AE$24+finrate_erp,U24+finrate_erp)</f>
        <v/>
      </c>
      <c r="V26" s="95">
        <f>IF(cfg_coe_mode="Single",$AE$24+finrate_erp,V24+finrate_erp)</f>
        <v/>
      </c>
      <c r="W26" s="95">
        <f>IF(cfg_coe_mode="Single",$AE$24+finrate_erp,W24+finrate_erp)</f>
        <v/>
      </c>
      <c r="X26" s="95">
        <f>IF(cfg_coe_mode="Single",$AE$24+finrate_erp,X24+finrate_erp)</f>
        <v/>
      </c>
      <c r="Y26" s="95">
        <f>IF(cfg_coe_mode="Single",$AE$24+finrate_erp,Y24+finrate_erp)</f>
        <v/>
      </c>
      <c r="Z26" s="95">
        <f>IF(cfg_coe_mode="Single",$AE$24+finrate_erp,Z24+finrate_erp)</f>
        <v/>
      </c>
      <c r="AA26" s="95">
        <f>IF(cfg_coe_mode="Single",$AE$24+finrate_erp,AA24+finrate_erp)</f>
        <v/>
      </c>
      <c r="AB26" s="95">
        <f>IF(cfg_coe_mode="Single",$AE$24+finrate_erp,AB24+finrate_erp)</f>
        <v/>
      </c>
      <c r="AC26" s="95">
        <f>IF(cfg_coe_mode="Single",$AE$24+finrate_erp,AC24+finrate_erp)</f>
        <v/>
      </c>
      <c r="AD26" s="95">
        <f>IF(cfg_coe_mode="Single",$AE$24+finrate_erp,AD24+finrate_erp)</f>
        <v/>
      </c>
      <c r="AE26" s="95">
        <f>IF(cfg_coe_mode="Single",$AE$24+finrate_erp,AE24+finrate_erp)</f>
        <v/>
      </c>
    </row>
    <row r="27" ht="15" customHeight="1" s="62">
      <c r="A27" s="86" t="inlineStr">
        <is>
          <t>ρD nominal — SPOT (AAPL YTW ladder)</t>
        </is>
      </c>
      <c r="B27" s="94" t="n">
        <v>0.05</v>
      </c>
      <c r="C27" s="94" t="n">
        <v>0.05</v>
      </c>
      <c r="D27" s="94" t="n">
        <v>0.05</v>
      </c>
      <c r="E27" s="94" t="n">
        <v>0.05</v>
      </c>
      <c r="F27" s="94" t="n">
        <v>0.05</v>
      </c>
      <c r="G27" s="94" t="n">
        <v>0.05</v>
      </c>
      <c r="H27" s="94" t="n">
        <v>0.05</v>
      </c>
      <c r="I27" s="94" t="n">
        <v>0.05</v>
      </c>
      <c r="J27" s="94" t="n">
        <v>0.05</v>
      </c>
      <c r="K27" s="94" t="n">
        <v>0.05</v>
      </c>
      <c r="L27" s="94" t="n">
        <v>0.05</v>
      </c>
      <c r="M27" s="94" t="n">
        <v>0.05</v>
      </c>
      <c r="N27" s="94" t="n">
        <v>0.05</v>
      </c>
      <c r="O27" s="94" t="n">
        <v>0.05</v>
      </c>
      <c r="P27" s="94" t="n">
        <v>0.05</v>
      </c>
      <c r="Q27" s="94" t="n">
        <v>0.05</v>
      </c>
      <c r="R27" s="94" t="n">
        <v>0.05</v>
      </c>
      <c r="S27" s="94" t="n">
        <v>0.05</v>
      </c>
      <c r="T27" s="94" t="n">
        <v>0.05</v>
      </c>
      <c r="U27" s="94" t="n">
        <v>0.05</v>
      </c>
      <c r="V27" s="94" t="n">
        <v>0.05</v>
      </c>
      <c r="W27" s="94" t="n">
        <v>0.05</v>
      </c>
      <c r="X27" s="94" t="n">
        <v>0.05</v>
      </c>
      <c r="Y27" s="94" t="n">
        <v>0.05</v>
      </c>
      <c r="Z27" s="94" t="n">
        <v>0.05</v>
      </c>
      <c r="AA27" s="94" t="n">
        <v>0.05</v>
      </c>
      <c r="AB27" s="94" t="n">
        <v>0.05</v>
      </c>
      <c r="AC27" s="94" t="n">
        <v>0.05</v>
      </c>
      <c r="AD27" s="94" t="n">
        <v>0.06325</v>
      </c>
      <c r="AE27" s="94" t="n">
        <v>0.06345000000000001</v>
      </c>
    </row>
    <row r="28" ht="15" customHeight="1" s="62">
      <c r="A28" s="86" t="inlineStr">
        <is>
          <t>ρD nominal — 1yr FORWARD</t>
        </is>
      </c>
      <c r="B28" s="95">
        <f>B27</f>
        <v/>
      </c>
      <c r="C28" s="95">
        <f>(1+C27)^C20/(1+B27)^B20-1</f>
        <v/>
      </c>
      <c r="D28" s="95">
        <f>(1+D27)^D20/(1+C27)^C20-1</f>
        <v/>
      </c>
      <c r="E28" s="95">
        <f>(1+E27)^E20/(1+D27)^D20-1</f>
        <v/>
      </c>
      <c r="F28" s="95">
        <f>(1+F27)^F20/(1+E27)^E20-1</f>
        <v/>
      </c>
      <c r="G28" s="95">
        <f>(1+G27)^G20/(1+F27)^F20-1</f>
        <v/>
      </c>
      <c r="H28" s="95">
        <f>(1+H27)^H20/(1+G27)^G20-1</f>
        <v/>
      </c>
      <c r="I28" s="95">
        <f>(1+I27)^I20/(1+H27)^H20-1</f>
        <v/>
      </c>
      <c r="J28" s="95">
        <f>(1+J27)^J20/(1+I27)^I20-1</f>
        <v/>
      </c>
      <c r="K28" s="95">
        <f>(1+K27)^K20/(1+J27)^J20-1</f>
        <v/>
      </c>
      <c r="L28" s="95">
        <f>(1+L27)^L20/(1+K27)^K20-1</f>
        <v/>
      </c>
      <c r="M28" s="95">
        <f>(1+M27)^M20/(1+L27)^L20-1</f>
        <v/>
      </c>
      <c r="N28" s="95">
        <f>(1+N27)^N20/(1+M27)^M20-1</f>
        <v/>
      </c>
      <c r="O28" s="95">
        <f>(1+O27)^O20/(1+N27)^N20-1</f>
        <v/>
      </c>
      <c r="P28" s="95">
        <f>(1+P27)^P20/(1+O27)^O20-1</f>
        <v/>
      </c>
      <c r="Q28" s="95">
        <f>(1+Q27)^Q20/(1+P27)^P20-1</f>
        <v/>
      </c>
      <c r="R28" s="95">
        <f>(1+R27)^R20/(1+Q27)^Q20-1</f>
        <v/>
      </c>
      <c r="S28" s="95">
        <f>(1+S27)^S20/(1+R27)^R20-1</f>
        <v/>
      </c>
      <c r="T28" s="95">
        <f>(1+T27)^T20/(1+S27)^S20-1</f>
        <v/>
      </c>
      <c r="U28" s="95">
        <f>(1+U27)^U20/(1+T27)^T20-1</f>
        <v/>
      </c>
      <c r="V28" s="95">
        <f>(1+V27)^V20/(1+U27)^U20-1</f>
        <v/>
      </c>
      <c r="W28" s="95">
        <f>(1+W27)^W20/(1+V27)^V20-1</f>
        <v/>
      </c>
      <c r="X28" s="95">
        <f>(1+X27)^X20/(1+W27)^W20-1</f>
        <v/>
      </c>
      <c r="Y28" s="95">
        <f>(1+Y27)^Y20/(1+X27)^X20-1</f>
        <v/>
      </c>
      <c r="Z28" s="95">
        <f>(1+Z27)^Z20/(1+Y27)^Y20-1</f>
        <v/>
      </c>
      <c r="AA28" s="95">
        <f>(1+AA27)^AA20/(1+Z27)^Z20-1</f>
        <v/>
      </c>
      <c r="AB28" s="95">
        <f>(1+AB27)^AB20/(1+AA27)^AA20-1</f>
        <v/>
      </c>
      <c r="AC28" s="95">
        <f>(1+AC27)^AC20/(1+AB27)^AB20-1</f>
        <v/>
      </c>
      <c r="AD28" s="95">
        <f>(1+AD27)^AD20/(1+AC27)^AC20-1</f>
        <v/>
      </c>
      <c r="AE28" s="95">
        <f>(1+AE27)^AE20/(1+AD27)^AD20-1</f>
        <v/>
      </c>
    </row>
    <row r="29" ht="15" customHeight="1" s="62">
      <c r="A29" s="86" t="inlineStr">
        <is>
          <t>ρD real — 1yr FORWARD  [finrate_cod]</t>
        </is>
      </c>
      <c r="B29" s="95">
        <f>IF(cfg_rd_mode="Single",(1+$AE$28)/(1+$AE$22)-1,(1+B28)/(1+B22)-1)</f>
        <v/>
      </c>
      <c r="C29" s="95">
        <f>IF(cfg_rd_mode="Single",(1+$AE$28)/(1+$AE$22)-1,(1+C28)/(1+C22)-1)</f>
        <v/>
      </c>
      <c r="D29" s="95">
        <f>IF(cfg_rd_mode="Single",(1+$AE$28)/(1+$AE$22)-1,(1+D28)/(1+D22)-1)</f>
        <v/>
      </c>
      <c r="E29" s="95">
        <f>IF(cfg_rd_mode="Single",(1+$AE$28)/(1+$AE$22)-1,(1+E28)/(1+E22)-1)</f>
        <v/>
      </c>
      <c r="F29" s="95">
        <f>IF(cfg_rd_mode="Single",(1+$AE$28)/(1+$AE$22)-1,(1+F28)/(1+F22)-1)</f>
        <v/>
      </c>
      <c r="G29" s="95">
        <f>IF(cfg_rd_mode="Single",(1+$AE$28)/(1+$AE$22)-1,(1+G28)/(1+G22)-1)</f>
        <v/>
      </c>
      <c r="H29" s="95">
        <f>IF(cfg_rd_mode="Single",(1+$AE$28)/(1+$AE$22)-1,(1+H28)/(1+H22)-1)</f>
        <v/>
      </c>
      <c r="I29" s="95">
        <f>IF(cfg_rd_mode="Single",(1+$AE$28)/(1+$AE$22)-1,(1+I28)/(1+I22)-1)</f>
        <v/>
      </c>
      <c r="J29" s="95">
        <f>IF(cfg_rd_mode="Single",(1+$AE$28)/(1+$AE$22)-1,(1+J28)/(1+J22)-1)</f>
        <v/>
      </c>
      <c r="K29" s="95">
        <f>IF(cfg_rd_mode="Single",(1+$AE$28)/(1+$AE$22)-1,(1+K28)/(1+K22)-1)</f>
        <v/>
      </c>
      <c r="L29" s="95">
        <f>IF(cfg_rd_mode="Single",(1+$AE$28)/(1+$AE$22)-1,(1+L28)/(1+L22)-1)</f>
        <v/>
      </c>
      <c r="M29" s="95">
        <f>IF(cfg_rd_mode="Single",(1+$AE$28)/(1+$AE$22)-1,(1+M28)/(1+M22)-1)</f>
        <v/>
      </c>
      <c r="N29" s="95">
        <f>IF(cfg_rd_mode="Single",(1+$AE$28)/(1+$AE$22)-1,(1+N28)/(1+N22)-1)</f>
        <v/>
      </c>
      <c r="O29" s="95">
        <f>IF(cfg_rd_mode="Single",(1+$AE$28)/(1+$AE$22)-1,(1+O28)/(1+O22)-1)</f>
        <v/>
      </c>
      <c r="P29" s="95">
        <f>IF(cfg_rd_mode="Single",(1+$AE$28)/(1+$AE$22)-1,(1+P28)/(1+P22)-1)</f>
        <v/>
      </c>
      <c r="Q29" s="95">
        <f>IF(cfg_rd_mode="Single",(1+$AE$28)/(1+$AE$22)-1,(1+Q28)/(1+Q22)-1)</f>
        <v/>
      </c>
      <c r="R29" s="95">
        <f>IF(cfg_rd_mode="Single",(1+$AE$28)/(1+$AE$22)-1,(1+R28)/(1+R22)-1)</f>
        <v/>
      </c>
      <c r="S29" s="95">
        <f>IF(cfg_rd_mode="Single",(1+$AE$28)/(1+$AE$22)-1,(1+S28)/(1+S22)-1)</f>
        <v/>
      </c>
      <c r="T29" s="95">
        <f>IF(cfg_rd_mode="Single",(1+$AE$28)/(1+$AE$22)-1,(1+T28)/(1+T22)-1)</f>
        <v/>
      </c>
      <c r="U29" s="95">
        <f>IF(cfg_rd_mode="Single",(1+$AE$28)/(1+$AE$22)-1,(1+U28)/(1+U22)-1)</f>
        <v/>
      </c>
      <c r="V29" s="95">
        <f>IF(cfg_rd_mode="Single",(1+$AE$28)/(1+$AE$22)-1,(1+V28)/(1+V22)-1)</f>
        <v/>
      </c>
      <c r="W29" s="95">
        <f>IF(cfg_rd_mode="Single",(1+$AE$28)/(1+$AE$22)-1,(1+W28)/(1+W22)-1)</f>
        <v/>
      </c>
      <c r="X29" s="95">
        <f>IF(cfg_rd_mode="Single",(1+$AE$28)/(1+$AE$22)-1,(1+X28)/(1+X22)-1)</f>
        <v/>
      </c>
      <c r="Y29" s="95">
        <f>IF(cfg_rd_mode="Single",(1+$AE$28)/(1+$AE$22)-1,(1+Y28)/(1+Y22)-1)</f>
        <v/>
      </c>
      <c r="Z29" s="95">
        <f>IF(cfg_rd_mode="Single",(1+$AE$28)/(1+$AE$22)-1,(1+Z28)/(1+Z22)-1)</f>
        <v/>
      </c>
      <c r="AA29" s="95">
        <f>IF(cfg_rd_mode="Single",(1+$AE$28)/(1+$AE$22)-1,(1+AA28)/(1+AA22)-1)</f>
        <v/>
      </c>
      <c r="AB29" s="95">
        <f>IF(cfg_rd_mode="Single",(1+$AE$28)/(1+$AE$22)-1,(1+AB28)/(1+AB22)-1)</f>
        <v/>
      </c>
      <c r="AC29" s="95">
        <f>IF(cfg_rd_mode="Single",(1+$AE$28)/(1+$AE$22)-1,(1+AC28)/(1+AC22)-1)</f>
        <v/>
      </c>
      <c r="AD29" s="95">
        <f>IF(cfg_rd_mode="Single",(1+$AE$28)/(1+$AE$22)-1,(1+AD28)/(1+AD22)-1)</f>
        <v/>
      </c>
      <c r="AE29" s="95">
        <f>IF(cfg_rd_mode="Single",(1+$AE$28)/(1+$AE$22)-1,(1+AE28)/(1+AE22)-1)</f>
        <v/>
      </c>
    </row>
    <row r="30" ht="15" customHeight="1" s="62">
      <c r="A30" s="68" t="inlineStr">
        <is>
          <t>memo: implied credit spread (nom spot)</t>
        </is>
      </c>
      <c r="B30" s="96">
        <f>B27-(B23+B21)</f>
        <v/>
      </c>
      <c r="C30" s="96">
        <f>C27-(C23+C21)</f>
        <v/>
      </c>
      <c r="D30" s="96">
        <f>D27-(D23+D21)</f>
        <v/>
      </c>
      <c r="E30" s="96">
        <f>E27-(E23+E21)</f>
        <v/>
      </c>
      <c r="F30" s="96">
        <f>F27-(F23+F21)</f>
        <v/>
      </c>
      <c r="G30" s="96">
        <f>G27-(G23+G21)</f>
        <v/>
      </c>
      <c r="H30" s="96">
        <f>H27-(H23+H21)</f>
        <v/>
      </c>
      <c r="I30" s="96">
        <f>I27-(I23+I21)</f>
        <v/>
      </c>
      <c r="J30" s="96">
        <f>J27-(J23+J21)</f>
        <v/>
      </c>
      <c r="K30" s="96">
        <f>K27-(K23+K21)</f>
        <v/>
      </c>
      <c r="L30" s="96">
        <f>L27-(L23+L21)</f>
        <v/>
      </c>
      <c r="M30" s="96">
        <f>M27-(M23+M21)</f>
        <v/>
      </c>
      <c r="N30" s="96">
        <f>N27-(N23+N21)</f>
        <v/>
      </c>
      <c r="O30" s="96">
        <f>O27-(O23+O21)</f>
        <v/>
      </c>
      <c r="P30" s="96">
        <f>P27-(P23+P21)</f>
        <v/>
      </c>
      <c r="Q30" s="96">
        <f>Q27-(Q23+Q21)</f>
        <v/>
      </c>
      <c r="R30" s="96">
        <f>R27-(R23+R21)</f>
        <v/>
      </c>
      <c r="S30" s="96">
        <f>S27-(S23+S21)</f>
        <v/>
      </c>
      <c r="T30" s="96">
        <f>T27-(T23+T21)</f>
        <v/>
      </c>
      <c r="U30" s="96">
        <f>U27-(U23+U21)</f>
        <v/>
      </c>
      <c r="V30" s="96">
        <f>V27-(V23+V21)</f>
        <v/>
      </c>
      <c r="W30" s="96">
        <f>W27-(W23+W21)</f>
        <v/>
      </c>
      <c r="X30" s="96">
        <f>X27-(X23+X21)</f>
        <v/>
      </c>
      <c r="Y30" s="96">
        <f>Y27-(Y23+Y21)</f>
        <v/>
      </c>
      <c r="Z30" s="96">
        <f>Z27-(Z23+Z21)</f>
        <v/>
      </c>
      <c r="AA30" s="96">
        <f>AA27-(AA23+AA21)</f>
        <v/>
      </c>
      <c r="AB30" s="96">
        <f>AB27-(AB23+AB21)</f>
        <v/>
      </c>
      <c r="AC30" s="96">
        <f>AC27-(AC23+AC21)</f>
        <v/>
      </c>
      <c r="AD30" s="96">
        <f>AD27-(AD23+AD21)</f>
        <v/>
      </c>
      <c r="AE30" s="96">
        <f>AE27-(AE23+AE21)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S6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61" min="1" max="1"/>
    <col width="16" customWidth="1" style="61" min="2" max="9"/>
  </cols>
  <sheetData>
    <row r="1" ht="15" customHeight="1" s="62">
      <c r="A1" s="63" t="inlineStr">
        <is>
          <t>CAP ENGINE — economic restatement (PP&amp;E vintage · R&amp;D capitalization)</t>
        </is>
      </c>
    </row>
    <row r="2" ht="15" customHeight="1" s="62">
      <c r="A2" s="64" t="inlineStr">
        <is>
          <t>PP&amp;E vintages deflated on the BEA nonresidential fixed-investment index (capital-goods prices), gated by age&lt;L, straight-line composite. L=in_ppe_life, anchor=in_anchor_year.</t>
        </is>
      </c>
    </row>
    <row r="4" ht="15" customHeight="1" s="62">
      <c r="A4" s="65" t="inlineStr">
        <is>
          <t>PP&amp;E VINTAGE RESTATEMENT</t>
        </is>
      </c>
    </row>
    <row r="6" ht="15" customHeight="1" s="62">
      <c r="A6" s="83" t="inlineStr">
        <is>
          <t>Vintage yr</t>
        </is>
      </c>
      <c r="B6" s="97" t="inlineStr">
        <is>
          <t>Nominal capex</t>
        </is>
      </c>
      <c r="C6" s="97" t="inlineStr">
        <is>
          <t>Deflator(BEA)→2026$</t>
        </is>
      </c>
      <c r="D6" s="97" t="inlineStr">
        <is>
          <t>Real capex 2026$</t>
        </is>
      </c>
      <c r="E6" s="97" t="inlineStr">
        <is>
          <t>Age = A−v</t>
        </is>
      </c>
      <c r="F6" s="97" t="inlineStr">
        <is>
          <t>Live (age&lt;L)</t>
        </is>
      </c>
      <c r="G6" s="97" t="inlineStr">
        <is>
          <t>Remaining (L−age)/L</t>
        </is>
      </c>
      <c r="H6" s="97" t="inlineStr">
        <is>
          <t>Real gross contrib</t>
        </is>
      </c>
      <c r="I6" s="97" t="inlineStr">
        <is>
          <t>Real net = real×rem</t>
        </is>
      </c>
      <c r="J6" s="97" t="inlineStr">
        <is>
          <t>v (num)</t>
        </is>
      </c>
    </row>
    <row r="7" ht="15" customHeight="1" s="62">
      <c r="A7" s="98" t="inlineStr">
        <is>
          <t>1989</t>
        </is>
      </c>
      <c r="B7" s="73">
        <f>-INDEX(rep_capex,MATCH(A7,rep_years_cf,0))</f>
        <v/>
      </c>
      <c r="C7" s="91">
        <f>INDEX(md_deflator_ppe,MATCH(A7,md_years_bea,0))</f>
        <v/>
      </c>
      <c r="D7" s="73">
        <f>B7*C7</f>
        <v/>
      </c>
      <c r="E7" s="66">
        <f>in_anchor_year-A7</f>
        <v/>
      </c>
      <c r="F7" s="66">
        <f>IF(E7&lt;in_ppe_life,1,0)</f>
        <v/>
      </c>
      <c r="G7" s="99">
        <f>MAX(0,(in_ppe_life-E7)/in_ppe_life)</f>
        <v/>
      </c>
      <c r="H7" s="73">
        <f>D7*F7</f>
        <v/>
      </c>
      <c r="I7" s="73">
        <f>D7*G7</f>
        <v/>
      </c>
      <c r="J7" s="66">
        <f>VALUE(A7)</f>
        <v/>
      </c>
    </row>
    <row r="8" ht="15" customHeight="1" s="62">
      <c r="A8" s="98" t="inlineStr">
        <is>
          <t>1990</t>
        </is>
      </c>
      <c r="B8" s="73">
        <f>-INDEX(rep_capex,MATCH(A8,rep_years_cf,0))</f>
        <v/>
      </c>
      <c r="C8" s="91">
        <f>INDEX(md_deflator_ppe,MATCH(A8,md_years_bea,0))</f>
        <v/>
      </c>
      <c r="D8" s="73">
        <f>B8*C8</f>
        <v/>
      </c>
      <c r="E8" s="66">
        <f>in_anchor_year-A8</f>
        <v/>
      </c>
      <c r="F8" s="66">
        <f>IF(E8&lt;in_ppe_life,1,0)</f>
        <v/>
      </c>
      <c r="G8" s="99">
        <f>MAX(0,(in_ppe_life-E8)/in_ppe_life)</f>
        <v/>
      </c>
      <c r="H8" s="73">
        <f>D8*F8</f>
        <v/>
      </c>
      <c r="I8" s="73">
        <f>D8*G8</f>
        <v/>
      </c>
      <c r="J8" s="66">
        <f>VALUE(A8)</f>
        <v/>
      </c>
    </row>
    <row r="9" ht="15" customHeight="1" s="62">
      <c r="A9" s="98" t="inlineStr">
        <is>
          <t>1991</t>
        </is>
      </c>
      <c r="B9" s="73">
        <f>-INDEX(rep_capex,MATCH(A9,rep_years_cf,0))</f>
        <v/>
      </c>
      <c r="C9" s="91">
        <f>INDEX(md_deflator_ppe,MATCH(A9,md_years_bea,0))</f>
        <v/>
      </c>
      <c r="D9" s="73">
        <f>B9*C9</f>
        <v/>
      </c>
      <c r="E9" s="66">
        <f>in_anchor_year-A9</f>
        <v/>
      </c>
      <c r="F9" s="66">
        <f>IF(E9&lt;in_ppe_life,1,0)</f>
        <v/>
      </c>
      <c r="G9" s="99">
        <f>MAX(0,(in_ppe_life-E9)/in_ppe_life)</f>
        <v/>
      </c>
      <c r="H9" s="73">
        <f>D9*F9</f>
        <v/>
      </c>
      <c r="I9" s="73">
        <f>D9*G9</f>
        <v/>
      </c>
      <c r="J9" s="66">
        <f>VALUE(A9)</f>
        <v/>
      </c>
    </row>
    <row r="10" ht="15" customHeight="1" s="62">
      <c r="A10" s="98" t="inlineStr">
        <is>
          <t>1992</t>
        </is>
      </c>
      <c r="B10" s="73">
        <f>-INDEX(rep_capex,MATCH(A10,rep_years_cf,0))</f>
        <v/>
      </c>
      <c r="C10" s="91">
        <f>INDEX(md_deflator_ppe,MATCH(A10,md_years_bea,0))</f>
        <v/>
      </c>
      <c r="D10" s="73">
        <f>B10*C10</f>
        <v/>
      </c>
      <c r="E10" s="66">
        <f>in_anchor_year-A10</f>
        <v/>
      </c>
      <c r="F10" s="66">
        <f>IF(E10&lt;in_ppe_life,1,0)</f>
        <v/>
      </c>
      <c r="G10" s="99">
        <f>MAX(0,(in_ppe_life-E10)/in_ppe_life)</f>
        <v/>
      </c>
      <c r="H10" s="73">
        <f>D10*F10</f>
        <v/>
      </c>
      <c r="I10" s="73">
        <f>D10*G10</f>
        <v/>
      </c>
      <c r="J10" s="66">
        <f>VALUE(A10)</f>
        <v/>
      </c>
    </row>
    <row r="11" ht="15" customHeight="1" s="62">
      <c r="A11" s="98" t="inlineStr">
        <is>
          <t>1993</t>
        </is>
      </c>
      <c r="B11" s="73">
        <f>-INDEX(rep_capex,MATCH(A11,rep_years_cf,0))</f>
        <v/>
      </c>
      <c r="C11" s="91">
        <f>INDEX(md_deflator_ppe,MATCH(A11,md_years_bea,0))</f>
        <v/>
      </c>
      <c r="D11" s="73">
        <f>B11*C11</f>
        <v/>
      </c>
      <c r="E11" s="66">
        <f>in_anchor_year-A11</f>
        <v/>
      </c>
      <c r="F11" s="66">
        <f>IF(E11&lt;in_ppe_life,1,0)</f>
        <v/>
      </c>
      <c r="G11" s="99">
        <f>MAX(0,(in_ppe_life-E11)/in_ppe_life)</f>
        <v/>
      </c>
      <c r="H11" s="73">
        <f>D11*F11</f>
        <v/>
      </c>
      <c r="I11" s="73">
        <f>D11*G11</f>
        <v/>
      </c>
      <c r="J11" s="66">
        <f>VALUE(A11)</f>
        <v/>
      </c>
    </row>
    <row r="12" ht="15" customHeight="1" s="62">
      <c r="A12" s="98" t="inlineStr">
        <is>
          <t>1994</t>
        </is>
      </c>
      <c r="B12" s="73">
        <f>-INDEX(rep_capex,MATCH(A12,rep_years_cf,0))</f>
        <v/>
      </c>
      <c r="C12" s="91">
        <f>INDEX(md_deflator_ppe,MATCH(A12,md_years_bea,0))</f>
        <v/>
      </c>
      <c r="D12" s="73">
        <f>B12*C12</f>
        <v/>
      </c>
      <c r="E12" s="66">
        <f>in_anchor_year-A12</f>
        <v/>
      </c>
      <c r="F12" s="66">
        <f>IF(E12&lt;in_ppe_life,1,0)</f>
        <v/>
      </c>
      <c r="G12" s="99">
        <f>MAX(0,(in_ppe_life-E12)/in_ppe_life)</f>
        <v/>
      </c>
      <c r="H12" s="73">
        <f>D12*F12</f>
        <v/>
      </c>
      <c r="I12" s="73">
        <f>D12*G12</f>
        <v/>
      </c>
      <c r="J12" s="66">
        <f>VALUE(A12)</f>
        <v/>
      </c>
    </row>
    <row r="13" ht="15" customHeight="1" s="62">
      <c r="A13" s="98" t="inlineStr">
        <is>
          <t>1995</t>
        </is>
      </c>
      <c r="B13" s="73">
        <f>-INDEX(rep_capex,MATCH(A13,rep_years_cf,0))</f>
        <v/>
      </c>
      <c r="C13" s="91">
        <f>INDEX(md_deflator_ppe,MATCH(A13,md_years_bea,0))</f>
        <v/>
      </c>
      <c r="D13" s="73">
        <f>B13*C13</f>
        <v/>
      </c>
      <c r="E13" s="66">
        <f>in_anchor_year-A13</f>
        <v/>
      </c>
      <c r="F13" s="66">
        <f>IF(E13&lt;in_ppe_life,1,0)</f>
        <v/>
      </c>
      <c r="G13" s="99">
        <f>MAX(0,(in_ppe_life-E13)/in_ppe_life)</f>
        <v/>
      </c>
      <c r="H13" s="73">
        <f>D13*F13</f>
        <v/>
      </c>
      <c r="I13" s="73">
        <f>D13*G13</f>
        <v/>
      </c>
      <c r="J13" s="66">
        <f>VALUE(A13)</f>
        <v/>
      </c>
    </row>
    <row r="14" ht="15" customHeight="1" s="62">
      <c r="A14" s="98" t="inlineStr">
        <is>
          <t>1996</t>
        </is>
      </c>
      <c r="B14" s="73">
        <f>-INDEX(rep_capex,MATCH(A14,rep_years_cf,0))</f>
        <v/>
      </c>
      <c r="C14" s="91">
        <f>INDEX(md_deflator_ppe,MATCH(A14,md_years_bea,0))</f>
        <v/>
      </c>
      <c r="D14" s="73">
        <f>B14*C14</f>
        <v/>
      </c>
      <c r="E14" s="66">
        <f>in_anchor_year-A14</f>
        <v/>
      </c>
      <c r="F14" s="66">
        <f>IF(E14&lt;in_ppe_life,1,0)</f>
        <v/>
      </c>
      <c r="G14" s="99">
        <f>MAX(0,(in_ppe_life-E14)/in_ppe_life)</f>
        <v/>
      </c>
      <c r="H14" s="73">
        <f>D14*F14</f>
        <v/>
      </c>
      <c r="I14" s="73">
        <f>D14*G14</f>
        <v/>
      </c>
      <c r="J14" s="66">
        <f>VALUE(A14)</f>
        <v/>
      </c>
    </row>
    <row r="15" ht="15" customHeight="1" s="62">
      <c r="A15" s="98" t="inlineStr">
        <is>
          <t>1997</t>
        </is>
      </c>
      <c r="B15" s="73">
        <f>-INDEX(rep_capex,MATCH(A15,rep_years_cf,0))</f>
        <v/>
      </c>
      <c r="C15" s="91">
        <f>INDEX(md_deflator_ppe,MATCH(A15,md_years_bea,0))</f>
        <v/>
      </c>
      <c r="D15" s="73">
        <f>B15*C15</f>
        <v/>
      </c>
      <c r="E15" s="66">
        <f>in_anchor_year-A15</f>
        <v/>
      </c>
      <c r="F15" s="66">
        <f>IF(E15&lt;in_ppe_life,1,0)</f>
        <v/>
      </c>
      <c r="G15" s="99">
        <f>MAX(0,(in_ppe_life-E15)/in_ppe_life)</f>
        <v/>
      </c>
      <c r="H15" s="73">
        <f>D15*F15</f>
        <v/>
      </c>
      <c r="I15" s="73">
        <f>D15*G15</f>
        <v/>
      </c>
      <c r="J15" s="66">
        <f>VALUE(A15)</f>
        <v/>
      </c>
    </row>
    <row r="16" ht="15" customHeight="1" s="62">
      <c r="A16" s="98" t="inlineStr">
        <is>
          <t>1998</t>
        </is>
      </c>
      <c r="B16" s="73">
        <f>-INDEX(rep_capex,MATCH(A16,rep_years_cf,0))</f>
        <v/>
      </c>
      <c r="C16" s="91">
        <f>INDEX(md_deflator_ppe,MATCH(A16,md_years_bea,0))</f>
        <v/>
      </c>
      <c r="D16" s="73">
        <f>B16*C16</f>
        <v/>
      </c>
      <c r="E16" s="66">
        <f>in_anchor_year-A16</f>
        <v/>
      </c>
      <c r="F16" s="66">
        <f>IF(E16&lt;in_ppe_life,1,0)</f>
        <v/>
      </c>
      <c r="G16" s="99">
        <f>MAX(0,(in_ppe_life-E16)/in_ppe_life)</f>
        <v/>
      </c>
      <c r="H16" s="73">
        <f>D16*F16</f>
        <v/>
      </c>
      <c r="I16" s="73">
        <f>D16*G16</f>
        <v/>
      </c>
      <c r="J16" s="66">
        <f>VALUE(A16)</f>
        <v/>
      </c>
    </row>
    <row r="17" ht="15" customHeight="1" s="62">
      <c r="A17" s="98" t="inlineStr">
        <is>
          <t>1999</t>
        </is>
      </c>
      <c r="B17" s="73">
        <f>-INDEX(rep_capex,MATCH(A17,rep_years_cf,0))</f>
        <v/>
      </c>
      <c r="C17" s="91">
        <f>INDEX(md_deflator_ppe,MATCH(A17,md_years_bea,0))</f>
        <v/>
      </c>
      <c r="D17" s="73">
        <f>B17*C17</f>
        <v/>
      </c>
      <c r="E17" s="66">
        <f>in_anchor_year-A17</f>
        <v/>
      </c>
      <c r="F17" s="66">
        <f>IF(E17&lt;in_ppe_life,1,0)</f>
        <v/>
      </c>
      <c r="G17" s="99">
        <f>MAX(0,(in_ppe_life-E17)/in_ppe_life)</f>
        <v/>
      </c>
      <c r="H17" s="73">
        <f>D17*F17</f>
        <v/>
      </c>
      <c r="I17" s="73">
        <f>D17*G17</f>
        <v/>
      </c>
      <c r="J17" s="66">
        <f>VALUE(A17)</f>
        <v/>
      </c>
    </row>
    <row r="18" ht="15" customHeight="1" s="62">
      <c r="A18" s="98" t="inlineStr">
        <is>
          <t>2000</t>
        </is>
      </c>
      <c r="B18" s="73">
        <f>-INDEX(rep_capex,MATCH(A18,rep_years_cf,0))</f>
        <v/>
      </c>
      <c r="C18" s="91">
        <f>INDEX(md_deflator_ppe,MATCH(A18,md_years_bea,0))</f>
        <v/>
      </c>
      <c r="D18" s="73">
        <f>B18*C18</f>
        <v/>
      </c>
      <c r="E18" s="66">
        <f>in_anchor_year-A18</f>
        <v/>
      </c>
      <c r="F18" s="66">
        <f>IF(E18&lt;in_ppe_life,1,0)</f>
        <v/>
      </c>
      <c r="G18" s="99">
        <f>MAX(0,(in_ppe_life-E18)/in_ppe_life)</f>
        <v/>
      </c>
      <c r="H18" s="73">
        <f>D18*F18</f>
        <v/>
      </c>
      <c r="I18" s="73">
        <f>D18*G18</f>
        <v/>
      </c>
      <c r="J18" s="66">
        <f>VALUE(A18)</f>
        <v/>
      </c>
    </row>
    <row r="19" ht="15" customHeight="1" s="62">
      <c r="A19" s="98" t="inlineStr">
        <is>
          <t>2001</t>
        </is>
      </c>
      <c r="B19" s="73">
        <f>-INDEX(rep_capex,MATCH(A19,rep_years_cf,0))</f>
        <v/>
      </c>
      <c r="C19" s="91">
        <f>INDEX(md_deflator_ppe,MATCH(A19,md_years_bea,0))</f>
        <v/>
      </c>
      <c r="D19" s="73">
        <f>B19*C19</f>
        <v/>
      </c>
      <c r="E19" s="66">
        <f>in_anchor_year-A19</f>
        <v/>
      </c>
      <c r="F19" s="66">
        <f>IF(E19&lt;in_ppe_life,1,0)</f>
        <v/>
      </c>
      <c r="G19" s="99">
        <f>MAX(0,(in_ppe_life-E19)/in_ppe_life)</f>
        <v/>
      </c>
      <c r="H19" s="73">
        <f>D19*F19</f>
        <v/>
      </c>
      <c r="I19" s="73">
        <f>D19*G19</f>
        <v/>
      </c>
      <c r="J19" s="66">
        <f>VALUE(A19)</f>
        <v/>
      </c>
    </row>
    <row r="20" ht="15" customHeight="1" s="62">
      <c r="A20" s="98" t="inlineStr">
        <is>
          <t>2002</t>
        </is>
      </c>
      <c r="B20" s="73">
        <f>-INDEX(rep_capex,MATCH(A20,rep_years_cf,0))</f>
        <v/>
      </c>
      <c r="C20" s="91">
        <f>INDEX(md_deflator_ppe,MATCH(A20,md_years_bea,0))</f>
        <v/>
      </c>
      <c r="D20" s="73">
        <f>B20*C20</f>
        <v/>
      </c>
      <c r="E20" s="66">
        <f>in_anchor_year-A20</f>
        <v/>
      </c>
      <c r="F20" s="66">
        <f>IF(E20&lt;in_ppe_life,1,0)</f>
        <v/>
      </c>
      <c r="G20" s="99">
        <f>MAX(0,(in_ppe_life-E20)/in_ppe_life)</f>
        <v/>
      </c>
      <c r="H20" s="73">
        <f>D20*F20</f>
        <v/>
      </c>
      <c r="I20" s="73">
        <f>D20*G20</f>
        <v/>
      </c>
      <c r="J20" s="66">
        <f>VALUE(A20)</f>
        <v/>
      </c>
    </row>
    <row r="21" ht="15" customHeight="1" s="62">
      <c r="A21" s="98" t="inlineStr">
        <is>
          <t>2003</t>
        </is>
      </c>
      <c r="B21" s="73">
        <f>-INDEX(rep_capex,MATCH(A21,rep_years_cf,0))</f>
        <v/>
      </c>
      <c r="C21" s="91">
        <f>INDEX(md_deflator_ppe,MATCH(A21,md_years_bea,0))</f>
        <v/>
      </c>
      <c r="D21" s="73">
        <f>B21*C21</f>
        <v/>
      </c>
      <c r="E21" s="66">
        <f>in_anchor_year-A21</f>
        <v/>
      </c>
      <c r="F21" s="66">
        <f>IF(E21&lt;in_ppe_life,1,0)</f>
        <v/>
      </c>
      <c r="G21" s="99">
        <f>MAX(0,(in_ppe_life-E21)/in_ppe_life)</f>
        <v/>
      </c>
      <c r="H21" s="73">
        <f>D21*F21</f>
        <v/>
      </c>
      <c r="I21" s="73">
        <f>D21*G21</f>
        <v/>
      </c>
      <c r="J21" s="66">
        <f>VALUE(A21)</f>
        <v/>
      </c>
    </row>
    <row r="22" ht="15" customHeight="1" s="62">
      <c r="A22" s="98" t="inlineStr">
        <is>
          <t>2004</t>
        </is>
      </c>
      <c r="B22" s="73">
        <f>-INDEX(rep_capex,MATCH(A22,rep_years_cf,0))</f>
        <v/>
      </c>
      <c r="C22" s="91">
        <f>INDEX(md_deflator_ppe,MATCH(A22,md_years_bea,0))</f>
        <v/>
      </c>
      <c r="D22" s="73">
        <f>B22*C22</f>
        <v/>
      </c>
      <c r="E22" s="66">
        <f>in_anchor_year-A22</f>
        <v/>
      </c>
      <c r="F22" s="66">
        <f>IF(E22&lt;in_ppe_life,1,0)</f>
        <v/>
      </c>
      <c r="G22" s="99">
        <f>MAX(0,(in_ppe_life-E22)/in_ppe_life)</f>
        <v/>
      </c>
      <c r="H22" s="73">
        <f>D22*F22</f>
        <v/>
      </c>
      <c r="I22" s="73">
        <f>D22*G22</f>
        <v/>
      </c>
      <c r="J22" s="66">
        <f>VALUE(A22)</f>
        <v/>
      </c>
    </row>
    <row r="23" ht="15" customHeight="1" s="62">
      <c r="A23" s="98" t="inlineStr">
        <is>
          <t>2005</t>
        </is>
      </c>
      <c r="B23" s="73">
        <f>-INDEX(rep_capex,MATCH(A23,rep_years_cf,0))</f>
        <v/>
      </c>
      <c r="C23" s="91">
        <f>INDEX(md_deflator_ppe,MATCH(A23,md_years_bea,0))</f>
        <v/>
      </c>
      <c r="D23" s="73">
        <f>B23*C23</f>
        <v/>
      </c>
      <c r="E23" s="66">
        <f>in_anchor_year-A23</f>
        <v/>
      </c>
      <c r="F23" s="66">
        <f>IF(E23&lt;in_ppe_life,1,0)</f>
        <v/>
      </c>
      <c r="G23" s="99">
        <f>MAX(0,(in_ppe_life-E23)/in_ppe_life)</f>
        <v/>
      </c>
      <c r="H23" s="73">
        <f>D23*F23</f>
        <v/>
      </c>
      <c r="I23" s="73">
        <f>D23*G23</f>
        <v/>
      </c>
      <c r="J23" s="66">
        <f>VALUE(A23)</f>
        <v/>
      </c>
    </row>
    <row r="24" ht="15" customHeight="1" s="62">
      <c r="A24" s="98" t="inlineStr">
        <is>
          <t>2006</t>
        </is>
      </c>
      <c r="B24" s="73">
        <f>-INDEX(rep_capex,MATCH(A24,rep_years_cf,0))</f>
        <v/>
      </c>
      <c r="C24" s="91">
        <f>INDEX(md_deflator_ppe,MATCH(A24,md_years_bea,0))</f>
        <v/>
      </c>
      <c r="D24" s="73">
        <f>B24*C24</f>
        <v/>
      </c>
      <c r="E24" s="66">
        <f>in_anchor_year-A24</f>
        <v/>
      </c>
      <c r="F24" s="66">
        <f>IF(E24&lt;in_ppe_life,1,0)</f>
        <v/>
      </c>
      <c r="G24" s="99">
        <f>MAX(0,(in_ppe_life-E24)/in_ppe_life)</f>
        <v/>
      </c>
      <c r="H24" s="73">
        <f>D24*F24</f>
        <v/>
      </c>
      <c r="I24" s="73">
        <f>D24*G24</f>
        <v/>
      </c>
      <c r="J24" s="66">
        <f>VALUE(A24)</f>
        <v/>
      </c>
    </row>
    <row r="25" ht="15" customHeight="1" s="62">
      <c r="A25" s="98" t="inlineStr">
        <is>
          <t>2007</t>
        </is>
      </c>
      <c r="B25" s="73">
        <f>-INDEX(rep_capex,MATCH(A25,rep_years_cf,0))</f>
        <v/>
      </c>
      <c r="C25" s="91">
        <f>INDEX(md_deflator_ppe,MATCH(A25,md_years_bea,0))</f>
        <v/>
      </c>
      <c r="D25" s="73">
        <f>B25*C25</f>
        <v/>
      </c>
      <c r="E25" s="66">
        <f>in_anchor_year-A25</f>
        <v/>
      </c>
      <c r="F25" s="66">
        <f>IF(E25&lt;in_ppe_life,1,0)</f>
        <v/>
      </c>
      <c r="G25" s="99">
        <f>MAX(0,(in_ppe_life-E25)/in_ppe_life)</f>
        <v/>
      </c>
      <c r="H25" s="73">
        <f>D25*F25</f>
        <v/>
      </c>
      <c r="I25" s="73">
        <f>D25*G25</f>
        <v/>
      </c>
      <c r="J25" s="66">
        <f>VALUE(A25)</f>
        <v/>
      </c>
    </row>
    <row r="26" ht="15" customHeight="1" s="62">
      <c r="A26" s="98" t="inlineStr">
        <is>
          <t>2008</t>
        </is>
      </c>
      <c r="B26" s="73">
        <f>-INDEX(rep_capex,MATCH(A26,rep_years_cf,0))</f>
        <v/>
      </c>
      <c r="C26" s="91">
        <f>INDEX(md_deflator_ppe,MATCH(A26,md_years_bea,0))</f>
        <v/>
      </c>
      <c r="D26" s="73">
        <f>B26*C26</f>
        <v/>
      </c>
      <c r="E26" s="66">
        <f>in_anchor_year-A26</f>
        <v/>
      </c>
      <c r="F26" s="66">
        <f>IF(E26&lt;in_ppe_life,1,0)</f>
        <v/>
      </c>
      <c r="G26" s="99">
        <f>MAX(0,(in_ppe_life-E26)/in_ppe_life)</f>
        <v/>
      </c>
      <c r="H26" s="73">
        <f>D26*F26</f>
        <v/>
      </c>
      <c r="I26" s="73">
        <f>D26*G26</f>
        <v/>
      </c>
      <c r="J26" s="66">
        <f>VALUE(A26)</f>
        <v/>
      </c>
    </row>
    <row r="27" ht="15" customHeight="1" s="62">
      <c r="A27" s="98" t="inlineStr">
        <is>
          <t>2009</t>
        </is>
      </c>
      <c r="B27" s="73">
        <f>-INDEX(rep_capex,MATCH(A27,rep_years_cf,0))</f>
        <v/>
      </c>
      <c r="C27" s="91">
        <f>INDEX(md_deflator_ppe,MATCH(A27,md_years_bea,0))</f>
        <v/>
      </c>
      <c r="D27" s="73">
        <f>B27*C27</f>
        <v/>
      </c>
      <c r="E27" s="66">
        <f>in_anchor_year-A27</f>
        <v/>
      </c>
      <c r="F27" s="66">
        <f>IF(E27&lt;in_ppe_life,1,0)</f>
        <v/>
      </c>
      <c r="G27" s="99">
        <f>MAX(0,(in_ppe_life-E27)/in_ppe_life)</f>
        <v/>
      </c>
      <c r="H27" s="73">
        <f>D27*F27</f>
        <v/>
      </c>
      <c r="I27" s="73">
        <f>D27*G27</f>
        <v/>
      </c>
      <c r="J27" s="66">
        <f>VALUE(A27)</f>
        <v/>
      </c>
    </row>
    <row r="28" ht="15" customHeight="1" s="62">
      <c r="A28" s="98" t="inlineStr">
        <is>
          <t>2010</t>
        </is>
      </c>
      <c r="B28" s="73">
        <f>-INDEX(rep_capex,MATCH(A28,rep_years_cf,0))</f>
        <v/>
      </c>
      <c r="C28" s="91">
        <f>INDEX(md_deflator_ppe,MATCH(A28,md_years_bea,0))</f>
        <v/>
      </c>
      <c r="D28" s="73">
        <f>B28*C28</f>
        <v/>
      </c>
      <c r="E28" s="66">
        <f>in_anchor_year-A28</f>
        <v/>
      </c>
      <c r="F28" s="66">
        <f>IF(E28&lt;in_ppe_life,1,0)</f>
        <v/>
      </c>
      <c r="G28" s="99">
        <f>MAX(0,(in_ppe_life-E28)/in_ppe_life)</f>
        <v/>
      </c>
      <c r="H28" s="73">
        <f>D28*F28</f>
        <v/>
      </c>
      <c r="I28" s="73">
        <f>D28*G28</f>
        <v/>
      </c>
      <c r="J28" s="66">
        <f>VALUE(A28)</f>
        <v/>
      </c>
    </row>
    <row r="29" ht="15" customHeight="1" s="62">
      <c r="A29" s="98" t="inlineStr">
        <is>
          <t>2011</t>
        </is>
      </c>
      <c r="B29" s="73">
        <f>-INDEX(rep_capex,MATCH(A29,rep_years_cf,0))</f>
        <v/>
      </c>
      <c r="C29" s="91">
        <f>INDEX(md_deflator_ppe,MATCH(A29,md_years_bea,0))</f>
        <v/>
      </c>
      <c r="D29" s="73">
        <f>B29*C29</f>
        <v/>
      </c>
      <c r="E29" s="66">
        <f>in_anchor_year-A29</f>
        <v/>
      </c>
      <c r="F29" s="66">
        <f>IF(E29&lt;in_ppe_life,1,0)</f>
        <v/>
      </c>
      <c r="G29" s="99">
        <f>MAX(0,(in_ppe_life-E29)/in_ppe_life)</f>
        <v/>
      </c>
      <c r="H29" s="73">
        <f>D29*F29</f>
        <v/>
      </c>
      <c r="I29" s="73">
        <f>D29*G29</f>
        <v/>
      </c>
      <c r="J29" s="66">
        <f>VALUE(A29)</f>
        <v/>
      </c>
    </row>
    <row r="30" ht="15" customHeight="1" s="62">
      <c r="A30" s="98" t="inlineStr">
        <is>
          <t>2012</t>
        </is>
      </c>
      <c r="B30" s="73">
        <f>-INDEX(rep_capex,MATCH(A30,rep_years_cf,0))</f>
        <v/>
      </c>
      <c r="C30" s="91">
        <f>INDEX(md_deflator_ppe,MATCH(A30,md_years_bea,0))</f>
        <v/>
      </c>
      <c r="D30" s="73">
        <f>B30*C30</f>
        <v/>
      </c>
      <c r="E30" s="66">
        <f>in_anchor_year-A30</f>
        <v/>
      </c>
      <c r="F30" s="66">
        <f>IF(E30&lt;in_ppe_life,1,0)</f>
        <v/>
      </c>
      <c r="G30" s="99">
        <f>MAX(0,(in_ppe_life-E30)/in_ppe_life)</f>
        <v/>
      </c>
      <c r="H30" s="73">
        <f>D30*F30</f>
        <v/>
      </c>
      <c r="I30" s="73">
        <f>D30*G30</f>
        <v/>
      </c>
      <c r="J30" s="66">
        <f>VALUE(A30)</f>
        <v/>
      </c>
    </row>
    <row r="31" ht="15" customHeight="1" s="62">
      <c r="A31" s="98" t="inlineStr">
        <is>
          <t>2013</t>
        </is>
      </c>
      <c r="B31" s="73">
        <f>-INDEX(rep_capex,MATCH(A31,rep_years_cf,0))</f>
        <v/>
      </c>
      <c r="C31" s="91">
        <f>INDEX(md_deflator_ppe,MATCH(A31,md_years_bea,0))</f>
        <v/>
      </c>
      <c r="D31" s="73">
        <f>B31*C31</f>
        <v/>
      </c>
      <c r="E31" s="66">
        <f>in_anchor_year-A31</f>
        <v/>
      </c>
      <c r="F31" s="66">
        <f>IF(E31&lt;in_ppe_life,1,0)</f>
        <v/>
      </c>
      <c r="G31" s="99">
        <f>MAX(0,(in_ppe_life-E31)/in_ppe_life)</f>
        <v/>
      </c>
      <c r="H31" s="73">
        <f>D31*F31</f>
        <v/>
      </c>
      <c r="I31" s="73">
        <f>D31*G31</f>
        <v/>
      </c>
      <c r="J31" s="66">
        <f>VALUE(A31)</f>
        <v/>
      </c>
    </row>
    <row r="32" ht="15" customHeight="1" s="62">
      <c r="A32" s="98" t="inlineStr">
        <is>
          <t>2014</t>
        </is>
      </c>
      <c r="B32" s="73">
        <f>-INDEX(rep_capex,MATCH(A32,rep_years_cf,0))</f>
        <v/>
      </c>
      <c r="C32" s="91">
        <f>INDEX(md_deflator_ppe,MATCH(A32,md_years_bea,0))</f>
        <v/>
      </c>
      <c r="D32" s="73">
        <f>B32*C32</f>
        <v/>
      </c>
      <c r="E32" s="66">
        <f>in_anchor_year-A32</f>
        <v/>
      </c>
      <c r="F32" s="66">
        <f>IF(E32&lt;in_ppe_life,1,0)</f>
        <v/>
      </c>
      <c r="G32" s="99">
        <f>MAX(0,(in_ppe_life-E32)/in_ppe_life)</f>
        <v/>
      </c>
      <c r="H32" s="73">
        <f>D32*F32</f>
        <v/>
      </c>
      <c r="I32" s="73">
        <f>D32*G32</f>
        <v/>
      </c>
      <c r="J32" s="66">
        <f>VALUE(A32)</f>
        <v/>
      </c>
    </row>
    <row r="33" ht="15" customHeight="1" s="62">
      <c r="A33" s="98" t="inlineStr">
        <is>
          <t>2015</t>
        </is>
      </c>
      <c r="B33" s="73">
        <f>-INDEX(rep_capex,MATCH(A33,rep_years_cf,0))</f>
        <v/>
      </c>
      <c r="C33" s="91">
        <f>INDEX(md_deflator_ppe,MATCH(A33,md_years_bea,0))</f>
        <v/>
      </c>
      <c r="D33" s="73">
        <f>B33*C33</f>
        <v/>
      </c>
      <c r="E33" s="66">
        <f>in_anchor_year-A33</f>
        <v/>
      </c>
      <c r="F33" s="66">
        <f>IF(E33&lt;in_ppe_life,1,0)</f>
        <v/>
      </c>
      <c r="G33" s="99">
        <f>MAX(0,(in_ppe_life-E33)/in_ppe_life)</f>
        <v/>
      </c>
      <c r="H33" s="73">
        <f>D33*F33</f>
        <v/>
      </c>
      <c r="I33" s="73">
        <f>D33*G33</f>
        <v/>
      </c>
      <c r="J33" s="66">
        <f>VALUE(A33)</f>
        <v/>
      </c>
    </row>
    <row r="34" ht="15" customHeight="1" s="62">
      <c r="A34" s="98" t="inlineStr">
        <is>
          <t>2016</t>
        </is>
      </c>
      <c r="B34" s="73">
        <f>-INDEX(rep_capex,MATCH(A34,rep_years_cf,0))</f>
        <v/>
      </c>
      <c r="C34" s="91">
        <f>INDEX(md_deflator_ppe,MATCH(A34,md_years_bea,0))</f>
        <v/>
      </c>
      <c r="D34" s="73">
        <f>B34*C34</f>
        <v/>
      </c>
      <c r="E34" s="66">
        <f>in_anchor_year-A34</f>
        <v/>
      </c>
      <c r="F34" s="66">
        <f>IF(E34&lt;in_ppe_life,1,0)</f>
        <v/>
      </c>
      <c r="G34" s="99">
        <f>MAX(0,(in_ppe_life-E34)/in_ppe_life)</f>
        <v/>
      </c>
      <c r="H34" s="73">
        <f>D34*F34</f>
        <v/>
      </c>
      <c r="I34" s="73">
        <f>D34*G34</f>
        <v/>
      </c>
      <c r="J34" s="66">
        <f>VALUE(A34)</f>
        <v/>
      </c>
    </row>
    <row r="35" ht="15" customHeight="1" s="62">
      <c r="A35" s="98" t="inlineStr">
        <is>
          <t>2017</t>
        </is>
      </c>
      <c r="B35" s="73">
        <f>-INDEX(rep_capex,MATCH(A35,rep_years_cf,0))</f>
        <v/>
      </c>
      <c r="C35" s="91">
        <f>INDEX(md_deflator_ppe,MATCH(A35,md_years_bea,0))</f>
        <v/>
      </c>
      <c r="D35" s="73">
        <f>B35*C35</f>
        <v/>
      </c>
      <c r="E35" s="66">
        <f>in_anchor_year-A35</f>
        <v/>
      </c>
      <c r="F35" s="66">
        <f>IF(E35&lt;in_ppe_life,1,0)</f>
        <v/>
      </c>
      <c r="G35" s="99">
        <f>MAX(0,(in_ppe_life-E35)/in_ppe_life)</f>
        <v/>
      </c>
      <c r="H35" s="73">
        <f>D35*F35</f>
        <v/>
      </c>
      <c r="I35" s="73">
        <f>D35*G35</f>
        <v/>
      </c>
      <c r="J35" s="66">
        <f>VALUE(A35)</f>
        <v/>
      </c>
    </row>
    <row r="36" ht="15" customHeight="1" s="62">
      <c r="A36" s="98" t="inlineStr">
        <is>
          <t>2018</t>
        </is>
      </c>
      <c r="B36" s="73">
        <f>-INDEX(rep_capex,MATCH(A36,rep_years_cf,0))</f>
        <v/>
      </c>
      <c r="C36" s="91">
        <f>INDEX(md_deflator_ppe,MATCH(A36,md_years_bea,0))</f>
        <v/>
      </c>
      <c r="D36" s="73">
        <f>B36*C36</f>
        <v/>
      </c>
      <c r="E36" s="66">
        <f>in_anchor_year-A36</f>
        <v/>
      </c>
      <c r="F36" s="66">
        <f>IF(E36&lt;in_ppe_life,1,0)</f>
        <v/>
      </c>
      <c r="G36" s="99">
        <f>MAX(0,(in_ppe_life-E36)/in_ppe_life)</f>
        <v/>
      </c>
      <c r="H36" s="73">
        <f>D36*F36</f>
        <v/>
      </c>
      <c r="I36" s="73">
        <f>D36*G36</f>
        <v/>
      </c>
      <c r="J36" s="66">
        <f>VALUE(A36)</f>
        <v/>
      </c>
    </row>
    <row r="37" ht="15" customHeight="1" s="62">
      <c r="A37" s="98" t="inlineStr">
        <is>
          <t>2019</t>
        </is>
      </c>
      <c r="B37" s="73">
        <f>-INDEX(rep_capex,MATCH(A37,rep_years_cf,0))</f>
        <v/>
      </c>
      <c r="C37" s="91">
        <f>INDEX(md_deflator_ppe,MATCH(A37,md_years_bea,0))</f>
        <v/>
      </c>
      <c r="D37" s="73">
        <f>B37*C37</f>
        <v/>
      </c>
      <c r="E37" s="66">
        <f>in_anchor_year-A37</f>
        <v/>
      </c>
      <c r="F37" s="66">
        <f>IF(E37&lt;in_ppe_life,1,0)</f>
        <v/>
      </c>
      <c r="G37" s="99">
        <f>MAX(0,(in_ppe_life-E37)/in_ppe_life)</f>
        <v/>
      </c>
      <c r="H37" s="73">
        <f>D37*F37</f>
        <v/>
      </c>
      <c r="I37" s="73">
        <f>D37*G37</f>
        <v/>
      </c>
      <c r="J37" s="66">
        <f>VALUE(A37)</f>
        <v/>
      </c>
    </row>
    <row r="38" ht="15" customHeight="1" s="62">
      <c r="A38" s="98" t="inlineStr">
        <is>
          <t>2020</t>
        </is>
      </c>
      <c r="B38" s="73">
        <f>-INDEX(rep_capex,MATCH(A38,rep_years_cf,0))</f>
        <v/>
      </c>
      <c r="C38" s="91">
        <f>INDEX(md_deflator_ppe,MATCH(A38,md_years_bea,0))</f>
        <v/>
      </c>
      <c r="D38" s="73">
        <f>B38*C38</f>
        <v/>
      </c>
      <c r="E38" s="66">
        <f>in_anchor_year-A38</f>
        <v/>
      </c>
      <c r="F38" s="66">
        <f>IF(E38&lt;in_ppe_life,1,0)</f>
        <v/>
      </c>
      <c r="G38" s="99">
        <f>MAX(0,(in_ppe_life-E38)/in_ppe_life)</f>
        <v/>
      </c>
      <c r="H38" s="73">
        <f>D38*F38</f>
        <v/>
      </c>
      <c r="I38" s="73">
        <f>D38*G38</f>
        <v/>
      </c>
      <c r="J38" s="66">
        <f>VALUE(A38)</f>
        <v/>
      </c>
    </row>
    <row r="39" ht="15" customHeight="1" s="62">
      <c r="A39" s="98" t="inlineStr">
        <is>
          <t>2021</t>
        </is>
      </c>
      <c r="B39" s="73">
        <f>-INDEX(rep_capex,MATCH(A39,rep_years_cf,0))</f>
        <v/>
      </c>
      <c r="C39" s="91">
        <f>INDEX(md_deflator_ppe,MATCH(A39,md_years_bea,0))</f>
        <v/>
      </c>
      <c r="D39" s="73">
        <f>B39*C39</f>
        <v/>
      </c>
      <c r="E39" s="66">
        <f>in_anchor_year-A39</f>
        <v/>
      </c>
      <c r="F39" s="66">
        <f>IF(E39&lt;in_ppe_life,1,0)</f>
        <v/>
      </c>
      <c r="G39" s="99">
        <f>MAX(0,(in_ppe_life-E39)/in_ppe_life)</f>
        <v/>
      </c>
      <c r="H39" s="73">
        <f>D39*F39</f>
        <v/>
      </c>
      <c r="I39" s="73">
        <f>D39*G39</f>
        <v/>
      </c>
      <c r="J39" s="66">
        <f>VALUE(A39)</f>
        <v/>
      </c>
    </row>
    <row r="40" ht="15" customHeight="1" s="62">
      <c r="A40" s="98" t="inlineStr">
        <is>
          <t>2022</t>
        </is>
      </c>
      <c r="B40" s="73">
        <f>-INDEX(rep_capex,MATCH(A40,rep_years_cf,0))</f>
        <v/>
      </c>
      <c r="C40" s="91">
        <f>INDEX(md_deflator_ppe,MATCH(A40,md_years_bea,0))</f>
        <v/>
      </c>
      <c r="D40" s="73">
        <f>B40*C40</f>
        <v/>
      </c>
      <c r="E40" s="66">
        <f>in_anchor_year-A40</f>
        <v/>
      </c>
      <c r="F40" s="66">
        <f>IF(E40&lt;in_ppe_life,1,0)</f>
        <v/>
      </c>
      <c r="G40" s="99">
        <f>MAX(0,(in_ppe_life-E40)/in_ppe_life)</f>
        <v/>
      </c>
      <c r="H40" s="73">
        <f>D40*F40</f>
        <v/>
      </c>
      <c r="I40" s="73">
        <f>D40*G40</f>
        <v/>
      </c>
      <c r="J40" s="66">
        <f>VALUE(A40)</f>
        <v/>
      </c>
    </row>
    <row r="41" ht="15" customHeight="1" s="62">
      <c r="A41" s="98" t="inlineStr">
        <is>
          <t>2023</t>
        </is>
      </c>
      <c r="B41" s="73">
        <f>-INDEX(rep_capex,MATCH(A41,rep_years_cf,0))</f>
        <v/>
      </c>
      <c r="C41" s="91">
        <f>INDEX(md_deflator_ppe,MATCH(A41,md_years_bea,0))</f>
        <v/>
      </c>
      <c r="D41" s="73">
        <f>B41*C41</f>
        <v/>
      </c>
      <c r="E41" s="66">
        <f>in_anchor_year-A41</f>
        <v/>
      </c>
      <c r="F41" s="66">
        <f>IF(E41&lt;in_ppe_life,1,0)</f>
        <v/>
      </c>
      <c r="G41" s="99">
        <f>MAX(0,(in_ppe_life-E41)/in_ppe_life)</f>
        <v/>
      </c>
      <c r="H41" s="73">
        <f>D41*F41</f>
        <v/>
      </c>
      <c r="I41" s="73">
        <f>D41*G41</f>
        <v/>
      </c>
      <c r="J41" s="66">
        <f>VALUE(A41)</f>
        <v/>
      </c>
    </row>
    <row r="42" ht="15" customHeight="1" s="62">
      <c r="A42" s="98" t="inlineStr">
        <is>
          <t>2024</t>
        </is>
      </c>
      <c r="B42" s="73">
        <f>-INDEX(rep_capex,MATCH(A42,rep_years_cf,0))</f>
        <v/>
      </c>
      <c r="C42" s="91">
        <f>INDEX(md_deflator_ppe,MATCH(A42,md_years_bea,0))</f>
        <v/>
      </c>
      <c r="D42" s="73">
        <f>B42*C42</f>
        <v/>
      </c>
      <c r="E42" s="66">
        <f>in_anchor_year-A42</f>
        <v/>
      </c>
      <c r="F42" s="66">
        <f>IF(E42&lt;in_ppe_life,1,0)</f>
        <v/>
      </c>
      <c r="G42" s="99">
        <f>MAX(0,(in_ppe_life-E42)/in_ppe_life)</f>
        <v/>
      </c>
      <c r="H42" s="73">
        <f>D42*F42</f>
        <v/>
      </c>
      <c r="I42" s="73">
        <f>D42*G42</f>
        <v/>
      </c>
      <c r="J42" s="66">
        <f>VALUE(A42)</f>
        <v/>
      </c>
    </row>
    <row r="43" ht="15" customHeight="1" s="62">
      <c r="A43" s="98" t="inlineStr">
        <is>
          <t>2025</t>
        </is>
      </c>
      <c r="B43" s="73">
        <f>-INDEX(rep_capex,MATCH(A43,rep_years_cf,0))</f>
        <v/>
      </c>
      <c r="C43" s="91">
        <f>INDEX(md_deflator_ppe,MATCH(A43,md_years_bea,0))</f>
        <v/>
      </c>
      <c r="D43" s="73">
        <f>B43*C43</f>
        <v/>
      </c>
      <c r="E43" s="66">
        <f>in_anchor_year-A43</f>
        <v/>
      </c>
      <c r="F43" s="66">
        <f>IF(E43&lt;in_ppe_life,1,0)</f>
        <v/>
      </c>
      <c r="G43" s="99">
        <f>MAX(0,(in_ppe_life-E43)/in_ppe_life)</f>
        <v/>
      </c>
      <c r="H43" s="73">
        <f>D43*F43</f>
        <v/>
      </c>
      <c r="I43" s="73">
        <f>D43*G43</f>
        <v/>
      </c>
      <c r="J43" s="66">
        <f>VALUE(A43)</f>
        <v/>
      </c>
    </row>
    <row r="45" ht="15" customHeight="1" s="62">
      <c r="A45" s="65" t="inlineStr">
        <is>
          <t>REAL PP&amp;E ANCHOR (FY = in_anchor_year, real 2026$)</t>
        </is>
      </c>
    </row>
    <row r="46" ht="15" customHeight="1" s="62">
      <c r="A46" s="86" t="inlineStr">
        <is>
          <t>Real gross PP&amp;E = Σ gross contrib</t>
        </is>
      </c>
      <c r="B46" s="73">
        <f>SUM(H7:H43)</f>
        <v/>
      </c>
    </row>
    <row r="47" ht="15" customHeight="1" s="62">
      <c r="A47" s="86" t="inlineStr">
        <is>
          <t>Real net PP&amp;E = Σ real net</t>
        </is>
      </c>
      <c r="B47" s="73">
        <f>SUM(I7:I43)</f>
        <v/>
      </c>
    </row>
    <row r="48" ht="15" customHeight="1" s="62">
      <c r="A48" s="86" t="inlineStr">
        <is>
          <t>Real accum. deprec. = gross − net</t>
        </is>
      </c>
      <c r="B48" s="73">
        <f>B46-B47</f>
        <v/>
      </c>
    </row>
    <row r="49" ht="15" customHeight="1" s="62">
      <c r="A49" s="86" t="inlineStr">
        <is>
          <t>Economic depreciation = real gross / L</t>
        </is>
      </c>
      <c r="B49" s="73">
        <f>B46/in_ppe_life</f>
        <v/>
      </c>
    </row>
    <row r="51" ht="15" customHeight="1" s="62">
      <c r="A51" s="65" t="inlineStr">
        <is>
          <t>RECONCILIATION vs reported nominal PP&amp;E</t>
        </is>
      </c>
    </row>
    <row r="52" ht="15" customHeight="1" s="62">
      <c r="A52" s="86" t="inlineStr">
        <is>
          <t>Reported nominal gross PP&amp;E</t>
        </is>
      </c>
      <c r="B52" s="73">
        <f>INDEX(rep_gross_ppe,MATCH(in_anchor_year&amp;"",rep_years_bs,0))</f>
        <v/>
      </c>
    </row>
    <row r="53" ht="15" customHeight="1" s="62">
      <c r="A53" s="86" t="inlineStr">
        <is>
          <t>Reported nominal net PP&amp;E</t>
        </is>
      </c>
      <c r="B53" s="73">
        <f>INDEX(rep_net_ppe,MATCH(in_anchor_year&amp;"",rep_years_bs,0))</f>
        <v/>
      </c>
    </row>
    <row r="54" ht="15" customHeight="1" s="62">
      <c r="A54" s="86" t="inlineStr">
        <is>
          <t>Real/nominal gross ratio</t>
        </is>
      </c>
      <c r="B54" s="99">
        <f>B46/B52</f>
        <v/>
      </c>
    </row>
    <row r="55" ht="15" customHeight="1" s="62">
      <c r="A55" s="86" t="inlineStr">
        <is>
          <t>Real/nominal net ratio</t>
        </is>
      </c>
      <c r="B55" s="99">
        <f>B47/B53</f>
        <v/>
      </c>
    </row>
    <row r="56" ht="15" customHeight="1" s="62">
      <c r="A56" s="86" t="inlineStr">
        <is>
          <t>Live-vintage count</t>
        </is>
      </c>
      <c r="B56" s="66">
        <f>SUM(F7:F43)</f>
        <v/>
      </c>
    </row>
    <row r="58" ht="15" customHeight="1" s="62">
      <c r="A58" s="65" t="inlineStr">
        <is>
          <t>R&amp;D CAPITALIZATION (general)</t>
        </is>
      </c>
    </row>
    <row r="59" ht="15" customHeight="1" s="62">
      <c r="A59" s="86" t="inlineStr">
        <is>
          <t>R&amp;D expense reported ($mm) [Inputs]</t>
        </is>
      </c>
      <c r="B59" s="73">
        <f>in_rd_expense0</f>
        <v/>
      </c>
    </row>
    <row r="60" ht="15" customHeight="1" s="62">
      <c r="A60" s="86" t="inlineStr">
        <is>
          <t>R&amp;D amortization life (Inputs)</t>
        </is>
      </c>
      <c r="B60" s="81">
        <f>in_rd_life</f>
        <v/>
      </c>
    </row>
    <row r="61" ht="15" customHeight="1" s="62">
      <c r="A61" s="86" t="inlineStr">
        <is>
          <t>R&amp;D reserve = expense × life</t>
        </is>
      </c>
      <c r="B61" s="73">
        <f>B59*B60</f>
        <v/>
      </c>
    </row>
    <row r="64" ht="15" customHeight="1" s="62">
      <c r="A64" s="65" t="inlineStr">
        <is>
          <t>PER-YEAR ECONOMIC PP&amp;E SERIES (real 2026$; each year re-ages live vintages)</t>
        </is>
      </c>
    </row>
    <row r="65" ht="15" customHeight="1" s="62">
      <c r="A65" s="83" t="inlineStr">
        <is>
          <t>Anchor year t</t>
        </is>
      </c>
      <c r="B65" s="93">
        <f>C65-1</f>
        <v/>
      </c>
      <c r="C65" s="93">
        <f>D65-1</f>
        <v/>
      </c>
      <c r="D65" s="93">
        <f>E65-1</f>
        <v/>
      </c>
      <c r="E65" s="93">
        <f>F65-1</f>
        <v/>
      </c>
      <c r="F65" s="93">
        <f>G65-1</f>
        <v/>
      </c>
      <c r="G65" s="93">
        <f>H65-1</f>
        <v/>
      </c>
      <c r="H65" s="93">
        <f>I65-1</f>
        <v/>
      </c>
      <c r="I65" s="93">
        <f>J65-1</f>
        <v/>
      </c>
      <c r="J65" s="93">
        <f>K65-1</f>
        <v/>
      </c>
      <c r="K65" s="93">
        <f>L65-1</f>
        <v/>
      </c>
      <c r="L65" s="93">
        <f>M65-1</f>
        <v/>
      </c>
      <c r="M65" s="93">
        <f>N65-1</f>
        <v/>
      </c>
      <c r="N65" s="93">
        <f>O65-1</f>
        <v/>
      </c>
      <c r="O65" s="93">
        <f>P65-1</f>
        <v/>
      </c>
      <c r="P65" s="93">
        <f>Q65-1</f>
        <v/>
      </c>
      <c r="Q65" s="93">
        <f>R65-1</f>
        <v/>
      </c>
      <c r="R65" s="93">
        <f>S65-1</f>
        <v/>
      </c>
      <c r="S65" s="93">
        <f>in_anchor_year</f>
        <v/>
      </c>
    </row>
    <row r="66" ht="15" customHeight="1" s="62">
      <c r="A66" s="86" t="inlineStr">
        <is>
          <t>Real gross PP&amp;E(t)</t>
        </is>
      </c>
      <c r="B66" s="73">
        <f>SUMPRODUCT($D$7:$D$43*($J$7:$J$43&lt;=B65)*((B65-$J$7:$J$43)&lt;in_ppe_life))</f>
        <v/>
      </c>
      <c r="C66" s="73">
        <f>SUMPRODUCT($D$7:$D$43*($J$7:$J$43&lt;=C65)*((C65-$J$7:$J$43)&lt;in_ppe_life))</f>
        <v/>
      </c>
      <c r="D66" s="73">
        <f>SUMPRODUCT($D$7:$D$43*($J$7:$J$43&lt;=D65)*((D65-$J$7:$J$43)&lt;in_ppe_life))</f>
        <v/>
      </c>
      <c r="E66" s="73">
        <f>SUMPRODUCT($D$7:$D$43*($J$7:$J$43&lt;=E65)*((E65-$J$7:$J$43)&lt;in_ppe_life))</f>
        <v/>
      </c>
      <c r="F66" s="73">
        <f>SUMPRODUCT($D$7:$D$43*($J$7:$J$43&lt;=F65)*((F65-$J$7:$J$43)&lt;in_ppe_life))</f>
        <v/>
      </c>
      <c r="G66" s="73">
        <f>SUMPRODUCT($D$7:$D$43*($J$7:$J$43&lt;=G65)*((G65-$J$7:$J$43)&lt;in_ppe_life))</f>
        <v/>
      </c>
      <c r="H66" s="73">
        <f>SUMPRODUCT($D$7:$D$43*($J$7:$J$43&lt;=H65)*((H65-$J$7:$J$43)&lt;in_ppe_life))</f>
        <v/>
      </c>
      <c r="I66" s="73">
        <f>SUMPRODUCT($D$7:$D$43*($J$7:$J$43&lt;=I65)*((I65-$J$7:$J$43)&lt;in_ppe_life))</f>
        <v/>
      </c>
      <c r="J66" s="73">
        <f>SUMPRODUCT($D$7:$D$43*($J$7:$J$43&lt;=J65)*((J65-$J$7:$J$43)&lt;in_ppe_life))</f>
        <v/>
      </c>
      <c r="K66" s="73">
        <f>SUMPRODUCT($D$7:$D$43*($J$7:$J$43&lt;=K65)*((K65-$J$7:$J$43)&lt;in_ppe_life))</f>
        <v/>
      </c>
      <c r="L66" s="73">
        <f>SUMPRODUCT($D$7:$D$43*($J$7:$J$43&lt;=L65)*((L65-$J$7:$J$43)&lt;in_ppe_life))</f>
        <v/>
      </c>
      <c r="M66" s="73">
        <f>SUMPRODUCT($D$7:$D$43*($J$7:$J$43&lt;=M65)*((M65-$J$7:$J$43)&lt;in_ppe_life))</f>
        <v/>
      </c>
      <c r="N66" s="73">
        <f>SUMPRODUCT($D$7:$D$43*($J$7:$J$43&lt;=N65)*((N65-$J$7:$J$43)&lt;in_ppe_life))</f>
        <v/>
      </c>
      <c r="O66" s="73">
        <f>SUMPRODUCT($D$7:$D$43*($J$7:$J$43&lt;=O65)*((O65-$J$7:$J$43)&lt;in_ppe_life))</f>
        <v/>
      </c>
      <c r="P66" s="73">
        <f>SUMPRODUCT($D$7:$D$43*($J$7:$J$43&lt;=P65)*((P65-$J$7:$J$43)&lt;in_ppe_life))</f>
        <v/>
      </c>
      <c r="Q66" s="73">
        <f>SUMPRODUCT($D$7:$D$43*($J$7:$J$43&lt;=Q65)*((Q65-$J$7:$J$43)&lt;in_ppe_life))</f>
        <v/>
      </c>
      <c r="R66" s="73">
        <f>SUMPRODUCT($D$7:$D$43*($J$7:$J$43&lt;=R65)*((R65-$J$7:$J$43)&lt;in_ppe_life))</f>
        <v/>
      </c>
      <c r="S66" s="73">
        <f>SUMPRODUCT($D$7:$D$43*($J$7:$J$43&lt;=S65)*((S65-$J$7:$J$43)&lt;in_ppe_life))</f>
        <v/>
      </c>
    </row>
    <row r="67" ht="15" customHeight="1" s="62">
      <c r="A67" s="86" t="inlineStr">
        <is>
          <t>Real net PP&amp;E(t)</t>
        </is>
      </c>
      <c r="B67" s="73">
        <f>SUMPRODUCT($D$7:$D$43*($J$7:$J$43&lt;=B65)*((in_ppe_life-(B65-$J$7:$J$43))&gt;0)*(in_ppe_life-(B65-$J$7:$J$43))/in_ppe_life)</f>
        <v/>
      </c>
      <c r="C67" s="73">
        <f>SUMPRODUCT($D$7:$D$43*($J$7:$J$43&lt;=C65)*((in_ppe_life-(C65-$J$7:$J$43))&gt;0)*(in_ppe_life-(C65-$J$7:$J$43))/in_ppe_life)</f>
        <v/>
      </c>
      <c r="D67" s="73">
        <f>SUMPRODUCT($D$7:$D$43*($J$7:$J$43&lt;=D65)*((in_ppe_life-(D65-$J$7:$J$43))&gt;0)*(in_ppe_life-(D65-$J$7:$J$43))/in_ppe_life)</f>
        <v/>
      </c>
      <c r="E67" s="73">
        <f>SUMPRODUCT($D$7:$D$43*($J$7:$J$43&lt;=E65)*((in_ppe_life-(E65-$J$7:$J$43))&gt;0)*(in_ppe_life-(E65-$J$7:$J$43))/in_ppe_life)</f>
        <v/>
      </c>
      <c r="F67" s="73">
        <f>SUMPRODUCT($D$7:$D$43*($J$7:$J$43&lt;=F65)*((in_ppe_life-(F65-$J$7:$J$43))&gt;0)*(in_ppe_life-(F65-$J$7:$J$43))/in_ppe_life)</f>
        <v/>
      </c>
      <c r="G67" s="73">
        <f>SUMPRODUCT($D$7:$D$43*($J$7:$J$43&lt;=G65)*((in_ppe_life-(G65-$J$7:$J$43))&gt;0)*(in_ppe_life-(G65-$J$7:$J$43))/in_ppe_life)</f>
        <v/>
      </c>
      <c r="H67" s="73">
        <f>SUMPRODUCT($D$7:$D$43*($J$7:$J$43&lt;=H65)*((in_ppe_life-(H65-$J$7:$J$43))&gt;0)*(in_ppe_life-(H65-$J$7:$J$43))/in_ppe_life)</f>
        <v/>
      </c>
      <c r="I67" s="73">
        <f>SUMPRODUCT($D$7:$D$43*($J$7:$J$43&lt;=I65)*((in_ppe_life-(I65-$J$7:$J$43))&gt;0)*(in_ppe_life-(I65-$J$7:$J$43))/in_ppe_life)</f>
        <v/>
      </c>
      <c r="J67" s="73">
        <f>SUMPRODUCT($D$7:$D$43*($J$7:$J$43&lt;=J65)*((in_ppe_life-(J65-$J$7:$J$43))&gt;0)*(in_ppe_life-(J65-$J$7:$J$43))/in_ppe_life)</f>
        <v/>
      </c>
      <c r="K67" s="73">
        <f>SUMPRODUCT($D$7:$D$43*($J$7:$J$43&lt;=K65)*((in_ppe_life-(K65-$J$7:$J$43))&gt;0)*(in_ppe_life-(K65-$J$7:$J$43))/in_ppe_life)</f>
        <v/>
      </c>
      <c r="L67" s="73">
        <f>SUMPRODUCT($D$7:$D$43*($J$7:$J$43&lt;=L65)*((in_ppe_life-(L65-$J$7:$J$43))&gt;0)*(in_ppe_life-(L65-$J$7:$J$43))/in_ppe_life)</f>
        <v/>
      </c>
      <c r="M67" s="73">
        <f>SUMPRODUCT($D$7:$D$43*($J$7:$J$43&lt;=M65)*((in_ppe_life-(M65-$J$7:$J$43))&gt;0)*(in_ppe_life-(M65-$J$7:$J$43))/in_ppe_life)</f>
        <v/>
      </c>
      <c r="N67" s="73">
        <f>SUMPRODUCT($D$7:$D$43*($J$7:$J$43&lt;=N65)*((in_ppe_life-(N65-$J$7:$J$43))&gt;0)*(in_ppe_life-(N65-$J$7:$J$43))/in_ppe_life)</f>
        <v/>
      </c>
      <c r="O67" s="73">
        <f>SUMPRODUCT($D$7:$D$43*($J$7:$J$43&lt;=O65)*((in_ppe_life-(O65-$J$7:$J$43))&gt;0)*(in_ppe_life-(O65-$J$7:$J$43))/in_ppe_life)</f>
        <v/>
      </c>
      <c r="P67" s="73">
        <f>SUMPRODUCT($D$7:$D$43*($J$7:$J$43&lt;=P65)*((in_ppe_life-(P65-$J$7:$J$43))&gt;0)*(in_ppe_life-(P65-$J$7:$J$43))/in_ppe_life)</f>
        <v/>
      </c>
      <c r="Q67" s="73">
        <f>SUMPRODUCT($D$7:$D$43*($J$7:$J$43&lt;=Q65)*((in_ppe_life-(Q65-$J$7:$J$43))&gt;0)*(in_ppe_life-(Q65-$J$7:$J$43))/in_ppe_life)</f>
        <v/>
      </c>
      <c r="R67" s="73">
        <f>SUMPRODUCT($D$7:$D$43*($J$7:$J$43&lt;=R65)*((in_ppe_life-(R65-$J$7:$J$43))&gt;0)*(in_ppe_life-(R65-$J$7:$J$43))/in_ppe_life)</f>
        <v/>
      </c>
      <c r="S67" s="73">
        <f>SUMPRODUCT($D$7:$D$43*($J$7:$J$43&lt;=S65)*((in_ppe_life-(S65-$J$7:$J$43))&gt;0)*(in_ppe_life-(S65-$J$7:$J$43))/in_ppe_life)</f>
        <v/>
      </c>
    </row>
    <row r="68" ht="15" customHeight="1" s="62">
      <c r="A68" s="86" t="inlineStr">
        <is>
          <t>Economic depreciation(t)</t>
        </is>
      </c>
      <c r="B68" s="73">
        <f>B66/in_ppe_life</f>
        <v/>
      </c>
      <c r="C68" s="73">
        <f>C66/in_ppe_life</f>
        <v/>
      </c>
      <c r="D68" s="73">
        <f>D66/in_ppe_life</f>
        <v/>
      </c>
      <c r="E68" s="73">
        <f>E66/in_ppe_life</f>
        <v/>
      </c>
      <c r="F68" s="73">
        <f>F66/in_ppe_life</f>
        <v/>
      </c>
      <c r="G68" s="73">
        <f>G66/in_ppe_life</f>
        <v/>
      </c>
      <c r="H68" s="73">
        <f>H66/in_ppe_life</f>
        <v/>
      </c>
      <c r="I68" s="73">
        <f>I66/in_ppe_life</f>
        <v/>
      </c>
      <c r="J68" s="73">
        <f>J66/in_ppe_life</f>
        <v/>
      </c>
      <c r="K68" s="73">
        <f>K66/in_ppe_life</f>
        <v/>
      </c>
      <c r="L68" s="73">
        <f>L66/in_ppe_life</f>
        <v/>
      </c>
      <c r="M68" s="73">
        <f>M66/in_ppe_life</f>
        <v/>
      </c>
      <c r="N68" s="73">
        <f>N66/in_ppe_life</f>
        <v/>
      </c>
      <c r="O68" s="73">
        <f>O66/in_ppe_life</f>
        <v/>
      </c>
      <c r="P68" s="73">
        <f>P66/in_ppe_life</f>
        <v/>
      </c>
      <c r="Q68" s="73">
        <f>Q66/in_ppe_life</f>
        <v/>
      </c>
      <c r="R68" s="73">
        <f>R66/in_ppe_life</f>
        <v/>
      </c>
      <c r="S68" s="73">
        <f>S66/in_ppe_life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S1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61" min="1" max="1"/>
    <col width="11" customWidth="1" style="61" min="2" max="19"/>
  </cols>
  <sheetData>
    <row r="1" ht="15" customHeight="1" s="62">
      <c r="A1" s="63" t="inlineStr">
        <is>
          <t>ECON STATEMENTS — reformulated IS/BS (real 2026$)  [historical restatement stays REAL 2026$ — presentation basis]</t>
        </is>
      </c>
    </row>
    <row r="2" ht="15" customHeight="1" s="62">
      <c r="A2" s="64" t="inlineStr">
        <is>
          <t>General: pulls reported rows by named range + INDEX/MATCH, Cap Engine real PP&amp;E, Market Data deflators, Inputs assumptions. Partition: MI+pension in NFO. PP&amp;E on BEA; other items on CPI. Effective-rate tax.</t>
        </is>
      </c>
    </row>
    <row r="4" ht="15" customHeight="1" s="62">
      <c r="A4" s="83" t="inlineStr">
        <is>
          <t>Restatement view (cfg_restatement):</t>
        </is>
      </c>
      <c r="B4" s="86">
        <f>cfg_restatement</f>
        <v/>
      </c>
    </row>
    <row r="5" ht="15" customHeight="1" s="62">
      <c r="A5" s="83" t="inlineStr">
        <is>
          <t>Fiscal year</t>
        </is>
      </c>
      <c r="B5" s="84">
        <f>TEXT(VALUE(C$5)-1,"0")</f>
        <v/>
      </c>
      <c r="C5" s="84">
        <f>TEXT(VALUE(D$5)-1,"0")</f>
        <v/>
      </c>
      <c r="D5" s="84">
        <f>TEXT(VALUE(E$5)-1,"0")</f>
        <v/>
      </c>
      <c r="E5" s="84">
        <f>TEXT(VALUE(F$5)-1,"0")</f>
        <v/>
      </c>
      <c r="F5" s="84">
        <f>TEXT(VALUE(G$5)-1,"0")</f>
        <v/>
      </c>
      <c r="G5" s="84">
        <f>TEXT(VALUE(H$5)-1,"0")</f>
        <v/>
      </c>
      <c r="H5" s="84">
        <f>TEXT(VALUE(I$5)-1,"0")</f>
        <v/>
      </c>
      <c r="I5" s="84">
        <f>TEXT(VALUE(J$5)-1,"0")</f>
        <v/>
      </c>
      <c r="J5" s="84">
        <f>TEXT(VALUE(K$5)-1,"0")</f>
        <v/>
      </c>
      <c r="K5" s="84">
        <f>TEXT(VALUE(L$5)-1,"0")</f>
        <v/>
      </c>
      <c r="L5" s="84">
        <f>TEXT(VALUE(M$5)-1,"0")</f>
        <v/>
      </c>
      <c r="M5" s="84">
        <f>TEXT(VALUE(N$5)-1,"0")</f>
        <v/>
      </c>
      <c r="N5" s="84">
        <f>TEXT(VALUE(O$5)-1,"0")</f>
        <v/>
      </c>
      <c r="O5" s="84">
        <f>TEXT(VALUE(P$5)-1,"0")</f>
        <v/>
      </c>
      <c r="P5" s="84">
        <f>TEXT(VALUE(Q$5)-1,"0")</f>
        <v/>
      </c>
      <c r="Q5" s="84">
        <f>TEXT(VALUE(R$5)-1,"0")</f>
        <v/>
      </c>
      <c r="R5" s="84">
        <f>TEXT(VALUE(S$5)-1,"0")</f>
        <v/>
      </c>
      <c r="S5" s="84">
        <f>TEXT(in_anchor_year,"0")</f>
        <v/>
      </c>
    </row>
    <row r="6" ht="15" customHeight="1" s="62">
      <c r="A6" s="86" t="inlineStr">
        <is>
          <t>CPI deflator  [MULTIPLIER: nominal x this = base-year 2026$. Do NOT divide.]</t>
        </is>
      </c>
      <c r="B6" s="100">
        <f>IFERROR(INDEX(md_deflator,MATCH(B$5,md_years,0)),1)</f>
        <v/>
      </c>
      <c r="C6" s="100">
        <f>IFERROR(INDEX(md_deflator,MATCH(C$5,md_years,0)),1)</f>
        <v/>
      </c>
      <c r="D6" s="100">
        <f>IFERROR(INDEX(md_deflator,MATCH(D$5,md_years,0)),1)</f>
        <v/>
      </c>
      <c r="E6" s="100">
        <f>IFERROR(INDEX(md_deflator,MATCH(E$5,md_years,0)),1)</f>
        <v/>
      </c>
      <c r="F6" s="100">
        <f>IFERROR(INDEX(md_deflator,MATCH(F$5,md_years,0)),1)</f>
        <v/>
      </c>
      <c r="G6" s="100">
        <f>IFERROR(INDEX(md_deflator,MATCH(G$5,md_years,0)),1)</f>
        <v/>
      </c>
      <c r="H6" s="100">
        <f>IFERROR(INDEX(md_deflator,MATCH(H$5,md_years,0)),1)</f>
        <v/>
      </c>
      <c r="I6" s="100">
        <f>IFERROR(INDEX(md_deflator,MATCH(I$5,md_years,0)),1)</f>
        <v/>
      </c>
      <c r="J6" s="100">
        <f>IFERROR(INDEX(md_deflator,MATCH(J$5,md_years,0)),1)</f>
        <v/>
      </c>
      <c r="K6" s="100">
        <f>IFERROR(INDEX(md_deflator,MATCH(K$5,md_years,0)),1)</f>
        <v/>
      </c>
      <c r="L6" s="100">
        <f>IFERROR(INDEX(md_deflator,MATCH(L$5,md_years,0)),1)</f>
        <v/>
      </c>
      <c r="M6" s="100">
        <f>IFERROR(INDEX(md_deflator,MATCH(M$5,md_years,0)),1)</f>
        <v/>
      </c>
      <c r="N6" s="100">
        <f>IFERROR(INDEX(md_deflator,MATCH(N$5,md_years,0)),1)</f>
        <v/>
      </c>
      <c r="O6" s="100">
        <f>IFERROR(INDEX(md_deflator,MATCH(O$5,md_years,0)),1)</f>
        <v/>
      </c>
      <c r="P6" s="100">
        <f>IFERROR(INDEX(md_deflator,MATCH(P$5,md_years,0)),1)</f>
        <v/>
      </c>
      <c r="Q6" s="100">
        <f>IFERROR(INDEX(md_deflator,MATCH(Q$5,md_years,0)),1)</f>
        <v/>
      </c>
      <c r="R6" s="100">
        <f>IFERROR(INDEX(md_deflator,MATCH(R$5,md_years,0)),1)</f>
        <v/>
      </c>
      <c r="S6" s="100">
        <f>IFERROR(INDEX(md_deflator,MATCH(S$5,md_years,0)),1)</f>
        <v/>
      </c>
    </row>
    <row r="7" ht="15" customHeight="1" s="62">
      <c r="A7" s="86" t="inlineStr">
        <is>
          <t>BEA deflator  [MULTIPLIER: nominal x this = base-year 2026$. Do NOT divide.]</t>
        </is>
      </c>
      <c r="B7" s="100">
        <f>IFERROR(INDEX(md_deflator_ppe,MATCH(B$5,md_years_bea,0)),1)</f>
        <v/>
      </c>
      <c r="C7" s="100">
        <f>IFERROR(INDEX(md_deflator_ppe,MATCH(C$5,md_years_bea,0)),1)</f>
        <v/>
      </c>
      <c r="D7" s="100">
        <f>IFERROR(INDEX(md_deflator_ppe,MATCH(D$5,md_years_bea,0)),1)</f>
        <v/>
      </c>
      <c r="E7" s="100">
        <f>IFERROR(INDEX(md_deflator_ppe,MATCH(E$5,md_years_bea,0)),1)</f>
        <v/>
      </c>
      <c r="F7" s="100">
        <f>IFERROR(INDEX(md_deflator_ppe,MATCH(F$5,md_years_bea,0)),1)</f>
        <v/>
      </c>
      <c r="G7" s="100">
        <f>IFERROR(INDEX(md_deflator_ppe,MATCH(G$5,md_years_bea,0)),1)</f>
        <v/>
      </c>
      <c r="H7" s="100">
        <f>IFERROR(INDEX(md_deflator_ppe,MATCH(H$5,md_years_bea,0)),1)</f>
        <v/>
      </c>
      <c r="I7" s="100">
        <f>IFERROR(INDEX(md_deflator_ppe,MATCH(I$5,md_years_bea,0)),1)</f>
        <v/>
      </c>
      <c r="J7" s="100">
        <f>IFERROR(INDEX(md_deflator_ppe,MATCH(J$5,md_years_bea,0)),1)</f>
        <v/>
      </c>
      <c r="K7" s="100">
        <f>IFERROR(INDEX(md_deflator_ppe,MATCH(K$5,md_years_bea,0)),1)</f>
        <v/>
      </c>
      <c r="L7" s="100">
        <f>IFERROR(INDEX(md_deflator_ppe,MATCH(L$5,md_years_bea,0)),1)</f>
        <v/>
      </c>
      <c r="M7" s="100">
        <f>IFERROR(INDEX(md_deflator_ppe,MATCH(M$5,md_years_bea,0)),1)</f>
        <v/>
      </c>
      <c r="N7" s="100">
        <f>IFERROR(INDEX(md_deflator_ppe,MATCH(N$5,md_years_bea,0)),1)</f>
        <v/>
      </c>
      <c r="O7" s="100">
        <f>IFERROR(INDEX(md_deflator_ppe,MATCH(O$5,md_years_bea,0)),1)</f>
        <v/>
      </c>
      <c r="P7" s="100">
        <f>IFERROR(INDEX(md_deflator_ppe,MATCH(P$5,md_years_bea,0)),1)</f>
        <v/>
      </c>
      <c r="Q7" s="100">
        <f>IFERROR(INDEX(md_deflator_ppe,MATCH(Q$5,md_years_bea,0)),1)</f>
        <v/>
      </c>
      <c r="R7" s="100">
        <f>IFERROR(INDEX(md_deflator_ppe,MATCH(R$5,md_years_bea,0)),1)</f>
        <v/>
      </c>
      <c r="S7" s="100">
        <f>IFERROR(INDEX(md_deflator_ppe,MATCH(S$5,md_years_bea,0)),1)</f>
        <v/>
      </c>
    </row>
    <row r="9" ht="15" customHeight="1" s="62">
      <c r="A9" s="65" t="inlineStr">
        <is>
          <t>REPORTED (nominal $mm)</t>
        </is>
      </c>
    </row>
    <row r="10" ht="15" customHeight="1" s="62">
      <c r="A10" s="86" t="inlineStr">
        <is>
          <t>Total assets</t>
        </is>
      </c>
      <c r="B10" s="101">
        <f>IFERROR(INDEX(rep_total_assets,MATCH(B$5,rep_years_bs,0)),0)</f>
        <v/>
      </c>
      <c r="C10" s="101">
        <f>IFERROR(INDEX(rep_total_assets,MATCH(C$5,rep_years_bs,0)),0)</f>
        <v/>
      </c>
      <c r="D10" s="101">
        <f>IFERROR(INDEX(rep_total_assets,MATCH(D$5,rep_years_bs,0)),0)</f>
        <v/>
      </c>
      <c r="E10" s="101">
        <f>IFERROR(INDEX(rep_total_assets,MATCH(E$5,rep_years_bs,0)),0)</f>
        <v/>
      </c>
      <c r="F10" s="101">
        <f>IFERROR(INDEX(rep_total_assets,MATCH(F$5,rep_years_bs,0)),0)</f>
        <v/>
      </c>
      <c r="G10" s="101">
        <f>IFERROR(INDEX(rep_total_assets,MATCH(G$5,rep_years_bs,0)),0)</f>
        <v/>
      </c>
      <c r="H10" s="101">
        <f>IFERROR(INDEX(rep_total_assets,MATCH(H$5,rep_years_bs,0)),0)</f>
        <v/>
      </c>
      <c r="I10" s="101">
        <f>IFERROR(INDEX(rep_total_assets,MATCH(I$5,rep_years_bs,0)),0)</f>
        <v/>
      </c>
      <c r="J10" s="101">
        <f>IFERROR(INDEX(rep_total_assets,MATCH(J$5,rep_years_bs,0)),0)</f>
        <v/>
      </c>
      <c r="K10" s="101">
        <f>IFERROR(INDEX(rep_total_assets,MATCH(K$5,rep_years_bs,0)),0)</f>
        <v/>
      </c>
      <c r="L10" s="101">
        <f>IFERROR(INDEX(rep_total_assets,MATCH(L$5,rep_years_bs,0)),0)</f>
        <v/>
      </c>
      <c r="M10" s="101">
        <f>IFERROR(INDEX(rep_total_assets,MATCH(M$5,rep_years_bs,0)),0)</f>
        <v/>
      </c>
      <c r="N10" s="101">
        <f>IFERROR(INDEX(rep_total_assets,MATCH(N$5,rep_years_bs,0)),0)</f>
        <v/>
      </c>
      <c r="O10" s="101">
        <f>IFERROR(INDEX(rep_total_assets,MATCH(O$5,rep_years_bs,0)),0)</f>
        <v/>
      </c>
      <c r="P10" s="101">
        <f>IFERROR(INDEX(rep_total_assets,MATCH(P$5,rep_years_bs,0)),0)</f>
        <v/>
      </c>
      <c r="Q10" s="101">
        <f>IFERROR(INDEX(rep_total_assets,MATCH(Q$5,rep_years_bs,0)),0)</f>
        <v/>
      </c>
      <c r="R10" s="101">
        <f>IFERROR(INDEX(rep_total_assets,MATCH(R$5,rep_years_bs,0)),0)</f>
        <v/>
      </c>
      <c r="S10" s="101">
        <f>IFERROR(INDEX(rep_total_assets,MATCH(S$5,rep_years_bs,0)),0)</f>
        <v/>
      </c>
    </row>
    <row r="11" ht="15" customHeight="1" s="62">
      <c r="A11" s="86" t="inlineStr">
        <is>
          <t>Total liabilities</t>
        </is>
      </c>
      <c r="B11" s="101">
        <f>IFERROR(INDEX(rep_total_liab,MATCH(B$5,rep_years_bs,0)),0)</f>
        <v/>
      </c>
      <c r="C11" s="101">
        <f>IFERROR(INDEX(rep_total_liab,MATCH(C$5,rep_years_bs,0)),0)</f>
        <v/>
      </c>
      <c r="D11" s="101">
        <f>IFERROR(INDEX(rep_total_liab,MATCH(D$5,rep_years_bs,0)),0)</f>
        <v/>
      </c>
      <c r="E11" s="101">
        <f>IFERROR(INDEX(rep_total_liab,MATCH(E$5,rep_years_bs,0)),0)</f>
        <v/>
      </c>
      <c r="F11" s="101">
        <f>IFERROR(INDEX(rep_total_liab,MATCH(F$5,rep_years_bs,0)),0)</f>
        <v/>
      </c>
      <c r="G11" s="101">
        <f>IFERROR(INDEX(rep_total_liab,MATCH(G$5,rep_years_bs,0)),0)</f>
        <v/>
      </c>
      <c r="H11" s="101">
        <f>IFERROR(INDEX(rep_total_liab,MATCH(H$5,rep_years_bs,0)),0)</f>
        <v/>
      </c>
      <c r="I11" s="101">
        <f>IFERROR(INDEX(rep_total_liab,MATCH(I$5,rep_years_bs,0)),0)</f>
        <v/>
      </c>
      <c r="J11" s="101">
        <f>IFERROR(INDEX(rep_total_liab,MATCH(J$5,rep_years_bs,0)),0)</f>
        <v/>
      </c>
      <c r="K11" s="101">
        <f>IFERROR(INDEX(rep_total_liab,MATCH(K$5,rep_years_bs,0)),0)</f>
        <v/>
      </c>
      <c r="L11" s="101">
        <f>IFERROR(INDEX(rep_total_liab,MATCH(L$5,rep_years_bs,0)),0)</f>
        <v/>
      </c>
      <c r="M11" s="101">
        <f>IFERROR(INDEX(rep_total_liab,MATCH(M$5,rep_years_bs,0)),0)</f>
        <v/>
      </c>
      <c r="N11" s="101">
        <f>IFERROR(INDEX(rep_total_liab,MATCH(N$5,rep_years_bs,0)),0)</f>
        <v/>
      </c>
      <c r="O11" s="101">
        <f>IFERROR(INDEX(rep_total_liab,MATCH(O$5,rep_years_bs,0)),0)</f>
        <v/>
      </c>
      <c r="P11" s="101">
        <f>IFERROR(INDEX(rep_total_liab,MATCH(P$5,rep_years_bs,0)),0)</f>
        <v/>
      </c>
      <c r="Q11" s="101">
        <f>IFERROR(INDEX(rep_total_liab,MATCH(Q$5,rep_years_bs,0)),0)</f>
        <v/>
      </c>
      <c r="R11" s="101">
        <f>IFERROR(INDEX(rep_total_liab,MATCH(R$5,rep_years_bs,0)),0)</f>
        <v/>
      </c>
      <c r="S11" s="101">
        <f>IFERROR(INDEX(rep_total_liab,MATCH(S$5,rep_years_bs,0)),0)</f>
        <v/>
      </c>
    </row>
    <row r="12" ht="15" customHeight="1" s="62">
      <c r="A12" s="86" t="inlineStr">
        <is>
          <t>Cash</t>
        </is>
      </c>
      <c r="B12" s="101">
        <f>IFERROR(INDEX(rep_cash,MATCH(B$5,rep_years_bs,0)),0)</f>
        <v/>
      </c>
      <c r="C12" s="101">
        <f>IFERROR(INDEX(rep_cash,MATCH(C$5,rep_years_bs,0)),0)</f>
        <v/>
      </c>
      <c r="D12" s="101">
        <f>IFERROR(INDEX(rep_cash,MATCH(D$5,rep_years_bs,0)),0)</f>
        <v/>
      </c>
      <c r="E12" s="101">
        <f>IFERROR(INDEX(rep_cash,MATCH(E$5,rep_years_bs,0)),0)</f>
        <v/>
      </c>
      <c r="F12" s="101">
        <f>IFERROR(INDEX(rep_cash,MATCH(F$5,rep_years_bs,0)),0)</f>
        <v/>
      </c>
      <c r="G12" s="101">
        <f>IFERROR(INDEX(rep_cash,MATCH(G$5,rep_years_bs,0)),0)</f>
        <v/>
      </c>
      <c r="H12" s="101">
        <f>IFERROR(INDEX(rep_cash,MATCH(H$5,rep_years_bs,0)),0)</f>
        <v/>
      </c>
      <c r="I12" s="101">
        <f>IFERROR(INDEX(rep_cash,MATCH(I$5,rep_years_bs,0)),0)</f>
        <v/>
      </c>
      <c r="J12" s="101">
        <f>IFERROR(INDEX(rep_cash,MATCH(J$5,rep_years_bs,0)),0)</f>
        <v/>
      </c>
      <c r="K12" s="101">
        <f>IFERROR(INDEX(rep_cash,MATCH(K$5,rep_years_bs,0)),0)</f>
        <v/>
      </c>
      <c r="L12" s="101">
        <f>IFERROR(INDEX(rep_cash,MATCH(L$5,rep_years_bs,0)),0)</f>
        <v/>
      </c>
      <c r="M12" s="101">
        <f>IFERROR(INDEX(rep_cash,MATCH(M$5,rep_years_bs,0)),0)</f>
        <v/>
      </c>
      <c r="N12" s="101">
        <f>IFERROR(INDEX(rep_cash,MATCH(N$5,rep_years_bs,0)),0)</f>
        <v/>
      </c>
      <c r="O12" s="101">
        <f>IFERROR(INDEX(rep_cash,MATCH(O$5,rep_years_bs,0)),0)</f>
        <v/>
      </c>
      <c r="P12" s="101">
        <f>IFERROR(INDEX(rep_cash,MATCH(P$5,rep_years_bs,0)),0)</f>
        <v/>
      </c>
      <c r="Q12" s="101">
        <f>IFERROR(INDEX(rep_cash,MATCH(Q$5,rep_years_bs,0)),0)</f>
        <v/>
      </c>
      <c r="R12" s="101">
        <f>IFERROR(INDEX(rep_cash,MATCH(R$5,rep_years_bs,0)),0)</f>
        <v/>
      </c>
      <c r="S12" s="101">
        <f>IFERROR(INDEX(rep_cash,MATCH(S$5,rep_years_bs,0)),0)</f>
        <v/>
      </c>
    </row>
    <row r="13" ht="15" customHeight="1" s="62">
      <c r="A13" s="86" t="inlineStr">
        <is>
          <t>Short-term investments</t>
        </is>
      </c>
      <c r="B13" s="101">
        <f>IFERROR(INDEX(rep_sti,MATCH(B$5,rep_years_bs,0)),0)</f>
        <v/>
      </c>
      <c r="C13" s="101">
        <f>IFERROR(INDEX(rep_sti,MATCH(C$5,rep_years_bs,0)),0)</f>
        <v/>
      </c>
      <c r="D13" s="101">
        <f>IFERROR(INDEX(rep_sti,MATCH(D$5,rep_years_bs,0)),0)</f>
        <v/>
      </c>
      <c r="E13" s="101">
        <f>IFERROR(INDEX(rep_sti,MATCH(E$5,rep_years_bs,0)),0)</f>
        <v/>
      </c>
      <c r="F13" s="101">
        <f>IFERROR(INDEX(rep_sti,MATCH(F$5,rep_years_bs,0)),0)</f>
        <v/>
      </c>
      <c r="G13" s="101">
        <f>IFERROR(INDEX(rep_sti,MATCH(G$5,rep_years_bs,0)),0)</f>
        <v/>
      </c>
      <c r="H13" s="101">
        <f>IFERROR(INDEX(rep_sti,MATCH(H$5,rep_years_bs,0)),0)</f>
        <v/>
      </c>
      <c r="I13" s="101">
        <f>IFERROR(INDEX(rep_sti,MATCH(I$5,rep_years_bs,0)),0)</f>
        <v/>
      </c>
      <c r="J13" s="101">
        <f>IFERROR(INDEX(rep_sti,MATCH(J$5,rep_years_bs,0)),0)</f>
        <v/>
      </c>
      <c r="K13" s="101">
        <f>IFERROR(INDEX(rep_sti,MATCH(K$5,rep_years_bs,0)),0)</f>
        <v/>
      </c>
      <c r="L13" s="101">
        <f>IFERROR(INDEX(rep_sti,MATCH(L$5,rep_years_bs,0)),0)</f>
        <v/>
      </c>
      <c r="M13" s="101">
        <f>IFERROR(INDEX(rep_sti,MATCH(M$5,rep_years_bs,0)),0)</f>
        <v/>
      </c>
      <c r="N13" s="101">
        <f>IFERROR(INDEX(rep_sti,MATCH(N$5,rep_years_bs,0)),0)</f>
        <v/>
      </c>
      <c r="O13" s="101">
        <f>IFERROR(INDEX(rep_sti,MATCH(O$5,rep_years_bs,0)),0)</f>
        <v/>
      </c>
      <c r="P13" s="101">
        <f>IFERROR(INDEX(rep_sti,MATCH(P$5,rep_years_bs,0)),0)</f>
        <v/>
      </c>
      <c r="Q13" s="101">
        <f>IFERROR(INDEX(rep_sti,MATCH(Q$5,rep_years_bs,0)),0)</f>
        <v/>
      </c>
      <c r="R13" s="101">
        <f>IFERROR(INDEX(rep_sti,MATCH(R$5,rep_years_bs,0)),0)</f>
        <v/>
      </c>
      <c r="S13" s="101">
        <f>IFERROR(INDEX(rep_sti,MATCH(S$5,rep_years_bs,0)),0)</f>
        <v/>
      </c>
    </row>
    <row r="14" ht="15" customHeight="1" s="62">
      <c r="A14" s="86" t="inlineStr">
        <is>
          <t>Total debt</t>
        </is>
      </c>
      <c r="B14" s="101">
        <f>IFERROR(INDEX(rep_total_debt,MATCH(B$5,rep_years_bs,0)),0)</f>
        <v/>
      </c>
      <c r="C14" s="101">
        <f>IFERROR(INDEX(rep_total_debt,MATCH(C$5,rep_years_bs,0)),0)</f>
        <v/>
      </c>
      <c r="D14" s="101">
        <f>IFERROR(INDEX(rep_total_debt,MATCH(D$5,rep_years_bs,0)),0)</f>
        <v/>
      </c>
      <c r="E14" s="101">
        <f>IFERROR(INDEX(rep_total_debt,MATCH(E$5,rep_years_bs,0)),0)</f>
        <v/>
      </c>
      <c r="F14" s="101">
        <f>IFERROR(INDEX(rep_total_debt,MATCH(F$5,rep_years_bs,0)),0)</f>
        <v/>
      </c>
      <c r="G14" s="101">
        <f>IFERROR(INDEX(rep_total_debt,MATCH(G$5,rep_years_bs,0)),0)</f>
        <v/>
      </c>
      <c r="H14" s="101">
        <f>IFERROR(INDEX(rep_total_debt,MATCH(H$5,rep_years_bs,0)),0)</f>
        <v/>
      </c>
      <c r="I14" s="101">
        <f>IFERROR(INDEX(rep_total_debt,MATCH(I$5,rep_years_bs,0)),0)</f>
        <v/>
      </c>
      <c r="J14" s="101">
        <f>IFERROR(INDEX(rep_total_debt,MATCH(J$5,rep_years_bs,0)),0)</f>
        <v/>
      </c>
      <c r="K14" s="101">
        <f>IFERROR(INDEX(rep_total_debt,MATCH(K$5,rep_years_bs,0)),0)</f>
        <v/>
      </c>
      <c r="L14" s="101">
        <f>IFERROR(INDEX(rep_total_debt,MATCH(L$5,rep_years_bs,0)),0)</f>
        <v/>
      </c>
      <c r="M14" s="101">
        <f>IFERROR(INDEX(rep_total_debt,MATCH(M$5,rep_years_bs,0)),0)</f>
        <v/>
      </c>
      <c r="N14" s="101">
        <f>IFERROR(INDEX(rep_total_debt,MATCH(N$5,rep_years_bs,0)),0)</f>
        <v/>
      </c>
      <c r="O14" s="101">
        <f>IFERROR(INDEX(rep_total_debt,MATCH(O$5,rep_years_bs,0)),0)</f>
        <v/>
      </c>
      <c r="P14" s="101">
        <f>IFERROR(INDEX(rep_total_debt,MATCH(P$5,rep_years_bs,0)),0)</f>
        <v/>
      </c>
      <c r="Q14" s="101">
        <f>IFERROR(INDEX(rep_total_debt,MATCH(Q$5,rep_years_bs,0)),0)</f>
        <v/>
      </c>
      <c r="R14" s="101">
        <f>IFERROR(INDEX(rep_total_debt,MATCH(R$5,rep_years_bs,0)),0)</f>
        <v/>
      </c>
      <c r="S14" s="101">
        <f>IFERROR(INDEX(rep_total_debt,MATCH(S$5,rep_years_bs,0)),0)</f>
        <v/>
      </c>
    </row>
    <row r="15" ht="15" customHeight="1" s="62">
      <c r="A15" s="86" t="inlineStr">
        <is>
          <t>Pension (NC)</t>
        </is>
      </c>
      <c r="B15" s="101">
        <f>IFERROR(INDEX(rep_pension,MATCH(B$5,rep_years_bs,0)),0)</f>
        <v/>
      </c>
      <c r="C15" s="101">
        <f>IFERROR(INDEX(rep_pension,MATCH(C$5,rep_years_bs,0)),0)</f>
        <v/>
      </c>
      <c r="D15" s="101">
        <f>IFERROR(INDEX(rep_pension,MATCH(D$5,rep_years_bs,0)),0)</f>
        <v/>
      </c>
      <c r="E15" s="101">
        <f>IFERROR(INDEX(rep_pension,MATCH(E$5,rep_years_bs,0)),0)</f>
        <v/>
      </c>
      <c r="F15" s="101">
        <f>IFERROR(INDEX(rep_pension,MATCH(F$5,rep_years_bs,0)),0)</f>
        <v/>
      </c>
      <c r="G15" s="101">
        <f>IFERROR(INDEX(rep_pension,MATCH(G$5,rep_years_bs,0)),0)</f>
        <v/>
      </c>
      <c r="H15" s="101">
        <f>IFERROR(INDEX(rep_pension,MATCH(H$5,rep_years_bs,0)),0)</f>
        <v/>
      </c>
      <c r="I15" s="101">
        <f>IFERROR(INDEX(rep_pension,MATCH(I$5,rep_years_bs,0)),0)</f>
        <v/>
      </c>
      <c r="J15" s="101">
        <f>IFERROR(INDEX(rep_pension,MATCH(J$5,rep_years_bs,0)),0)</f>
        <v/>
      </c>
      <c r="K15" s="101">
        <f>IFERROR(INDEX(rep_pension,MATCH(K$5,rep_years_bs,0)),0)</f>
        <v/>
      </c>
      <c r="L15" s="101">
        <f>IFERROR(INDEX(rep_pension,MATCH(L$5,rep_years_bs,0)),0)</f>
        <v/>
      </c>
      <c r="M15" s="101">
        <f>IFERROR(INDEX(rep_pension,MATCH(M$5,rep_years_bs,0)),0)</f>
        <v/>
      </c>
      <c r="N15" s="101">
        <f>IFERROR(INDEX(rep_pension,MATCH(N$5,rep_years_bs,0)),0)</f>
        <v/>
      </c>
      <c r="O15" s="101">
        <f>IFERROR(INDEX(rep_pension,MATCH(O$5,rep_years_bs,0)),0)</f>
        <v/>
      </c>
      <c r="P15" s="101">
        <f>IFERROR(INDEX(rep_pension,MATCH(P$5,rep_years_bs,0)),0)</f>
        <v/>
      </c>
      <c r="Q15" s="101">
        <f>IFERROR(INDEX(rep_pension,MATCH(Q$5,rep_years_bs,0)),0)</f>
        <v/>
      </c>
      <c r="R15" s="101">
        <f>IFERROR(INDEX(rep_pension,MATCH(R$5,rep_years_bs,0)),0)</f>
        <v/>
      </c>
      <c r="S15" s="101">
        <f>IFERROR(INDEX(rep_pension,MATCH(S$5,rep_years_bs,0)),0)</f>
        <v/>
      </c>
    </row>
    <row r="16" ht="15" customHeight="1" s="62">
      <c r="A16" s="86" t="inlineStr">
        <is>
          <t>Minority interest</t>
        </is>
      </c>
      <c r="B16" s="101">
        <f>IFERROR(INDEX(rep_mi,MATCH(B$5,rep_years_bs,0)),0)</f>
        <v/>
      </c>
      <c r="C16" s="101">
        <f>IFERROR(INDEX(rep_mi,MATCH(C$5,rep_years_bs,0)),0)</f>
        <v/>
      </c>
      <c r="D16" s="101">
        <f>IFERROR(INDEX(rep_mi,MATCH(D$5,rep_years_bs,0)),0)</f>
        <v/>
      </c>
      <c r="E16" s="101">
        <f>IFERROR(INDEX(rep_mi,MATCH(E$5,rep_years_bs,0)),0)</f>
        <v/>
      </c>
      <c r="F16" s="101">
        <f>IFERROR(INDEX(rep_mi,MATCH(F$5,rep_years_bs,0)),0)</f>
        <v/>
      </c>
      <c r="G16" s="101">
        <f>IFERROR(INDEX(rep_mi,MATCH(G$5,rep_years_bs,0)),0)</f>
        <v/>
      </c>
      <c r="H16" s="101">
        <f>IFERROR(INDEX(rep_mi,MATCH(H$5,rep_years_bs,0)),0)</f>
        <v/>
      </c>
      <c r="I16" s="101">
        <f>IFERROR(INDEX(rep_mi,MATCH(I$5,rep_years_bs,0)),0)</f>
        <v/>
      </c>
      <c r="J16" s="101">
        <f>IFERROR(INDEX(rep_mi,MATCH(J$5,rep_years_bs,0)),0)</f>
        <v/>
      </c>
      <c r="K16" s="101">
        <f>IFERROR(INDEX(rep_mi,MATCH(K$5,rep_years_bs,0)),0)</f>
        <v/>
      </c>
      <c r="L16" s="101">
        <f>IFERROR(INDEX(rep_mi,MATCH(L$5,rep_years_bs,0)),0)</f>
        <v/>
      </c>
      <c r="M16" s="101">
        <f>IFERROR(INDEX(rep_mi,MATCH(M$5,rep_years_bs,0)),0)</f>
        <v/>
      </c>
      <c r="N16" s="101">
        <f>IFERROR(INDEX(rep_mi,MATCH(N$5,rep_years_bs,0)),0)</f>
        <v/>
      </c>
      <c r="O16" s="101">
        <f>IFERROR(INDEX(rep_mi,MATCH(O$5,rep_years_bs,0)),0)</f>
        <v/>
      </c>
      <c r="P16" s="101">
        <f>IFERROR(INDEX(rep_mi,MATCH(P$5,rep_years_bs,0)),0)</f>
        <v/>
      </c>
      <c r="Q16" s="101">
        <f>IFERROR(INDEX(rep_mi,MATCH(Q$5,rep_years_bs,0)),0)</f>
        <v/>
      </c>
      <c r="R16" s="101">
        <f>IFERROR(INDEX(rep_mi,MATCH(R$5,rep_years_bs,0)),0)</f>
        <v/>
      </c>
      <c r="S16" s="101">
        <f>IFERROR(INDEX(rep_mi,MATCH(S$5,rep_years_bs,0)),0)</f>
        <v/>
      </c>
    </row>
    <row r="17" ht="15" customHeight="1" s="62">
      <c r="A17" s="86" t="inlineStr">
        <is>
          <t>Reported net PP&amp;E</t>
        </is>
      </c>
      <c r="B17" s="101">
        <f>IFERROR(INDEX(rep_net_ppe,MATCH(B$5,rep_years_bs,0)),0)</f>
        <v/>
      </c>
      <c r="C17" s="101">
        <f>IFERROR(INDEX(rep_net_ppe,MATCH(C$5,rep_years_bs,0)),0)</f>
        <v/>
      </c>
      <c r="D17" s="101">
        <f>IFERROR(INDEX(rep_net_ppe,MATCH(D$5,rep_years_bs,0)),0)</f>
        <v/>
      </c>
      <c r="E17" s="101">
        <f>IFERROR(INDEX(rep_net_ppe,MATCH(E$5,rep_years_bs,0)),0)</f>
        <v/>
      </c>
      <c r="F17" s="101">
        <f>IFERROR(INDEX(rep_net_ppe,MATCH(F$5,rep_years_bs,0)),0)</f>
        <v/>
      </c>
      <c r="G17" s="101">
        <f>IFERROR(INDEX(rep_net_ppe,MATCH(G$5,rep_years_bs,0)),0)</f>
        <v/>
      </c>
      <c r="H17" s="101">
        <f>IFERROR(INDEX(rep_net_ppe,MATCH(H$5,rep_years_bs,0)),0)</f>
        <v/>
      </c>
      <c r="I17" s="101">
        <f>IFERROR(INDEX(rep_net_ppe,MATCH(I$5,rep_years_bs,0)),0)</f>
        <v/>
      </c>
      <c r="J17" s="101">
        <f>IFERROR(INDEX(rep_net_ppe,MATCH(J$5,rep_years_bs,0)),0)</f>
        <v/>
      </c>
      <c r="K17" s="101">
        <f>IFERROR(INDEX(rep_net_ppe,MATCH(K$5,rep_years_bs,0)),0)</f>
        <v/>
      </c>
      <c r="L17" s="101">
        <f>IFERROR(INDEX(rep_net_ppe,MATCH(L$5,rep_years_bs,0)),0)</f>
        <v/>
      </c>
      <c r="M17" s="101">
        <f>IFERROR(INDEX(rep_net_ppe,MATCH(M$5,rep_years_bs,0)),0)</f>
        <v/>
      </c>
      <c r="N17" s="101">
        <f>IFERROR(INDEX(rep_net_ppe,MATCH(N$5,rep_years_bs,0)),0)</f>
        <v/>
      </c>
      <c r="O17" s="101">
        <f>IFERROR(INDEX(rep_net_ppe,MATCH(O$5,rep_years_bs,0)),0)</f>
        <v/>
      </c>
      <c r="P17" s="101">
        <f>IFERROR(INDEX(rep_net_ppe,MATCH(P$5,rep_years_bs,0)),0)</f>
        <v/>
      </c>
      <c r="Q17" s="101">
        <f>IFERROR(INDEX(rep_net_ppe,MATCH(Q$5,rep_years_bs,0)),0)</f>
        <v/>
      </c>
      <c r="R17" s="101">
        <f>IFERROR(INDEX(rep_net_ppe,MATCH(R$5,rep_years_bs,0)),0)</f>
        <v/>
      </c>
      <c r="S17" s="101">
        <f>IFERROR(INDEX(rep_net_ppe,MATCH(S$5,rep_years_bs,0)),0)</f>
        <v/>
      </c>
    </row>
    <row r="18" ht="15" customHeight="1" s="62">
      <c r="A18" s="86" t="inlineStr">
        <is>
          <t>Reported CSE (common)</t>
        </is>
      </c>
      <c r="B18" s="101">
        <f>IFERROR(INDEX(rep_cse,MATCH(B$5,rep_years_bs,0)),0)</f>
        <v/>
      </c>
      <c r="C18" s="101">
        <f>IFERROR(INDEX(rep_cse,MATCH(C$5,rep_years_bs,0)),0)</f>
        <v/>
      </c>
      <c r="D18" s="101">
        <f>IFERROR(INDEX(rep_cse,MATCH(D$5,rep_years_bs,0)),0)</f>
        <v/>
      </c>
      <c r="E18" s="101">
        <f>IFERROR(INDEX(rep_cse,MATCH(E$5,rep_years_bs,0)),0)</f>
        <v/>
      </c>
      <c r="F18" s="101">
        <f>IFERROR(INDEX(rep_cse,MATCH(F$5,rep_years_bs,0)),0)</f>
        <v/>
      </c>
      <c r="G18" s="101">
        <f>IFERROR(INDEX(rep_cse,MATCH(G$5,rep_years_bs,0)),0)</f>
        <v/>
      </c>
      <c r="H18" s="101">
        <f>IFERROR(INDEX(rep_cse,MATCH(H$5,rep_years_bs,0)),0)</f>
        <v/>
      </c>
      <c r="I18" s="101">
        <f>IFERROR(INDEX(rep_cse,MATCH(I$5,rep_years_bs,0)),0)</f>
        <v/>
      </c>
      <c r="J18" s="101">
        <f>IFERROR(INDEX(rep_cse,MATCH(J$5,rep_years_bs,0)),0)</f>
        <v/>
      </c>
      <c r="K18" s="101">
        <f>IFERROR(INDEX(rep_cse,MATCH(K$5,rep_years_bs,0)),0)</f>
        <v/>
      </c>
      <c r="L18" s="101">
        <f>IFERROR(INDEX(rep_cse,MATCH(L$5,rep_years_bs,0)),0)</f>
        <v/>
      </c>
      <c r="M18" s="101">
        <f>IFERROR(INDEX(rep_cse,MATCH(M$5,rep_years_bs,0)),0)</f>
        <v/>
      </c>
      <c r="N18" s="101">
        <f>IFERROR(INDEX(rep_cse,MATCH(N$5,rep_years_bs,0)),0)</f>
        <v/>
      </c>
      <c r="O18" s="101">
        <f>IFERROR(INDEX(rep_cse,MATCH(O$5,rep_years_bs,0)),0)</f>
        <v/>
      </c>
      <c r="P18" s="101">
        <f>IFERROR(INDEX(rep_cse,MATCH(P$5,rep_years_bs,0)),0)</f>
        <v/>
      </c>
      <c r="Q18" s="101">
        <f>IFERROR(INDEX(rep_cse,MATCH(Q$5,rep_years_bs,0)),0)</f>
        <v/>
      </c>
      <c r="R18" s="101">
        <f>IFERROR(INDEX(rep_cse,MATCH(R$5,rep_years_bs,0)),0)</f>
        <v/>
      </c>
      <c r="S18" s="101">
        <f>IFERROR(INDEX(rep_cse,MATCH(S$5,rep_years_bs,0)),0)</f>
        <v/>
      </c>
    </row>
    <row r="19" ht="15" customHeight="1" s="62">
      <c r="A19" s="86" t="inlineStr">
        <is>
          <t>Shares (mm)</t>
        </is>
      </c>
      <c r="B19" s="102">
        <f>IFERROR(INDEX(rep_shares,MATCH(B$5,rep_years_bs,0)),0)</f>
        <v/>
      </c>
      <c r="C19" s="102">
        <f>IFERROR(INDEX(rep_shares,MATCH(C$5,rep_years_bs,0)),0)</f>
        <v/>
      </c>
      <c r="D19" s="102">
        <f>IFERROR(INDEX(rep_shares,MATCH(D$5,rep_years_bs,0)),0)</f>
        <v/>
      </c>
      <c r="E19" s="102">
        <f>IFERROR(INDEX(rep_shares,MATCH(E$5,rep_years_bs,0)),0)</f>
        <v/>
      </c>
      <c r="F19" s="102">
        <f>IFERROR(INDEX(rep_shares,MATCH(F$5,rep_years_bs,0)),0)</f>
        <v/>
      </c>
      <c r="G19" s="102">
        <f>IFERROR(INDEX(rep_shares,MATCH(G$5,rep_years_bs,0)),0)</f>
        <v/>
      </c>
      <c r="H19" s="102">
        <f>IFERROR(INDEX(rep_shares,MATCH(H$5,rep_years_bs,0)),0)</f>
        <v/>
      </c>
      <c r="I19" s="102">
        <f>IFERROR(INDEX(rep_shares,MATCH(I$5,rep_years_bs,0)),0)</f>
        <v/>
      </c>
      <c r="J19" s="102">
        <f>IFERROR(INDEX(rep_shares,MATCH(J$5,rep_years_bs,0)),0)</f>
        <v/>
      </c>
      <c r="K19" s="102">
        <f>IFERROR(INDEX(rep_shares,MATCH(K$5,rep_years_bs,0)),0)</f>
        <v/>
      </c>
      <c r="L19" s="102">
        <f>IFERROR(INDEX(rep_shares,MATCH(L$5,rep_years_bs,0)),0)</f>
        <v/>
      </c>
      <c r="M19" s="102">
        <f>IFERROR(INDEX(rep_shares,MATCH(M$5,rep_years_bs,0)),0)</f>
        <v/>
      </c>
      <c r="N19" s="102">
        <f>IFERROR(INDEX(rep_shares,MATCH(N$5,rep_years_bs,0)),0)</f>
        <v/>
      </c>
      <c r="O19" s="102">
        <f>IFERROR(INDEX(rep_shares,MATCH(O$5,rep_years_bs,0)),0)</f>
        <v/>
      </c>
      <c r="P19" s="102">
        <f>IFERROR(INDEX(rep_shares,MATCH(P$5,rep_years_bs,0)),0)</f>
        <v/>
      </c>
      <c r="Q19" s="102">
        <f>IFERROR(INDEX(rep_shares,MATCH(Q$5,rep_years_bs,0)),0)</f>
        <v/>
      </c>
      <c r="R19" s="102">
        <f>IFERROR(INDEX(rep_shares,MATCH(R$5,rep_years_bs,0)),0)</f>
        <v/>
      </c>
      <c r="S19" s="102">
        <f>IFERROR(INDEX(rep_shares,MATCH(S$5,rep_years_bs,0)),0)</f>
        <v/>
      </c>
    </row>
    <row r="20" ht="15" customHeight="1" s="62">
      <c r="A20" s="86" t="inlineStr">
        <is>
          <t>Operating income</t>
        </is>
      </c>
      <c r="B20" s="101">
        <f>IFERROR(INDEX(rep_oi,MATCH(B$5,rep_years_is,0)),0)</f>
        <v/>
      </c>
      <c r="C20" s="101">
        <f>IFERROR(INDEX(rep_oi,MATCH(C$5,rep_years_is,0)),0)</f>
        <v/>
      </c>
      <c r="D20" s="101">
        <f>IFERROR(INDEX(rep_oi,MATCH(D$5,rep_years_is,0)),0)</f>
        <v/>
      </c>
      <c r="E20" s="101">
        <f>IFERROR(INDEX(rep_oi,MATCH(E$5,rep_years_is,0)),0)</f>
        <v/>
      </c>
      <c r="F20" s="101">
        <f>IFERROR(INDEX(rep_oi,MATCH(F$5,rep_years_is,0)),0)</f>
        <v/>
      </c>
      <c r="G20" s="101">
        <f>IFERROR(INDEX(rep_oi,MATCH(G$5,rep_years_is,0)),0)</f>
        <v/>
      </c>
      <c r="H20" s="101">
        <f>IFERROR(INDEX(rep_oi,MATCH(H$5,rep_years_is,0)),0)</f>
        <v/>
      </c>
      <c r="I20" s="101">
        <f>IFERROR(INDEX(rep_oi,MATCH(I$5,rep_years_is,0)),0)</f>
        <v/>
      </c>
      <c r="J20" s="101">
        <f>IFERROR(INDEX(rep_oi,MATCH(J$5,rep_years_is,0)),0)</f>
        <v/>
      </c>
      <c r="K20" s="101">
        <f>IFERROR(INDEX(rep_oi,MATCH(K$5,rep_years_is,0)),0)</f>
        <v/>
      </c>
      <c r="L20" s="101">
        <f>IFERROR(INDEX(rep_oi,MATCH(L$5,rep_years_is,0)),0)</f>
        <v/>
      </c>
      <c r="M20" s="101">
        <f>IFERROR(INDEX(rep_oi,MATCH(M$5,rep_years_is,0)),0)</f>
        <v/>
      </c>
      <c r="N20" s="101">
        <f>IFERROR(INDEX(rep_oi,MATCH(N$5,rep_years_is,0)),0)</f>
        <v/>
      </c>
      <c r="O20" s="101">
        <f>IFERROR(INDEX(rep_oi,MATCH(O$5,rep_years_is,0)),0)</f>
        <v/>
      </c>
      <c r="P20" s="101">
        <f>IFERROR(INDEX(rep_oi,MATCH(P$5,rep_years_is,0)),0)</f>
        <v/>
      </c>
      <c r="Q20" s="101">
        <f>IFERROR(INDEX(rep_oi,MATCH(Q$5,rep_years_is,0)),0)</f>
        <v/>
      </c>
      <c r="R20" s="101">
        <f>IFERROR(INDEX(rep_oi,MATCH(R$5,rep_years_is,0)),0)</f>
        <v/>
      </c>
      <c r="S20" s="101">
        <f>IFERROR(INDEX(rep_oi,MATCH(S$5,rep_years_is,0)),0)</f>
        <v/>
      </c>
    </row>
    <row r="21" ht="15" customHeight="1" s="62">
      <c r="A21" s="86" t="inlineStr">
        <is>
          <t>D&amp;A (reconciled)</t>
        </is>
      </c>
      <c r="B21" s="101">
        <f>IFERROR(INDEX(rep_da,MATCH(B$5,rep_years_is,0)),0)</f>
        <v/>
      </c>
      <c r="C21" s="101">
        <f>IFERROR(INDEX(rep_da,MATCH(C$5,rep_years_is,0)),0)</f>
        <v/>
      </c>
      <c r="D21" s="101">
        <f>IFERROR(INDEX(rep_da,MATCH(D$5,rep_years_is,0)),0)</f>
        <v/>
      </c>
      <c r="E21" s="101">
        <f>IFERROR(INDEX(rep_da,MATCH(E$5,rep_years_is,0)),0)</f>
        <v/>
      </c>
      <c r="F21" s="101">
        <f>IFERROR(INDEX(rep_da,MATCH(F$5,rep_years_is,0)),0)</f>
        <v/>
      </c>
      <c r="G21" s="101">
        <f>IFERROR(INDEX(rep_da,MATCH(G$5,rep_years_is,0)),0)</f>
        <v/>
      </c>
      <c r="H21" s="101">
        <f>IFERROR(INDEX(rep_da,MATCH(H$5,rep_years_is,0)),0)</f>
        <v/>
      </c>
      <c r="I21" s="101">
        <f>IFERROR(INDEX(rep_da,MATCH(I$5,rep_years_is,0)),0)</f>
        <v/>
      </c>
      <c r="J21" s="101">
        <f>IFERROR(INDEX(rep_da,MATCH(J$5,rep_years_is,0)),0)</f>
        <v/>
      </c>
      <c r="K21" s="101">
        <f>IFERROR(INDEX(rep_da,MATCH(K$5,rep_years_is,0)),0)</f>
        <v/>
      </c>
      <c r="L21" s="101">
        <f>IFERROR(INDEX(rep_da,MATCH(L$5,rep_years_is,0)),0)</f>
        <v/>
      </c>
      <c r="M21" s="101">
        <f>IFERROR(INDEX(rep_da,MATCH(M$5,rep_years_is,0)),0)</f>
        <v/>
      </c>
      <c r="N21" s="101">
        <f>IFERROR(INDEX(rep_da,MATCH(N$5,rep_years_is,0)),0)</f>
        <v/>
      </c>
      <c r="O21" s="101">
        <f>IFERROR(INDEX(rep_da,MATCH(O$5,rep_years_is,0)),0)</f>
        <v/>
      </c>
      <c r="P21" s="101">
        <f>IFERROR(INDEX(rep_da,MATCH(P$5,rep_years_is,0)),0)</f>
        <v/>
      </c>
      <c r="Q21" s="101">
        <f>IFERROR(INDEX(rep_da,MATCH(Q$5,rep_years_is,0)),0)</f>
        <v/>
      </c>
      <c r="R21" s="101">
        <f>IFERROR(INDEX(rep_da,MATCH(R$5,rep_years_is,0)),0)</f>
        <v/>
      </c>
      <c r="S21" s="101">
        <f>IFERROR(INDEX(rep_da,MATCH(S$5,rep_years_is,0)),0)</f>
        <v/>
      </c>
    </row>
    <row r="22" ht="15" customHeight="1" s="62">
      <c r="A22" s="86" t="inlineStr">
        <is>
          <t>Net income (common)</t>
        </is>
      </c>
      <c r="B22" s="101">
        <f>IFERROR(INDEX(rep_ni,MATCH(B$5,rep_years_is,0)),0)</f>
        <v/>
      </c>
      <c r="C22" s="101">
        <f>IFERROR(INDEX(rep_ni,MATCH(C$5,rep_years_is,0)),0)</f>
        <v/>
      </c>
      <c r="D22" s="101">
        <f>IFERROR(INDEX(rep_ni,MATCH(D$5,rep_years_is,0)),0)</f>
        <v/>
      </c>
      <c r="E22" s="101">
        <f>IFERROR(INDEX(rep_ni,MATCH(E$5,rep_years_is,0)),0)</f>
        <v/>
      </c>
      <c r="F22" s="101">
        <f>IFERROR(INDEX(rep_ni,MATCH(F$5,rep_years_is,0)),0)</f>
        <v/>
      </c>
      <c r="G22" s="101">
        <f>IFERROR(INDEX(rep_ni,MATCH(G$5,rep_years_is,0)),0)</f>
        <v/>
      </c>
      <c r="H22" s="101">
        <f>IFERROR(INDEX(rep_ni,MATCH(H$5,rep_years_is,0)),0)</f>
        <v/>
      </c>
      <c r="I22" s="101">
        <f>IFERROR(INDEX(rep_ni,MATCH(I$5,rep_years_is,0)),0)</f>
        <v/>
      </c>
      <c r="J22" s="101">
        <f>IFERROR(INDEX(rep_ni,MATCH(J$5,rep_years_is,0)),0)</f>
        <v/>
      </c>
      <c r="K22" s="101">
        <f>IFERROR(INDEX(rep_ni,MATCH(K$5,rep_years_is,0)),0)</f>
        <v/>
      </c>
      <c r="L22" s="101">
        <f>IFERROR(INDEX(rep_ni,MATCH(L$5,rep_years_is,0)),0)</f>
        <v/>
      </c>
      <c r="M22" s="101">
        <f>IFERROR(INDEX(rep_ni,MATCH(M$5,rep_years_is,0)),0)</f>
        <v/>
      </c>
      <c r="N22" s="101">
        <f>IFERROR(INDEX(rep_ni,MATCH(N$5,rep_years_is,0)),0)</f>
        <v/>
      </c>
      <c r="O22" s="101">
        <f>IFERROR(INDEX(rep_ni,MATCH(O$5,rep_years_is,0)),0)</f>
        <v/>
      </c>
      <c r="P22" s="101">
        <f>IFERROR(INDEX(rep_ni,MATCH(P$5,rep_years_is,0)),0)</f>
        <v/>
      </c>
      <c r="Q22" s="101">
        <f>IFERROR(INDEX(rep_ni,MATCH(Q$5,rep_years_is,0)),0)</f>
        <v/>
      </c>
      <c r="R22" s="101">
        <f>IFERROR(INDEX(rep_ni,MATCH(R$5,rep_years_is,0)),0)</f>
        <v/>
      </c>
      <c r="S22" s="101">
        <f>IFERROR(INDEX(rep_ni,MATCH(S$5,rep_years_is,0)),0)</f>
        <v/>
      </c>
    </row>
    <row r="23" ht="15" customHeight="1" s="62">
      <c r="A23" s="86" t="inlineStr">
        <is>
          <t>Interest expense</t>
        </is>
      </c>
      <c r="B23" s="101">
        <f>IFERROR(INDEX(rep_intexp,MATCH(B$5,rep_years_is,0)),0)</f>
        <v/>
      </c>
      <c r="C23" s="101">
        <f>IFERROR(INDEX(rep_intexp,MATCH(C$5,rep_years_is,0)),0)</f>
        <v/>
      </c>
      <c r="D23" s="101">
        <f>IFERROR(INDEX(rep_intexp,MATCH(D$5,rep_years_is,0)),0)</f>
        <v/>
      </c>
      <c r="E23" s="101">
        <f>IFERROR(INDEX(rep_intexp,MATCH(E$5,rep_years_is,0)),0)</f>
        <v/>
      </c>
      <c r="F23" s="101">
        <f>IFERROR(INDEX(rep_intexp,MATCH(F$5,rep_years_is,0)),0)</f>
        <v/>
      </c>
      <c r="G23" s="101">
        <f>IFERROR(INDEX(rep_intexp,MATCH(G$5,rep_years_is,0)),0)</f>
        <v/>
      </c>
      <c r="H23" s="101">
        <f>IFERROR(INDEX(rep_intexp,MATCH(H$5,rep_years_is,0)),0)</f>
        <v/>
      </c>
      <c r="I23" s="101">
        <f>IFERROR(INDEX(rep_intexp,MATCH(I$5,rep_years_is,0)),0)</f>
        <v/>
      </c>
      <c r="J23" s="101">
        <f>IFERROR(INDEX(rep_intexp,MATCH(J$5,rep_years_is,0)),0)</f>
        <v/>
      </c>
      <c r="K23" s="101">
        <f>IFERROR(INDEX(rep_intexp,MATCH(K$5,rep_years_is,0)),0)</f>
        <v/>
      </c>
      <c r="L23" s="101">
        <f>IFERROR(INDEX(rep_intexp,MATCH(L$5,rep_years_is,0)),0)</f>
        <v/>
      </c>
      <c r="M23" s="101">
        <f>IFERROR(INDEX(rep_intexp,MATCH(M$5,rep_years_is,0)),0)</f>
        <v/>
      </c>
      <c r="N23" s="101">
        <f>IFERROR(INDEX(rep_intexp,MATCH(N$5,rep_years_is,0)),0)</f>
        <v/>
      </c>
      <c r="O23" s="101">
        <f>IFERROR(INDEX(rep_intexp,MATCH(O$5,rep_years_is,0)),0)</f>
        <v/>
      </c>
      <c r="P23" s="101">
        <f>IFERROR(INDEX(rep_intexp,MATCH(P$5,rep_years_is,0)),0)</f>
        <v/>
      </c>
      <c r="Q23" s="101">
        <f>IFERROR(INDEX(rep_intexp,MATCH(Q$5,rep_years_is,0)),0)</f>
        <v/>
      </c>
      <c r="R23" s="101">
        <f>IFERROR(INDEX(rep_intexp,MATCH(R$5,rep_years_is,0)),0)</f>
        <v/>
      </c>
      <c r="S23" s="101">
        <f>IFERROR(INDEX(rep_intexp,MATCH(S$5,rep_years_is,0)),0)</f>
        <v/>
      </c>
    </row>
    <row r="24" ht="15" customHeight="1" s="62">
      <c r="A24" s="86" t="inlineStr">
        <is>
          <t>Tax rate</t>
        </is>
      </c>
      <c r="B24" s="103">
        <f>IFERROR(INDEX(rep_taxrate,MATCH(B$5,rep_years_is,0)),0)</f>
        <v/>
      </c>
      <c r="C24" s="103">
        <f>IFERROR(INDEX(rep_taxrate,MATCH(C$5,rep_years_is,0)),0)</f>
        <v/>
      </c>
      <c r="D24" s="103">
        <f>IFERROR(INDEX(rep_taxrate,MATCH(D$5,rep_years_is,0)),0)</f>
        <v/>
      </c>
      <c r="E24" s="103">
        <f>IFERROR(INDEX(rep_taxrate,MATCH(E$5,rep_years_is,0)),0)</f>
        <v/>
      </c>
      <c r="F24" s="103">
        <f>IFERROR(INDEX(rep_taxrate,MATCH(F$5,rep_years_is,0)),0)</f>
        <v/>
      </c>
      <c r="G24" s="103">
        <f>IFERROR(INDEX(rep_taxrate,MATCH(G$5,rep_years_is,0)),0)</f>
        <v/>
      </c>
      <c r="H24" s="103">
        <f>IFERROR(INDEX(rep_taxrate,MATCH(H$5,rep_years_is,0)),0)</f>
        <v/>
      </c>
      <c r="I24" s="103">
        <f>IFERROR(INDEX(rep_taxrate,MATCH(I$5,rep_years_is,0)),0)</f>
        <v/>
      </c>
      <c r="J24" s="103">
        <f>IFERROR(INDEX(rep_taxrate,MATCH(J$5,rep_years_is,0)),0)</f>
        <v/>
      </c>
      <c r="K24" s="103">
        <f>IFERROR(INDEX(rep_taxrate,MATCH(K$5,rep_years_is,0)),0)</f>
        <v/>
      </c>
      <c r="L24" s="103">
        <f>IFERROR(INDEX(rep_taxrate,MATCH(L$5,rep_years_is,0)),0)</f>
        <v/>
      </c>
      <c r="M24" s="103">
        <f>IFERROR(INDEX(rep_taxrate,MATCH(M$5,rep_years_is,0)),0)</f>
        <v/>
      </c>
      <c r="N24" s="103">
        <f>IFERROR(INDEX(rep_taxrate,MATCH(N$5,rep_years_is,0)),0)</f>
        <v/>
      </c>
      <c r="O24" s="103">
        <f>IFERROR(INDEX(rep_taxrate,MATCH(O$5,rep_years_is,0)),0)</f>
        <v/>
      </c>
      <c r="P24" s="103">
        <f>IFERROR(INDEX(rep_taxrate,MATCH(P$5,rep_years_is,0)),0)</f>
        <v/>
      </c>
      <c r="Q24" s="103">
        <f>IFERROR(INDEX(rep_taxrate,MATCH(Q$5,rep_years_is,0)),0)</f>
        <v/>
      </c>
      <c r="R24" s="103">
        <f>IFERROR(INDEX(rep_taxrate,MATCH(R$5,rep_years_is,0)),0)</f>
        <v/>
      </c>
      <c r="S24" s="103">
        <f>IFERROR(INDEX(rep_taxrate,MATCH(S$5,rep_years_is,0)),0)</f>
        <v/>
      </c>
    </row>
    <row r="25" ht="15" customHeight="1" s="62">
      <c r="A25" s="86" t="inlineStr">
        <is>
          <t>OCI</t>
        </is>
      </c>
      <c r="B25" s="101">
        <f>IFERROR(INDEX(rep_oci,MATCH(B$5,rep_years_bs,0)),0)</f>
        <v/>
      </c>
      <c r="C25" s="101">
        <f>IFERROR(INDEX(rep_oci,MATCH(C$5,rep_years_bs,0)),0)</f>
        <v/>
      </c>
      <c r="D25" s="101">
        <f>IFERROR(INDEX(rep_oci,MATCH(D$5,rep_years_bs,0)),0)</f>
        <v/>
      </c>
      <c r="E25" s="101">
        <f>IFERROR(INDEX(rep_oci,MATCH(E$5,rep_years_bs,0)),0)</f>
        <v/>
      </c>
      <c r="F25" s="101">
        <f>IFERROR(INDEX(rep_oci,MATCH(F$5,rep_years_bs,0)),0)</f>
        <v/>
      </c>
      <c r="G25" s="101">
        <f>IFERROR(INDEX(rep_oci,MATCH(G$5,rep_years_bs,0)),0)</f>
        <v/>
      </c>
      <c r="H25" s="101">
        <f>IFERROR(INDEX(rep_oci,MATCH(H$5,rep_years_bs,0)),0)</f>
        <v/>
      </c>
      <c r="I25" s="101">
        <f>IFERROR(INDEX(rep_oci,MATCH(I$5,rep_years_bs,0)),0)</f>
        <v/>
      </c>
      <c r="J25" s="101">
        <f>IFERROR(INDEX(rep_oci,MATCH(J$5,rep_years_bs,0)),0)</f>
        <v/>
      </c>
      <c r="K25" s="101">
        <f>IFERROR(INDEX(rep_oci,MATCH(K$5,rep_years_bs,0)),0)</f>
        <v/>
      </c>
      <c r="L25" s="101">
        <f>IFERROR(INDEX(rep_oci,MATCH(L$5,rep_years_bs,0)),0)</f>
        <v/>
      </c>
      <c r="M25" s="101">
        <f>IFERROR(INDEX(rep_oci,MATCH(M$5,rep_years_bs,0)),0)</f>
        <v/>
      </c>
      <c r="N25" s="101">
        <f>IFERROR(INDEX(rep_oci,MATCH(N$5,rep_years_bs,0)),0)</f>
        <v/>
      </c>
      <c r="O25" s="101">
        <f>IFERROR(INDEX(rep_oci,MATCH(O$5,rep_years_bs,0)),0)</f>
        <v/>
      </c>
      <c r="P25" s="101">
        <f>IFERROR(INDEX(rep_oci,MATCH(P$5,rep_years_bs,0)),0)</f>
        <v/>
      </c>
      <c r="Q25" s="101">
        <f>IFERROR(INDEX(rep_oci,MATCH(Q$5,rep_years_bs,0)),0)</f>
        <v/>
      </c>
      <c r="R25" s="101">
        <f>IFERROR(INDEX(rep_oci,MATCH(R$5,rep_years_bs,0)),0)</f>
        <v/>
      </c>
      <c r="S25" s="101">
        <f>IFERROR(INDEX(rep_oci,MATCH(S$5,rep_years_bs,0)),0)</f>
        <v/>
      </c>
    </row>
    <row r="26" ht="15" customHeight="1" s="62">
      <c r="A26" s="86" t="inlineStr">
        <is>
          <t>Dividends paid</t>
        </is>
      </c>
      <c r="B26" s="101">
        <f>IFERROR(INDEX(rep_div,MATCH(B$5,rep_years_cf,0)),0)</f>
        <v/>
      </c>
      <c r="C26" s="101">
        <f>IFERROR(INDEX(rep_div,MATCH(C$5,rep_years_cf,0)),0)</f>
        <v/>
      </c>
      <c r="D26" s="101">
        <f>IFERROR(INDEX(rep_div,MATCH(D$5,rep_years_cf,0)),0)</f>
        <v/>
      </c>
      <c r="E26" s="101">
        <f>IFERROR(INDEX(rep_div,MATCH(E$5,rep_years_cf,0)),0)</f>
        <v/>
      </c>
      <c r="F26" s="101">
        <f>IFERROR(INDEX(rep_div,MATCH(F$5,rep_years_cf,0)),0)</f>
        <v/>
      </c>
      <c r="G26" s="101">
        <f>IFERROR(INDEX(rep_div,MATCH(G$5,rep_years_cf,0)),0)</f>
        <v/>
      </c>
      <c r="H26" s="101">
        <f>IFERROR(INDEX(rep_div,MATCH(H$5,rep_years_cf,0)),0)</f>
        <v/>
      </c>
      <c r="I26" s="101">
        <f>IFERROR(INDEX(rep_div,MATCH(I$5,rep_years_cf,0)),0)</f>
        <v/>
      </c>
      <c r="J26" s="101">
        <f>IFERROR(INDEX(rep_div,MATCH(J$5,rep_years_cf,0)),0)</f>
        <v/>
      </c>
      <c r="K26" s="101">
        <f>IFERROR(INDEX(rep_div,MATCH(K$5,rep_years_cf,0)),0)</f>
        <v/>
      </c>
      <c r="L26" s="101">
        <f>IFERROR(INDEX(rep_div,MATCH(L$5,rep_years_cf,0)),0)</f>
        <v/>
      </c>
      <c r="M26" s="101">
        <f>IFERROR(INDEX(rep_div,MATCH(M$5,rep_years_cf,0)),0)</f>
        <v/>
      </c>
      <c r="N26" s="101">
        <f>IFERROR(INDEX(rep_div,MATCH(N$5,rep_years_cf,0)),0)</f>
        <v/>
      </c>
      <c r="O26" s="101">
        <f>IFERROR(INDEX(rep_div,MATCH(O$5,rep_years_cf,0)),0)</f>
        <v/>
      </c>
      <c r="P26" s="101">
        <f>IFERROR(INDEX(rep_div,MATCH(P$5,rep_years_cf,0)),0)</f>
        <v/>
      </c>
      <c r="Q26" s="101">
        <f>IFERROR(INDEX(rep_div,MATCH(Q$5,rep_years_cf,0)),0)</f>
        <v/>
      </c>
      <c r="R26" s="101">
        <f>IFERROR(INDEX(rep_div,MATCH(R$5,rep_years_cf,0)),0)</f>
        <v/>
      </c>
      <c r="S26" s="101">
        <f>IFERROR(INDEX(rep_div,MATCH(S$5,rep_years_cf,0)),0)</f>
        <v/>
      </c>
    </row>
    <row r="27" ht="15" customHeight="1" s="62">
      <c r="A27" s="86" t="inlineStr">
        <is>
          <t>Repurchases</t>
        </is>
      </c>
      <c r="B27" s="101">
        <f>IFERROR(INDEX(rep_repurch,MATCH(B$5,rep_years_cf,0)),0)</f>
        <v/>
      </c>
      <c r="C27" s="101">
        <f>IFERROR(INDEX(rep_repurch,MATCH(C$5,rep_years_cf,0)),0)</f>
        <v/>
      </c>
      <c r="D27" s="101">
        <f>IFERROR(INDEX(rep_repurch,MATCH(D$5,rep_years_cf,0)),0)</f>
        <v/>
      </c>
      <c r="E27" s="101">
        <f>IFERROR(INDEX(rep_repurch,MATCH(E$5,rep_years_cf,0)),0)</f>
        <v/>
      </c>
      <c r="F27" s="101">
        <f>IFERROR(INDEX(rep_repurch,MATCH(F$5,rep_years_cf,0)),0)</f>
        <v/>
      </c>
      <c r="G27" s="101">
        <f>IFERROR(INDEX(rep_repurch,MATCH(G$5,rep_years_cf,0)),0)</f>
        <v/>
      </c>
      <c r="H27" s="101">
        <f>IFERROR(INDEX(rep_repurch,MATCH(H$5,rep_years_cf,0)),0)</f>
        <v/>
      </c>
      <c r="I27" s="101">
        <f>IFERROR(INDEX(rep_repurch,MATCH(I$5,rep_years_cf,0)),0)</f>
        <v/>
      </c>
      <c r="J27" s="101">
        <f>IFERROR(INDEX(rep_repurch,MATCH(J$5,rep_years_cf,0)),0)</f>
        <v/>
      </c>
      <c r="K27" s="101">
        <f>IFERROR(INDEX(rep_repurch,MATCH(K$5,rep_years_cf,0)),0)</f>
        <v/>
      </c>
      <c r="L27" s="101">
        <f>IFERROR(INDEX(rep_repurch,MATCH(L$5,rep_years_cf,0)),0)</f>
        <v/>
      </c>
      <c r="M27" s="101">
        <f>IFERROR(INDEX(rep_repurch,MATCH(M$5,rep_years_cf,0)),0)</f>
        <v/>
      </c>
      <c r="N27" s="101">
        <f>IFERROR(INDEX(rep_repurch,MATCH(N$5,rep_years_cf,0)),0)</f>
        <v/>
      </c>
      <c r="O27" s="101">
        <f>IFERROR(INDEX(rep_repurch,MATCH(O$5,rep_years_cf,0)),0)</f>
        <v/>
      </c>
      <c r="P27" s="101">
        <f>IFERROR(INDEX(rep_repurch,MATCH(P$5,rep_years_cf,0)),0)</f>
        <v/>
      </c>
      <c r="Q27" s="101">
        <f>IFERROR(INDEX(rep_repurch,MATCH(Q$5,rep_years_cf,0)),0)</f>
        <v/>
      </c>
      <c r="R27" s="101">
        <f>IFERROR(INDEX(rep_repurch,MATCH(R$5,rep_years_cf,0)),0)</f>
        <v/>
      </c>
      <c r="S27" s="101">
        <f>IFERROR(INDEX(rep_repurch,MATCH(S$5,rep_years_cf,0)),0)</f>
        <v/>
      </c>
    </row>
    <row r="29" ht="15" customHeight="1" s="62">
      <c r="A29" s="65" t="inlineStr">
        <is>
          <t>PARTITION (nominal)</t>
        </is>
      </c>
    </row>
    <row r="30" ht="15" customHeight="1" s="62">
      <c r="A30" s="86" t="inlineStr">
        <is>
          <t>Financial obligations</t>
        </is>
      </c>
      <c r="B30" s="101">
        <f>B14+B15</f>
        <v/>
      </c>
      <c r="C30" s="101">
        <f>C14+C15</f>
        <v/>
      </c>
      <c r="D30" s="101">
        <f>D14+D15</f>
        <v/>
      </c>
      <c r="E30" s="101">
        <f>E14+E15</f>
        <v/>
      </c>
      <c r="F30" s="101">
        <f>F14+F15</f>
        <v/>
      </c>
      <c r="G30" s="101">
        <f>G14+G15</f>
        <v/>
      </c>
      <c r="H30" s="101">
        <f>H14+H15</f>
        <v/>
      </c>
      <c r="I30" s="101">
        <f>I14+I15</f>
        <v/>
      </c>
      <c r="J30" s="101">
        <f>J14+J15</f>
        <v/>
      </c>
      <c r="K30" s="101">
        <f>K14+K15</f>
        <v/>
      </c>
      <c r="L30" s="101">
        <f>L14+L15</f>
        <v/>
      </c>
      <c r="M30" s="101">
        <f>M14+M15</f>
        <v/>
      </c>
      <c r="N30" s="101">
        <f>N14+N15</f>
        <v/>
      </c>
      <c r="O30" s="101">
        <f>O14+O15</f>
        <v/>
      </c>
      <c r="P30" s="101">
        <f>P14+P15</f>
        <v/>
      </c>
      <c r="Q30" s="101">
        <f>Q14+Q15</f>
        <v/>
      </c>
      <c r="R30" s="101">
        <f>R14+R15</f>
        <v/>
      </c>
      <c r="S30" s="101">
        <f>S14+S15</f>
        <v/>
      </c>
    </row>
    <row r="31" ht="15" customHeight="1" s="62">
      <c r="A31" s="86" t="inlineStr">
        <is>
          <t>Financial assets</t>
        </is>
      </c>
      <c r="B31" s="101">
        <f>B12+B13</f>
        <v/>
      </c>
      <c r="C31" s="101">
        <f>C12+C13</f>
        <v/>
      </c>
      <c r="D31" s="101">
        <f>D12+D13</f>
        <v/>
      </c>
      <c r="E31" s="101">
        <f>E12+E13</f>
        <v/>
      </c>
      <c r="F31" s="101">
        <f>F12+F13</f>
        <v/>
      </c>
      <c r="G31" s="101">
        <f>G12+G13</f>
        <v/>
      </c>
      <c r="H31" s="101">
        <f>H12+H13</f>
        <v/>
      </c>
      <c r="I31" s="101">
        <f>I12+I13</f>
        <v/>
      </c>
      <c r="J31" s="101">
        <f>J12+J13</f>
        <v/>
      </c>
      <c r="K31" s="101">
        <f>K12+K13</f>
        <v/>
      </c>
      <c r="L31" s="101">
        <f>L12+L13</f>
        <v/>
      </c>
      <c r="M31" s="101">
        <f>M12+M13</f>
        <v/>
      </c>
      <c r="N31" s="101">
        <f>N12+N13</f>
        <v/>
      </c>
      <c r="O31" s="101">
        <f>O12+O13</f>
        <v/>
      </c>
      <c r="P31" s="101">
        <f>P12+P13</f>
        <v/>
      </c>
      <c r="Q31" s="101">
        <f>Q12+Q13</f>
        <v/>
      </c>
      <c r="R31" s="101">
        <f>R12+R13</f>
        <v/>
      </c>
      <c r="S31" s="101">
        <f>S12+S13</f>
        <v/>
      </c>
    </row>
    <row r="32" ht="15" customHeight="1" s="62">
      <c r="A32" s="86" t="inlineStr">
        <is>
          <t>NFO (nominal)</t>
        </is>
      </c>
      <c r="B32" s="101">
        <f>B30-B31+B16</f>
        <v/>
      </c>
      <c r="C32" s="101">
        <f>C30-C31+C16</f>
        <v/>
      </c>
      <c r="D32" s="101">
        <f>D30-D31+D16</f>
        <v/>
      </c>
      <c r="E32" s="101">
        <f>E30-E31+E16</f>
        <v/>
      </c>
      <c r="F32" s="101">
        <f>F30-F31+F16</f>
        <v/>
      </c>
      <c r="G32" s="101">
        <f>G30-G31+G16</f>
        <v/>
      </c>
      <c r="H32" s="101">
        <f>H30-H31+H16</f>
        <v/>
      </c>
      <c r="I32" s="101">
        <f>I30-I31+I16</f>
        <v/>
      </c>
      <c r="J32" s="101">
        <f>J30-J31+J16</f>
        <v/>
      </c>
      <c r="K32" s="101">
        <f>K30-K31+K16</f>
        <v/>
      </c>
      <c r="L32" s="101">
        <f>L30-L31+L16</f>
        <v/>
      </c>
      <c r="M32" s="101">
        <f>M30-M31+M16</f>
        <v/>
      </c>
      <c r="N32" s="101">
        <f>N30-N31+N16</f>
        <v/>
      </c>
      <c r="O32" s="101">
        <f>O30-O31+O16</f>
        <v/>
      </c>
      <c r="P32" s="101">
        <f>P30-P31+P16</f>
        <v/>
      </c>
      <c r="Q32" s="101">
        <f>Q30-Q31+Q16</f>
        <v/>
      </c>
      <c r="R32" s="101">
        <f>R30-R31+R16</f>
        <v/>
      </c>
      <c r="S32" s="101">
        <f>S30-S31+S16</f>
        <v/>
      </c>
    </row>
    <row r="33" ht="15" customHeight="1" s="62">
      <c r="A33" s="86" t="inlineStr">
        <is>
          <t>Operating assets</t>
        </is>
      </c>
      <c r="B33" s="101">
        <f>B10-B31</f>
        <v/>
      </c>
      <c r="C33" s="101">
        <f>C10-C31</f>
        <v/>
      </c>
      <c r="D33" s="101">
        <f>D10-D31</f>
        <v/>
      </c>
      <c r="E33" s="101">
        <f>E10-E31</f>
        <v/>
      </c>
      <c r="F33" s="101">
        <f>F10-F31</f>
        <v/>
      </c>
      <c r="G33" s="101">
        <f>G10-G31</f>
        <v/>
      </c>
      <c r="H33" s="101">
        <f>H10-H31</f>
        <v/>
      </c>
      <c r="I33" s="101">
        <f>I10-I31</f>
        <v/>
      </c>
      <c r="J33" s="101">
        <f>J10-J31</f>
        <v/>
      </c>
      <c r="K33" s="101">
        <f>K10-K31</f>
        <v/>
      </c>
      <c r="L33" s="101">
        <f>L10-L31</f>
        <v/>
      </c>
      <c r="M33" s="101">
        <f>M10-M31</f>
        <v/>
      </c>
      <c r="N33" s="101">
        <f>N10-N31</f>
        <v/>
      </c>
      <c r="O33" s="101">
        <f>O10-O31</f>
        <v/>
      </c>
      <c r="P33" s="101">
        <f>P10-P31</f>
        <v/>
      </c>
      <c r="Q33" s="101">
        <f>Q10-Q31</f>
        <v/>
      </c>
      <c r="R33" s="101">
        <f>R10-R31</f>
        <v/>
      </c>
      <c r="S33" s="101">
        <f>S10-S31</f>
        <v/>
      </c>
    </row>
    <row r="34" ht="15" customHeight="1" s="62">
      <c r="A34" s="86" t="inlineStr">
        <is>
          <t>Operating liabilities</t>
        </is>
      </c>
      <c r="B34" s="101">
        <f>B11-B30</f>
        <v/>
      </c>
      <c r="C34" s="101">
        <f>C11-C30</f>
        <v/>
      </c>
      <c r="D34" s="101">
        <f>D11-D30</f>
        <v/>
      </c>
      <c r="E34" s="101">
        <f>E11-E30</f>
        <v/>
      </c>
      <c r="F34" s="101">
        <f>F11-F30</f>
        <v/>
      </c>
      <c r="G34" s="101">
        <f>G11-G30</f>
        <v/>
      </c>
      <c r="H34" s="101">
        <f>H11-H30</f>
        <v/>
      </c>
      <c r="I34" s="101">
        <f>I11-I30</f>
        <v/>
      </c>
      <c r="J34" s="101">
        <f>J11-J30</f>
        <v/>
      </c>
      <c r="K34" s="101">
        <f>K11-K30</f>
        <v/>
      </c>
      <c r="L34" s="101">
        <f>L11-L30</f>
        <v/>
      </c>
      <c r="M34" s="101">
        <f>M11-M30</f>
        <v/>
      </c>
      <c r="N34" s="101">
        <f>N11-N30</f>
        <v/>
      </c>
      <c r="O34" s="101">
        <f>O11-O30</f>
        <v/>
      </c>
      <c r="P34" s="101">
        <f>P11-P30</f>
        <v/>
      </c>
      <c r="Q34" s="101">
        <f>Q11-Q30</f>
        <v/>
      </c>
      <c r="R34" s="101">
        <f>R11-R30</f>
        <v/>
      </c>
      <c r="S34" s="101">
        <f>S11-S30</f>
        <v/>
      </c>
    </row>
    <row r="35" ht="15" customHeight="1" s="62">
      <c r="A35" s="86" t="inlineStr">
        <is>
          <t>NOA (nominal, reported PP&amp;E)</t>
        </is>
      </c>
      <c r="B35" s="101">
        <f>B33-B34</f>
        <v/>
      </c>
      <c r="C35" s="101">
        <f>C33-C34</f>
        <v/>
      </c>
      <c r="D35" s="101">
        <f>D33-D34</f>
        <v/>
      </c>
      <c r="E35" s="101">
        <f>E33-E34</f>
        <v/>
      </c>
      <c r="F35" s="101">
        <f>F33-F34</f>
        <v/>
      </c>
      <c r="G35" s="101">
        <f>G33-G34</f>
        <v/>
      </c>
      <c r="H35" s="101">
        <f>H33-H34</f>
        <v/>
      </c>
      <c r="I35" s="101">
        <f>I33-I34</f>
        <v/>
      </c>
      <c r="J35" s="101">
        <f>J33-J34</f>
        <v/>
      </c>
      <c r="K35" s="101">
        <f>K33-K34</f>
        <v/>
      </c>
      <c r="L35" s="101">
        <f>L33-L34</f>
        <v/>
      </c>
      <c r="M35" s="101">
        <f>M33-M34</f>
        <v/>
      </c>
      <c r="N35" s="101">
        <f>N33-N34</f>
        <v/>
      </c>
      <c r="O35" s="101">
        <f>O33-O34</f>
        <v/>
      </c>
      <c r="P35" s="101">
        <f>P33-P34</f>
        <v/>
      </c>
      <c r="Q35" s="101">
        <f>Q33-Q34</f>
        <v/>
      </c>
      <c r="R35" s="101">
        <f>R33-R34</f>
        <v/>
      </c>
      <c r="S35" s="101">
        <f>S33-S34</f>
        <v/>
      </c>
    </row>
    <row r="36" ht="15" customHeight="1" s="62">
      <c r="A36" s="86" t="inlineStr">
        <is>
          <t>CSE (reported)</t>
        </is>
      </c>
      <c r="B36" s="101">
        <f>B18</f>
        <v/>
      </c>
      <c r="C36" s="101">
        <f>C18</f>
        <v/>
      </c>
      <c r="D36" s="101">
        <f>D18</f>
        <v/>
      </c>
      <c r="E36" s="101">
        <f>E18</f>
        <v/>
      </c>
      <c r="F36" s="101">
        <f>F18</f>
        <v/>
      </c>
      <c r="G36" s="101">
        <f>G18</f>
        <v/>
      </c>
      <c r="H36" s="101">
        <f>H18</f>
        <v/>
      </c>
      <c r="I36" s="101">
        <f>I18</f>
        <v/>
      </c>
      <c r="J36" s="101">
        <f>J18</f>
        <v/>
      </c>
      <c r="K36" s="101">
        <f>K18</f>
        <v/>
      </c>
      <c r="L36" s="101">
        <f>L18</f>
        <v/>
      </c>
      <c r="M36" s="101">
        <f>M18</f>
        <v/>
      </c>
      <c r="N36" s="101">
        <f>N18</f>
        <v/>
      </c>
      <c r="O36" s="101">
        <f>O18</f>
        <v/>
      </c>
      <c r="P36" s="101">
        <f>P18</f>
        <v/>
      </c>
      <c r="Q36" s="101">
        <f>Q18</f>
        <v/>
      </c>
      <c r="R36" s="101">
        <f>R18</f>
        <v/>
      </c>
      <c r="S36" s="101">
        <f>S18</f>
        <v/>
      </c>
    </row>
    <row r="37" ht="15" customHeight="1" s="62">
      <c r="A37" s="86" t="inlineStr">
        <is>
          <t>tie: NOA−NFO−CSE (nom)</t>
        </is>
      </c>
      <c r="B37" s="104">
        <f>B35-B32-B18</f>
        <v/>
      </c>
      <c r="C37" s="104">
        <f>C35-C32-C18</f>
        <v/>
      </c>
      <c r="D37" s="104">
        <f>D35-D32-D18</f>
        <v/>
      </c>
      <c r="E37" s="104">
        <f>E35-E32-E18</f>
        <v/>
      </c>
      <c r="F37" s="104">
        <f>F35-F32-F18</f>
        <v/>
      </c>
      <c r="G37" s="104">
        <f>G35-G32-G18</f>
        <v/>
      </c>
      <c r="H37" s="104">
        <f>H35-H32-H18</f>
        <v/>
      </c>
      <c r="I37" s="104">
        <f>I35-I32-I18</f>
        <v/>
      </c>
      <c r="J37" s="104">
        <f>J35-J32-J18</f>
        <v/>
      </c>
      <c r="K37" s="104">
        <f>K35-K32-K18</f>
        <v/>
      </c>
      <c r="L37" s="104">
        <f>L35-L32-L18</f>
        <v/>
      </c>
      <c r="M37" s="104">
        <f>M35-M32-M18</f>
        <v/>
      </c>
      <c r="N37" s="104">
        <f>N35-N32-N18</f>
        <v/>
      </c>
      <c r="O37" s="104">
        <f>O35-O32-O18</f>
        <v/>
      </c>
      <c r="P37" s="104">
        <f>P35-P32-P18</f>
        <v/>
      </c>
      <c r="Q37" s="104">
        <f>Q35-Q32-Q18</f>
        <v/>
      </c>
      <c r="R37" s="104">
        <f>R35-R32-R18</f>
        <v/>
      </c>
      <c r="S37" s="104">
        <f>S35-S32-S18</f>
        <v/>
      </c>
    </row>
    <row r="39" ht="15" customHeight="1" s="62">
      <c r="A39" s="65" t="inlineStr">
        <is>
          <t>ECONOMIC RESTATEMENT (real 2026$)</t>
        </is>
      </c>
    </row>
    <row r="40" ht="15" customHeight="1" s="62">
      <c r="A40" s="86" t="inlineStr">
        <is>
          <t>Real net PP&amp;E (BEA)</t>
        </is>
      </c>
      <c r="B40" s="101">
        <f>IFERROR(INDEX(ce_real_net_series,MATCH(VALUE(B$5),ce_years,0)),0)</f>
        <v/>
      </c>
      <c r="C40" s="101">
        <f>IFERROR(INDEX(ce_real_net_series,MATCH(VALUE(C$5),ce_years,0)),0)</f>
        <v/>
      </c>
      <c r="D40" s="101">
        <f>IFERROR(INDEX(ce_real_net_series,MATCH(VALUE(D$5),ce_years,0)),0)</f>
        <v/>
      </c>
      <c r="E40" s="101">
        <f>IFERROR(INDEX(ce_real_net_series,MATCH(VALUE(E$5),ce_years,0)),0)</f>
        <v/>
      </c>
      <c r="F40" s="101">
        <f>IFERROR(INDEX(ce_real_net_series,MATCH(VALUE(F$5),ce_years,0)),0)</f>
        <v/>
      </c>
      <c r="G40" s="101">
        <f>IFERROR(INDEX(ce_real_net_series,MATCH(VALUE(G$5),ce_years,0)),0)</f>
        <v/>
      </c>
      <c r="H40" s="101">
        <f>IFERROR(INDEX(ce_real_net_series,MATCH(VALUE(H$5),ce_years,0)),0)</f>
        <v/>
      </c>
      <c r="I40" s="101">
        <f>IFERROR(INDEX(ce_real_net_series,MATCH(VALUE(I$5),ce_years,0)),0)</f>
        <v/>
      </c>
      <c r="J40" s="101">
        <f>IFERROR(INDEX(ce_real_net_series,MATCH(VALUE(J$5),ce_years,0)),0)</f>
        <v/>
      </c>
      <c r="K40" s="101">
        <f>IFERROR(INDEX(ce_real_net_series,MATCH(VALUE(K$5),ce_years,0)),0)</f>
        <v/>
      </c>
      <c r="L40" s="101">
        <f>IFERROR(INDEX(ce_real_net_series,MATCH(VALUE(L$5),ce_years,0)),0)</f>
        <v/>
      </c>
      <c r="M40" s="101">
        <f>IFERROR(INDEX(ce_real_net_series,MATCH(VALUE(M$5),ce_years,0)),0)</f>
        <v/>
      </c>
      <c r="N40" s="101">
        <f>IFERROR(INDEX(ce_real_net_series,MATCH(VALUE(N$5),ce_years,0)),0)</f>
        <v/>
      </c>
      <c r="O40" s="101">
        <f>IFERROR(INDEX(ce_real_net_series,MATCH(VALUE(O$5),ce_years,0)),0)</f>
        <v/>
      </c>
      <c r="P40" s="101">
        <f>IFERROR(INDEX(ce_real_net_series,MATCH(VALUE(P$5),ce_years,0)),0)</f>
        <v/>
      </c>
      <c r="Q40" s="101">
        <f>IFERROR(INDEX(ce_real_net_series,MATCH(VALUE(Q$5),ce_years,0)),0)</f>
        <v/>
      </c>
      <c r="R40" s="101">
        <f>IFERROR(INDEX(ce_real_net_series,MATCH(VALUE(R$5),ce_years,0)),0)</f>
        <v/>
      </c>
      <c r="S40" s="101">
        <f>IFERROR(INDEX(ce_real_net_series,MATCH(VALUE(S$5),ce_years,0)),0)</f>
        <v/>
      </c>
    </row>
    <row r="41" ht="15" customHeight="1" s="62">
      <c r="A41" s="86" t="inlineStr">
        <is>
          <t>Non-PP&amp;E op net (nom)</t>
        </is>
      </c>
      <c r="B41" s="101">
        <f>B33-B17-B34</f>
        <v/>
      </c>
      <c r="C41" s="101">
        <f>C33-C17-C34</f>
        <v/>
      </c>
      <c r="D41" s="101">
        <f>D33-D17-D34</f>
        <v/>
      </c>
      <c r="E41" s="101">
        <f>E33-E17-E34</f>
        <v/>
      </c>
      <c r="F41" s="101">
        <f>F33-F17-F34</f>
        <v/>
      </c>
      <c r="G41" s="101">
        <f>G33-G17-G34</f>
        <v/>
      </c>
      <c r="H41" s="101">
        <f>H33-H17-H34</f>
        <v/>
      </c>
      <c r="I41" s="101">
        <f>I33-I17-I34</f>
        <v/>
      </c>
      <c r="J41" s="101">
        <f>J33-J17-J34</f>
        <v/>
      </c>
      <c r="K41" s="101">
        <f>K33-K17-K34</f>
        <v/>
      </c>
      <c r="L41" s="101">
        <f>L33-L17-L34</f>
        <v/>
      </c>
      <c r="M41" s="101">
        <f>M33-M17-M34</f>
        <v/>
      </c>
      <c r="N41" s="101">
        <f>N33-N17-N34</f>
        <v/>
      </c>
      <c r="O41" s="101">
        <f>O33-O17-O34</f>
        <v/>
      </c>
      <c r="P41" s="101">
        <f>P33-P17-P34</f>
        <v/>
      </c>
      <c r="Q41" s="101">
        <f>Q33-Q17-Q34</f>
        <v/>
      </c>
      <c r="R41" s="101">
        <f>R33-R17-R34</f>
        <v/>
      </c>
      <c r="S41" s="101">
        <f>S33-S17-S34</f>
        <v/>
      </c>
    </row>
    <row r="42" ht="15" customHeight="1" s="62">
      <c r="A42" s="86" t="inlineStr">
        <is>
          <t>Real non-PP&amp;E op net</t>
        </is>
      </c>
      <c r="B42" s="101">
        <f>B41*B6</f>
        <v/>
      </c>
      <c r="C42" s="101">
        <f>C41*C6</f>
        <v/>
      </c>
      <c r="D42" s="101">
        <f>D41*D6</f>
        <v/>
      </c>
      <c r="E42" s="101">
        <f>E41*E6</f>
        <v/>
      </c>
      <c r="F42" s="101">
        <f>F41*F6</f>
        <v/>
      </c>
      <c r="G42" s="101">
        <f>G41*G6</f>
        <v/>
      </c>
      <c r="H42" s="101">
        <f>H41*H6</f>
        <v/>
      </c>
      <c r="I42" s="101">
        <f>I41*I6</f>
        <v/>
      </c>
      <c r="J42" s="101">
        <f>J41*J6</f>
        <v/>
      </c>
      <c r="K42" s="101">
        <f>K41*K6</f>
        <v/>
      </c>
      <c r="L42" s="101">
        <f>L41*L6</f>
        <v/>
      </c>
      <c r="M42" s="101">
        <f>M41*M6</f>
        <v/>
      </c>
      <c r="N42" s="101">
        <f>N41*N6</f>
        <v/>
      </c>
      <c r="O42" s="101">
        <f>O41*O6</f>
        <v/>
      </c>
      <c r="P42" s="101">
        <f>P41*P6</f>
        <v/>
      </c>
      <c r="Q42" s="101">
        <f>Q41*Q6</f>
        <v/>
      </c>
      <c r="R42" s="101">
        <f>R41*R6</f>
        <v/>
      </c>
      <c r="S42" s="101">
        <f>S41*S6</f>
        <v/>
      </c>
    </row>
    <row r="43" ht="15" customHeight="1" s="62">
      <c r="A43" s="86" t="inlineStr">
        <is>
          <t>Real NOA</t>
        </is>
      </c>
      <c r="B43" s="101">
        <f>B42+B40</f>
        <v/>
      </c>
      <c r="C43" s="101">
        <f>C42+C40</f>
        <v/>
      </c>
      <c r="D43" s="101">
        <f>D42+D40</f>
        <v/>
      </c>
      <c r="E43" s="101">
        <f>E42+E40</f>
        <v/>
      </c>
      <c r="F43" s="101">
        <f>F42+F40</f>
        <v/>
      </c>
      <c r="G43" s="101">
        <f>G42+G40</f>
        <v/>
      </c>
      <c r="H43" s="101">
        <f>H42+H40</f>
        <v/>
      </c>
      <c r="I43" s="101">
        <f>I42+I40</f>
        <v/>
      </c>
      <c r="J43" s="101">
        <f>J42+J40</f>
        <v/>
      </c>
      <c r="K43" s="101">
        <f>K42+K40</f>
        <v/>
      </c>
      <c r="L43" s="101">
        <f>L42+L40</f>
        <v/>
      </c>
      <c r="M43" s="101">
        <f>M42+M40</f>
        <v/>
      </c>
      <c r="N43" s="101">
        <f>N42+N40</f>
        <v/>
      </c>
      <c r="O43" s="101">
        <f>O42+O40</f>
        <v/>
      </c>
      <c r="P43" s="101">
        <f>P42+P40</f>
        <v/>
      </c>
      <c r="Q43" s="101">
        <f>Q42+Q40</f>
        <v/>
      </c>
      <c r="R43" s="101">
        <f>R42+R40</f>
        <v/>
      </c>
      <c r="S43" s="101">
        <f>S42+S40</f>
        <v/>
      </c>
    </row>
    <row r="44" ht="15" customHeight="1" s="62">
      <c r="A44" s="86" t="inlineStr">
        <is>
          <t>Real NFO</t>
        </is>
      </c>
      <c r="B44" s="101">
        <f>B32*B6</f>
        <v/>
      </c>
      <c r="C44" s="101">
        <f>C32*C6</f>
        <v/>
      </c>
      <c r="D44" s="101">
        <f>D32*D6</f>
        <v/>
      </c>
      <c r="E44" s="101">
        <f>E32*E6</f>
        <v/>
      </c>
      <c r="F44" s="101">
        <f>F32*F6</f>
        <v/>
      </c>
      <c r="G44" s="101">
        <f>G32*G6</f>
        <v/>
      </c>
      <c r="H44" s="101">
        <f>H32*H6</f>
        <v/>
      </c>
      <c r="I44" s="101">
        <f>I32*I6</f>
        <v/>
      </c>
      <c r="J44" s="101">
        <f>J32*J6</f>
        <v/>
      </c>
      <c r="K44" s="101">
        <f>K32*K6</f>
        <v/>
      </c>
      <c r="L44" s="101">
        <f>L32*L6</f>
        <v/>
      </c>
      <c r="M44" s="101">
        <f>M32*M6</f>
        <v/>
      </c>
      <c r="N44" s="101">
        <f>N32*N6</f>
        <v/>
      </c>
      <c r="O44" s="101">
        <f>O32*O6</f>
        <v/>
      </c>
      <c r="P44" s="101">
        <f>P32*P6</f>
        <v/>
      </c>
      <c r="Q44" s="101">
        <f>Q32*Q6</f>
        <v/>
      </c>
      <c r="R44" s="101">
        <f>R32*R6</f>
        <v/>
      </c>
      <c r="S44" s="101">
        <f>S32*S6</f>
        <v/>
      </c>
    </row>
    <row r="45" ht="15" customHeight="1" s="62">
      <c r="A45" s="86" t="inlineStr">
        <is>
          <t>Real CSE</t>
        </is>
      </c>
      <c r="B45" s="101">
        <f>B43-B44</f>
        <v/>
      </c>
      <c r="C45" s="101">
        <f>C43-C44</f>
        <v/>
      </c>
      <c r="D45" s="101">
        <f>D43-D44</f>
        <v/>
      </c>
      <c r="E45" s="101">
        <f>E43-E44</f>
        <v/>
      </c>
      <c r="F45" s="101">
        <f>F43-F44</f>
        <v/>
      </c>
      <c r="G45" s="101">
        <f>G43-G44</f>
        <v/>
      </c>
      <c r="H45" s="101">
        <f>H43-H44</f>
        <v/>
      </c>
      <c r="I45" s="101">
        <f>I43-I44</f>
        <v/>
      </c>
      <c r="J45" s="101">
        <f>J43-J44</f>
        <v/>
      </c>
      <c r="K45" s="101">
        <f>K43-K44</f>
        <v/>
      </c>
      <c r="L45" s="101">
        <f>L43-L44</f>
        <v/>
      </c>
      <c r="M45" s="101">
        <f>M43-M44</f>
        <v/>
      </c>
      <c r="N45" s="101">
        <f>N43-N44</f>
        <v/>
      </c>
      <c r="O45" s="101">
        <f>O43-O44</f>
        <v/>
      </c>
      <c r="P45" s="101">
        <f>P43-P44</f>
        <v/>
      </c>
      <c r="Q45" s="101">
        <f>Q43-Q44</f>
        <v/>
      </c>
      <c r="R45" s="101">
        <f>R43-R44</f>
        <v/>
      </c>
      <c r="S45" s="101">
        <f>S43-S44</f>
        <v/>
      </c>
    </row>
    <row r="46" ht="15" customHeight="1" s="62">
      <c r="A46" s="86" t="inlineStr">
        <is>
          <t>tie: Real NOA−NFO−CSE</t>
        </is>
      </c>
      <c r="B46" s="104">
        <f>B43-B44-B45</f>
        <v/>
      </c>
      <c r="C46" s="104">
        <f>C43-C44-C45</f>
        <v/>
      </c>
      <c r="D46" s="104">
        <f>D43-D44-D45</f>
        <v/>
      </c>
      <c r="E46" s="104">
        <f>E43-E44-E45</f>
        <v/>
      </c>
      <c r="F46" s="104">
        <f>F43-F44-F45</f>
        <v/>
      </c>
      <c r="G46" s="104">
        <f>G43-G44-G45</f>
        <v/>
      </c>
      <c r="H46" s="104">
        <f>H43-H44-H45</f>
        <v/>
      </c>
      <c r="I46" s="104">
        <f>I43-I44-I45</f>
        <v/>
      </c>
      <c r="J46" s="104">
        <f>J43-J44-J45</f>
        <v/>
      </c>
      <c r="K46" s="104">
        <f>K43-K44-K45</f>
        <v/>
      </c>
      <c r="L46" s="104">
        <f>L43-L44-L45</f>
        <v/>
      </c>
      <c r="M46" s="104">
        <f>M43-M44-M45</f>
        <v/>
      </c>
      <c r="N46" s="104">
        <f>N43-N44-N45</f>
        <v/>
      </c>
      <c r="O46" s="104">
        <f>O43-O44-O45</f>
        <v/>
      </c>
      <c r="P46" s="104">
        <f>P43-P44-P45</f>
        <v/>
      </c>
      <c r="Q46" s="104">
        <f>Q43-Q44-Q45</f>
        <v/>
      </c>
      <c r="R46" s="104">
        <f>R43-R44-R45</f>
        <v/>
      </c>
      <c r="S46" s="104">
        <f>S43-S44-S45</f>
        <v/>
      </c>
    </row>
    <row r="48" ht="15" customHeight="1" s="62">
      <c r="A48" s="65" t="inlineStr">
        <is>
          <t>ECONOMIC FLOWS (real 2026$)</t>
        </is>
      </c>
    </row>
    <row r="49" ht="15" customHeight="1" s="62">
      <c r="A49" s="86" t="inlineStr">
        <is>
          <t>Real EBITDA</t>
        </is>
      </c>
      <c r="B49" s="101">
        <f>(B20+B21)*B6</f>
        <v/>
      </c>
      <c r="C49" s="101">
        <f>(C20+C21)*C6</f>
        <v/>
      </c>
      <c r="D49" s="101">
        <f>(D20+D21)*D6</f>
        <v/>
      </c>
      <c r="E49" s="101">
        <f>(E20+E21)*E6</f>
        <v/>
      </c>
      <c r="F49" s="101">
        <f>(F20+F21)*F6</f>
        <v/>
      </c>
      <c r="G49" s="101">
        <f>(G20+G21)*G6</f>
        <v/>
      </c>
      <c r="H49" s="101">
        <f>(H20+H21)*H6</f>
        <v/>
      </c>
      <c r="I49" s="101">
        <f>(I20+I21)*I6</f>
        <v/>
      </c>
      <c r="J49" s="101">
        <f>(J20+J21)*J6</f>
        <v/>
      </c>
      <c r="K49" s="101">
        <f>(K20+K21)*K6</f>
        <v/>
      </c>
      <c r="L49" s="101">
        <f>(L20+L21)*L6</f>
        <v/>
      </c>
      <c r="M49" s="101">
        <f>(M20+M21)*M6</f>
        <v/>
      </c>
      <c r="N49" s="101">
        <f>(N20+N21)*N6</f>
        <v/>
      </c>
      <c r="O49" s="101">
        <f>(O20+O21)*O6</f>
        <v/>
      </c>
      <c r="P49" s="101">
        <f>(P20+P21)*P6</f>
        <v/>
      </c>
      <c r="Q49" s="101">
        <f>(Q20+Q21)*Q6</f>
        <v/>
      </c>
      <c r="R49" s="101">
        <f>(R20+R21)*R6</f>
        <v/>
      </c>
      <c r="S49" s="101">
        <f>(S20+S21)*S6</f>
        <v/>
      </c>
    </row>
    <row r="50" ht="15" customHeight="1" s="62">
      <c r="A50" s="86" t="inlineStr">
        <is>
          <t>Economic depreciation</t>
        </is>
      </c>
      <c r="B50" s="101">
        <f>IFERROR(INDEX(ce_econ_dep_series,MATCH(VALUE(B$5),ce_years,0)),0)</f>
        <v/>
      </c>
      <c r="C50" s="101">
        <f>IFERROR(INDEX(ce_econ_dep_series,MATCH(VALUE(C$5),ce_years,0)),0)</f>
        <v/>
      </c>
      <c r="D50" s="101">
        <f>IFERROR(INDEX(ce_econ_dep_series,MATCH(VALUE(D$5),ce_years,0)),0)</f>
        <v/>
      </c>
      <c r="E50" s="101">
        <f>IFERROR(INDEX(ce_econ_dep_series,MATCH(VALUE(E$5),ce_years,0)),0)</f>
        <v/>
      </c>
      <c r="F50" s="101">
        <f>IFERROR(INDEX(ce_econ_dep_series,MATCH(VALUE(F$5),ce_years,0)),0)</f>
        <v/>
      </c>
      <c r="G50" s="101">
        <f>IFERROR(INDEX(ce_econ_dep_series,MATCH(VALUE(G$5),ce_years,0)),0)</f>
        <v/>
      </c>
      <c r="H50" s="101">
        <f>IFERROR(INDEX(ce_econ_dep_series,MATCH(VALUE(H$5),ce_years,0)),0)</f>
        <v/>
      </c>
      <c r="I50" s="101">
        <f>IFERROR(INDEX(ce_econ_dep_series,MATCH(VALUE(I$5),ce_years,0)),0)</f>
        <v/>
      </c>
      <c r="J50" s="101">
        <f>IFERROR(INDEX(ce_econ_dep_series,MATCH(VALUE(J$5),ce_years,0)),0)</f>
        <v/>
      </c>
      <c r="K50" s="101">
        <f>IFERROR(INDEX(ce_econ_dep_series,MATCH(VALUE(K$5),ce_years,0)),0)</f>
        <v/>
      </c>
      <c r="L50" s="101">
        <f>IFERROR(INDEX(ce_econ_dep_series,MATCH(VALUE(L$5),ce_years,0)),0)</f>
        <v/>
      </c>
      <c r="M50" s="101">
        <f>IFERROR(INDEX(ce_econ_dep_series,MATCH(VALUE(M$5),ce_years,0)),0)</f>
        <v/>
      </c>
      <c r="N50" s="101">
        <f>IFERROR(INDEX(ce_econ_dep_series,MATCH(VALUE(N$5),ce_years,0)),0)</f>
        <v/>
      </c>
      <c r="O50" s="101">
        <f>IFERROR(INDEX(ce_econ_dep_series,MATCH(VALUE(O$5),ce_years,0)),0)</f>
        <v/>
      </c>
      <c r="P50" s="101">
        <f>IFERROR(INDEX(ce_econ_dep_series,MATCH(VALUE(P$5),ce_years,0)),0)</f>
        <v/>
      </c>
      <c r="Q50" s="101">
        <f>IFERROR(INDEX(ce_econ_dep_series,MATCH(VALUE(Q$5),ce_years,0)),0)</f>
        <v/>
      </c>
      <c r="R50" s="101">
        <f>IFERROR(INDEX(ce_econ_dep_series,MATCH(VALUE(R$5),ce_years,0)),0)</f>
        <v/>
      </c>
      <c r="S50" s="101">
        <f>IFERROR(INDEX(ce_econ_dep_series,MATCH(VALUE(S$5),ce_years,0)),0)</f>
        <v/>
      </c>
    </row>
    <row r="51" ht="15" customHeight="1" s="62">
      <c r="A51" s="86" t="inlineStr">
        <is>
          <t>Economic OI (pretax)</t>
        </is>
      </c>
      <c r="B51" s="101">
        <f>B49-B50</f>
        <v/>
      </c>
      <c r="C51" s="101">
        <f>C49-C50</f>
        <v/>
      </c>
      <c r="D51" s="101">
        <f>D49-D50</f>
        <v/>
      </c>
      <c r="E51" s="101">
        <f>E49-E50</f>
        <v/>
      </c>
      <c r="F51" s="101">
        <f>F49-F50</f>
        <v/>
      </c>
      <c r="G51" s="101">
        <f>G49-G50</f>
        <v/>
      </c>
      <c r="H51" s="101">
        <f>H49-H50</f>
        <v/>
      </c>
      <c r="I51" s="101">
        <f>I49-I50</f>
        <v/>
      </c>
      <c r="J51" s="101">
        <f>J49-J50</f>
        <v/>
      </c>
      <c r="K51" s="101">
        <f>K49-K50</f>
        <v/>
      </c>
      <c r="L51" s="101">
        <f>L49-L50</f>
        <v/>
      </c>
      <c r="M51" s="101">
        <f>M49-M50</f>
        <v/>
      </c>
      <c r="N51" s="101">
        <f>N49-N50</f>
        <v/>
      </c>
      <c r="O51" s="101">
        <f>O49-O50</f>
        <v/>
      </c>
      <c r="P51" s="101">
        <f>P49-P50</f>
        <v/>
      </c>
      <c r="Q51" s="101">
        <f>Q49-Q50</f>
        <v/>
      </c>
      <c r="R51" s="101">
        <f>R49-R50</f>
        <v/>
      </c>
      <c r="S51" s="101">
        <f>S49-S50</f>
        <v/>
      </c>
    </row>
    <row r="52" ht="15" customHeight="1" s="62">
      <c r="A52" s="86" t="inlineStr">
        <is>
          <t>Economic OI-after-tax</t>
        </is>
      </c>
      <c r="B52" s="101">
        <f>(B51*(1-B24)-B24*B50*(1-SUMPRODUCT('Cap Engine'!$B$7:$B$43,'Cap Engine'!$F$7:$F$43)/'Cap Engine'!$B$46))</f>
        <v/>
      </c>
      <c r="C52" s="101">
        <f>(C51*(1-C24)-C24*C50*(1-SUMPRODUCT('Cap Engine'!$B$7:$B$43,'Cap Engine'!$F$7:$F$43)/'Cap Engine'!$B$46))</f>
        <v/>
      </c>
      <c r="D52" s="101">
        <f>(D51*(1-D24)-D24*D50*(1-SUMPRODUCT('Cap Engine'!$B$7:$B$43,'Cap Engine'!$F$7:$F$43)/'Cap Engine'!$B$46))</f>
        <v/>
      </c>
      <c r="E52" s="101">
        <f>(E51*(1-E24)-E24*E50*(1-SUMPRODUCT('Cap Engine'!$B$7:$B$43,'Cap Engine'!$F$7:$F$43)/'Cap Engine'!$B$46))</f>
        <v/>
      </c>
      <c r="F52" s="101">
        <f>(F51*(1-F24)-F24*F50*(1-SUMPRODUCT('Cap Engine'!$B$7:$B$43,'Cap Engine'!$F$7:$F$43)/'Cap Engine'!$B$46))</f>
        <v/>
      </c>
      <c r="G52" s="101">
        <f>(G51*(1-G24)-G24*G50*(1-SUMPRODUCT('Cap Engine'!$B$7:$B$43,'Cap Engine'!$F$7:$F$43)/'Cap Engine'!$B$46))</f>
        <v/>
      </c>
      <c r="H52" s="101">
        <f>(H51*(1-H24)-H24*H50*(1-SUMPRODUCT('Cap Engine'!$B$7:$B$43,'Cap Engine'!$F$7:$F$43)/'Cap Engine'!$B$46))</f>
        <v/>
      </c>
      <c r="I52" s="101">
        <f>(I51*(1-I24)-I24*I50*(1-SUMPRODUCT('Cap Engine'!$B$7:$B$43,'Cap Engine'!$F$7:$F$43)/'Cap Engine'!$B$46))</f>
        <v/>
      </c>
      <c r="J52" s="101">
        <f>(J51*(1-J24)-J24*J50*(1-SUMPRODUCT('Cap Engine'!$B$7:$B$43,'Cap Engine'!$F$7:$F$43)/'Cap Engine'!$B$46))</f>
        <v/>
      </c>
      <c r="K52" s="101">
        <f>(K51*(1-K24)-K24*K50*(1-SUMPRODUCT('Cap Engine'!$B$7:$B$43,'Cap Engine'!$F$7:$F$43)/'Cap Engine'!$B$46))</f>
        <v/>
      </c>
      <c r="L52" s="101">
        <f>(L51*(1-L24)-L24*L50*(1-SUMPRODUCT('Cap Engine'!$B$7:$B$43,'Cap Engine'!$F$7:$F$43)/'Cap Engine'!$B$46))</f>
        <v/>
      </c>
      <c r="M52" s="101">
        <f>(M51*(1-M24)-M24*M50*(1-SUMPRODUCT('Cap Engine'!$B$7:$B$43,'Cap Engine'!$F$7:$F$43)/'Cap Engine'!$B$46))</f>
        <v/>
      </c>
      <c r="N52" s="101">
        <f>(N51*(1-N24)-N24*N50*(1-SUMPRODUCT('Cap Engine'!$B$7:$B$43,'Cap Engine'!$F$7:$F$43)/'Cap Engine'!$B$46))</f>
        <v/>
      </c>
      <c r="O52" s="101">
        <f>(O51*(1-O24)-O24*O50*(1-SUMPRODUCT('Cap Engine'!$B$7:$B$43,'Cap Engine'!$F$7:$F$43)/'Cap Engine'!$B$46))</f>
        <v/>
      </c>
      <c r="P52" s="101">
        <f>(P51*(1-P24)-P24*P50*(1-SUMPRODUCT('Cap Engine'!$B$7:$B$43,'Cap Engine'!$F$7:$F$43)/'Cap Engine'!$B$46))</f>
        <v/>
      </c>
      <c r="Q52" s="101">
        <f>(Q51*(1-Q24)-Q24*Q50*(1-SUMPRODUCT('Cap Engine'!$B$7:$B$43,'Cap Engine'!$F$7:$F$43)/'Cap Engine'!$B$46))</f>
        <v/>
      </c>
      <c r="R52" s="101">
        <f>(R51*(1-R24)-R24*R50*(1-SUMPRODUCT('Cap Engine'!$B$7:$B$43,'Cap Engine'!$F$7:$F$43)/'Cap Engine'!$B$46))</f>
        <v/>
      </c>
      <c r="S52" s="101">
        <f>(S51*(1-S24)-S24*S50*(1-SUMPRODUCT('Cap Engine'!$B$7:$B$43,'Cap Engine'!$F$7:$F$43)/'Cap Engine'!$B$46))</f>
        <v/>
      </c>
    </row>
    <row r="53" ht="15" customHeight="1" s="62">
      <c r="A53" s="86" t="inlineStr">
        <is>
          <t>NFE after-tax (real)</t>
        </is>
      </c>
      <c r="B53" s="101">
        <f>B23*B6*(1-B24)</f>
        <v/>
      </c>
      <c r="C53" s="101">
        <f>C23*C6*(1-C24)</f>
        <v/>
      </c>
      <c r="D53" s="101">
        <f>D23*D6*(1-D24)</f>
        <v/>
      </c>
      <c r="E53" s="101">
        <f>E23*E6*(1-E24)</f>
        <v/>
      </c>
      <c r="F53" s="101">
        <f>F23*F6*(1-F24)</f>
        <v/>
      </c>
      <c r="G53" s="101">
        <f>G23*G6*(1-G24)</f>
        <v/>
      </c>
      <c r="H53" s="101">
        <f>H23*H6*(1-H24)</f>
        <v/>
      </c>
      <c r="I53" s="101">
        <f>I23*I6*(1-I24)</f>
        <v/>
      </c>
      <c r="J53" s="101">
        <f>J23*J6*(1-J24)</f>
        <v/>
      </c>
      <c r="K53" s="101">
        <f>K23*K6*(1-K24)</f>
        <v/>
      </c>
      <c r="L53" s="101">
        <f>L23*L6*(1-L24)</f>
        <v/>
      </c>
      <c r="M53" s="101">
        <f>M23*M6*(1-M24)</f>
        <v/>
      </c>
      <c r="N53" s="101">
        <f>N23*N6*(1-N24)</f>
        <v/>
      </c>
      <c r="O53" s="101">
        <f>O23*O6*(1-O24)</f>
        <v/>
      </c>
      <c r="P53" s="101">
        <f>P23*P6*(1-P24)</f>
        <v/>
      </c>
      <c r="Q53" s="101">
        <f>Q23*Q6*(1-Q24)</f>
        <v/>
      </c>
      <c r="R53" s="101">
        <f>R23*R6*(1-R24)</f>
        <v/>
      </c>
      <c r="S53" s="101">
        <f>S23*S6*(1-S24)</f>
        <v/>
      </c>
    </row>
    <row r="54" ht="15" customHeight="1" s="62">
      <c r="A54" s="86" t="inlineStr">
        <is>
          <t>Economic NI</t>
        </is>
      </c>
      <c r="B54" s="101">
        <f>B52-B53</f>
        <v/>
      </c>
      <c r="C54" s="101">
        <f>C52-C53</f>
        <v/>
      </c>
      <c r="D54" s="101">
        <f>D52-D53</f>
        <v/>
      </c>
      <c r="E54" s="101">
        <f>E52-E53</f>
        <v/>
      </c>
      <c r="F54" s="101">
        <f>F52-F53</f>
        <v/>
      </c>
      <c r="G54" s="101">
        <f>G52-G53</f>
        <v/>
      </c>
      <c r="H54" s="101">
        <f>H52-H53</f>
        <v/>
      </c>
      <c r="I54" s="101">
        <f>I52-I53</f>
        <v/>
      </c>
      <c r="J54" s="101">
        <f>J52-J53</f>
        <v/>
      </c>
      <c r="K54" s="101">
        <f>K52-K53</f>
        <v/>
      </c>
      <c r="L54" s="101">
        <f>L52-L53</f>
        <v/>
      </c>
      <c r="M54" s="101">
        <f>M52-M53</f>
        <v/>
      </c>
      <c r="N54" s="101">
        <f>N52-N53</f>
        <v/>
      </c>
      <c r="O54" s="101">
        <f>O52-O53</f>
        <v/>
      </c>
      <c r="P54" s="101">
        <f>P52-P53</f>
        <v/>
      </c>
      <c r="Q54" s="101">
        <f>Q52-Q53</f>
        <v/>
      </c>
      <c r="R54" s="101">
        <f>R52-R53</f>
        <v/>
      </c>
      <c r="S54" s="101">
        <f>S52-S53</f>
        <v/>
      </c>
    </row>
    <row r="55" ht="15" customHeight="1" s="62">
      <c r="A55" s="86" t="inlineStr">
        <is>
          <t>OCI (real)</t>
        </is>
      </c>
      <c r="B55" s="101">
        <f>B25*B6</f>
        <v/>
      </c>
      <c r="C55" s="101">
        <f>C25*C6</f>
        <v/>
      </c>
      <c r="D55" s="101">
        <f>D25*D6</f>
        <v/>
      </c>
      <c r="E55" s="101">
        <f>E25*E6</f>
        <v/>
      </c>
      <c r="F55" s="101">
        <f>F25*F6</f>
        <v/>
      </c>
      <c r="G55" s="101">
        <f>G25*G6</f>
        <v/>
      </c>
      <c r="H55" s="101">
        <f>H25*H6</f>
        <v/>
      </c>
      <c r="I55" s="101">
        <f>I25*I6</f>
        <v/>
      </c>
      <c r="J55" s="101">
        <f>J25*J6</f>
        <v/>
      </c>
      <c r="K55" s="101">
        <f>K25*K6</f>
        <v/>
      </c>
      <c r="L55" s="101">
        <f>L25*L6</f>
        <v/>
      </c>
      <c r="M55" s="101">
        <f>M25*M6</f>
        <v/>
      </c>
      <c r="N55" s="101">
        <f>N25*N6</f>
        <v/>
      </c>
      <c r="O55" s="101">
        <f>O25*O6</f>
        <v/>
      </c>
      <c r="P55" s="101">
        <f>P25*P6</f>
        <v/>
      </c>
      <c r="Q55" s="101">
        <f>Q25*Q6</f>
        <v/>
      </c>
      <c r="R55" s="101">
        <f>R25*R6</f>
        <v/>
      </c>
      <c r="S55" s="101">
        <f>S25*S6</f>
        <v/>
      </c>
    </row>
    <row r="56" ht="15" customHeight="1" s="62">
      <c r="A56" s="86" t="inlineStr">
        <is>
          <t>Comprehensive income</t>
        </is>
      </c>
      <c r="B56" s="101">
        <f>B54+B55</f>
        <v/>
      </c>
      <c r="C56" s="101">
        <f>C54+C55</f>
        <v/>
      </c>
      <c r="D56" s="101">
        <f>D54+D55</f>
        <v/>
      </c>
      <c r="E56" s="101">
        <f>E54+E55</f>
        <v/>
      </c>
      <c r="F56" s="101">
        <f>F54+F55</f>
        <v/>
      </c>
      <c r="G56" s="101">
        <f>G54+G55</f>
        <v/>
      </c>
      <c r="H56" s="101">
        <f>H54+H55</f>
        <v/>
      </c>
      <c r="I56" s="101">
        <f>I54+I55</f>
        <v/>
      </c>
      <c r="J56" s="101">
        <f>J54+J55</f>
        <v/>
      </c>
      <c r="K56" s="101">
        <f>K54+K55</f>
        <v/>
      </c>
      <c r="L56" s="101">
        <f>L54+L55</f>
        <v/>
      </c>
      <c r="M56" s="101">
        <f>M54+M55</f>
        <v/>
      </c>
      <c r="N56" s="101">
        <f>N54+N55</f>
        <v/>
      </c>
      <c r="O56" s="101">
        <f>O54+O55</f>
        <v/>
      </c>
      <c r="P56" s="101">
        <f>P54+P55</f>
        <v/>
      </c>
      <c r="Q56" s="101">
        <f>Q54+Q55</f>
        <v/>
      </c>
      <c r="R56" s="101">
        <f>R54+R55</f>
        <v/>
      </c>
      <c r="S56" s="101">
        <f>S54+S55</f>
        <v/>
      </c>
    </row>
    <row r="58" ht="15" customHeight="1" s="62">
      <c r="A58" s="65" t="inlineStr">
        <is>
          <t>METRICS (economic, ending-balance)</t>
        </is>
      </c>
    </row>
    <row r="59" ht="15" customHeight="1" s="62">
      <c r="A59" s="86" t="inlineStr">
        <is>
          <t>RNOA (econ)</t>
        </is>
      </c>
      <c r="B59" s="103">
        <f>B52/B43</f>
        <v/>
      </c>
      <c r="C59" s="103">
        <f>C52/C43</f>
        <v/>
      </c>
      <c r="D59" s="103">
        <f>D52/D43</f>
        <v/>
      </c>
      <c r="E59" s="103">
        <f>E52/E43</f>
        <v/>
      </c>
      <c r="F59" s="103">
        <f>F52/F43</f>
        <v/>
      </c>
      <c r="G59" s="103">
        <f>G52/G43</f>
        <v/>
      </c>
      <c r="H59" s="103">
        <f>H52/H43</f>
        <v/>
      </c>
      <c r="I59" s="103">
        <f>I52/I43</f>
        <v/>
      </c>
      <c r="J59" s="103">
        <f>J52/J43</f>
        <v/>
      </c>
      <c r="K59" s="103">
        <f>K52/K43</f>
        <v/>
      </c>
      <c r="L59" s="103">
        <f>L52/L43</f>
        <v/>
      </c>
      <c r="M59" s="103">
        <f>M52/M43</f>
        <v/>
      </c>
      <c r="N59" s="103">
        <f>N52/N43</f>
        <v/>
      </c>
      <c r="O59" s="103">
        <f>O52/O43</f>
        <v/>
      </c>
      <c r="P59" s="103">
        <f>P52/P43</f>
        <v/>
      </c>
      <c r="Q59" s="103">
        <f>Q52/Q43</f>
        <v/>
      </c>
      <c r="R59" s="103">
        <f>R52/R43</f>
        <v/>
      </c>
      <c r="S59" s="103">
        <f>S52/S43</f>
        <v/>
      </c>
    </row>
    <row r="60" ht="15" customHeight="1" s="62">
      <c r="A60" s="86" t="inlineStr">
        <is>
          <t>FLEV (econ)</t>
        </is>
      </c>
      <c r="B60" s="105">
        <f>B44/B45</f>
        <v/>
      </c>
      <c r="C60" s="105">
        <f>C44/C45</f>
        <v/>
      </c>
      <c r="D60" s="105">
        <f>D44/D45</f>
        <v/>
      </c>
      <c r="E60" s="105">
        <f>E44/E45</f>
        <v/>
      </c>
      <c r="F60" s="105">
        <f>F44/F45</f>
        <v/>
      </c>
      <c r="G60" s="105">
        <f>G44/G45</f>
        <v/>
      </c>
      <c r="H60" s="105">
        <f>H44/H45</f>
        <v/>
      </c>
      <c r="I60" s="105">
        <f>I44/I45</f>
        <v/>
      </c>
      <c r="J60" s="105">
        <f>J44/J45</f>
        <v/>
      </c>
      <c r="K60" s="105">
        <f>K44/K45</f>
        <v/>
      </c>
      <c r="L60" s="105">
        <f>L44/L45</f>
        <v/>
      </c>
      <c r="M60" s="105">
        <f>M44/M45</f>
        <v/>
      </c>
      <c r="N60" s="105">
        <f>N44/N45</f>
        <v/>
      </c>
      <c r="O60" s="105">
        <f>O44/O45</f>
        <v/>
      </c>
      <c r="P60" s="105">
        <f>P44/P45</f>
        <v/>
      </c>
      <c r="Q60" s="105">
        <f>Q44/Q45</f>
        <v/>
      </c>
      <c r="R60" s="105">
        <f>R44/R45</f>
        <v/>
      </c>
      <c r="S60" s="105">
        <f>S44/S45</f>
        <v/>
      </c>
    </row>
    <row r="61" ht="15" customHeight="1" s="62">
      <c r="A61" s="86" t="inlineStr">
        <is>
          <t>NBC</t>
        </is>
      </c>
      <c r="B61" s="103">
        <f>B53/B44</f>
        <v/>
      </c>
      <c r="C61" s="103">
        <f>C53/C44</f>
        <v/>
      </c>
      <c r="D61" s="103">
        <f>D53/D44</f>
        <v/>
      </c>
      <c r="E61" s="103">
        <f>E53/E44</f>
        <v/>
      </c>
      <c r="F61" s="103">
        <f>F53/F44</f>
        <v/>
      </c>
      <c r="G61" s="103">
        <f>G53/G44</f>
        <v/>
      </c>
      <c r="H61" s="103">
        <f>H53/H44</f>
        <v/>
      </c>
      <c r="I61" s="103">
        <f>I53/I44</f>
        <v/>
      </c>
      <c r="J61" s="103">
        <f>J53/J44</f>
        <v/>
      </c>
      <c r="K61" s="103">
        <f>K53/K44</f>
        <v/>
      </c>
      <c r="L61" s="103">
        <f>L53/L44</f>
        <v/>
      </c>
      <c r="M61" s="103">
        <f>M53/M44</f>
        <v/>
      </c>
      <c r="N61" s="103">
        <f>N53/N44</f>
        <v/>
      </c>
      <c r="O61" s="103">
        <f>O53/O44</f>
        <v/>
      </c>
      <c r="P61" s="103">
        <f>P53/P44</f>
        <v/>
      </c>
      <c r="Q61" s="103">
        <f>Q53/Q44</f>
        <v/>
      </c>
      <c r="R61" s="103">
        <f>R53/R44</f>
        <v/>
      </c>
      <c r="S61" s="103">
        <f>S53/S44</f>
        <v/>
      </c>
    </row>
    <row r="62" ht="15" customHeight="1" s="62">
      <c r="A62" s="86" t="inlineStr">
        <is>
          <t>Spread</t>
        </is>
      </c>
      <c r="B62" s="103">
        <f>B59-B61</f>
        <v/>
      </c>
      <c r="C62" s="103">
        <f>C59-C61</f>
        <v/>
      </c>
      <c r="D62" s="103">
        <f>D59-D61</f>
        <v/>
      </c>
      <c r="E62" s="103">
        <f>E59-E61</f>
        <v/>
      </c>
      <c r="F62" s="103">
        <f>F59-F61</f>
        <v/>
      </c>
      <c r="G62" s="103">
        <f>G59-G61</f>
        <v/>
      </c>
      <c r="H62" s="103">
        <f>H59-H61</f>
        <v/>
      </c>
      <c r="I62" s="103">
        <f>I59-I61</f>
        <v/>
      </c>
      <c r="J62" s="103">
        <f>J59-J61</f>
        <v/>
      </c>
      <c r="K62" s="103">
        <f>K59-K61</f>
        <v/>
      </c>
      <c r="L62" s="103">
        <f>L59-L61</f>
        <v/>
      </c>
      <c r="M62" s="103">
        <f>M59-M61</f>
        <v/>
      </c>
      <c r="N62" s="103">
        <f>N59-N61</f>
        <v/>
      </c>
      <c r="O62" s="103">
        <f>O59-O61</f>
        <v/>
      </c>
      <c r="P62" s="103">
        <f>P59-P61</f>
        <v/>
      </c>
      <c r="Q62" s="103">
        <f>Q59-Q61</f>
        <v/>
      </c>
      <c r="R62" s="103">
        <f>R59-R61</f>
        <v/>
      </c>
      <c r="S62" s="103">
        <f>S59-S61</f>
        <v/>
      </c>
    </row>
    <row r="63" ht="15" customHeight="1" s="62">
      <c r="A63" s="86" t="inlineStr">
        <is>
          <t>ROCE</t>
        </is>
      </c>
      <c r="B63" s="103">
        <f>B56/B45</f>
        <v/>
      </c>
      <c r="C63" s="103">
        <f>C56/C45</f>
        <v/>
      </c>
      <c r="D63" s="103">
        <f>D56/D45</f>
        <v/>
      </c>
      <c r="E63" s="103">
        <f>E56/E45</f>
        <v/>
      </c>
      <c r="F63" s="103">
        <f>F56/F45</f>
        <v/>
      </c>
      <c r="G63" s="103">
        <f>G56/G45</f>
        <v/>
      </c>
      <c r="H63" s="103">
        <f>H56/H45</f>
        <v/>
      </c>
      <c r="I63" s="103">
        <f>I56/I45</f>
        <v/>
      </c>
      <c r="J63" s="103">
        <f>J56/J45</f>
        <v/>
      </c>
      <c r="K63" s="103">
        <f>K56/K45</f>
        <v/>
      </c>
      <c r="L63" s="103">
        <f>L56/L45</f>
        <v/>
      </c>
      <c r="M63" s="103">
        <f>M56/M45</f>
        <v/>
      </c>
      <c r="N63" s="103">
        <f>N56/N45</f>
        <v/>
      </c>
      <c r="O63" s="103">
        <f>O56/O45</f>
        <v/>
      </c>
      <c r="P63" s="103">
        <f>P56/P45</f>
        <v/>
      </c>
      <c r="Q63" s="103">
        <f>Q56/Q45</f>
        <v/>
      </c>
      <c r="R63" s="103">
        <f>R56/R45</f>
        <v/>
      </c>
      <c r="S63" s="103">
        <f>S56/S45</f>
        <v/>
      </c>
    </row>
    <row r="64" ht="15" customHeight="1" s="62">
      <c r="A64" s="86" t="inlineStr">
        <is>
          <t>Reported ROE (memo)</t>
        </is>
      </c>
      <c r="B64" s="103">
        <f>B22/B18</f>
        <v/>
      </c>
      <c r="C64" s="103">
        <f>C22/C18</f>
        <v/>
      </c>
      <c r="D64" s="103">
        <f>D22/D18</f>
        <v/>
      </c>
      <c r="E64" s="103">
        <f>E22/E18</f>
        <v/>
      </c>
      <c r="F64" s="103">
        <f>F22/F18</f>
        <v/>
      </c>
      <c r="G64" s="103">
        <f>G22/G18</f>
        <v/>
      </c>
      <c r="H64" s="103">
        <f>H22/H18</f>
        <v/>
      </c>
      <c r="I64" s="103">
        <f>I22/I18</f>
        <v/>
      </c>
      <c r="J64" s="103">
        <f>J22/J18</f>
        <v/>
      </c>
      <c r="K64" s="103">
        <f>K22/K18</f>
        <v/>
      </c>
      <c r="L64" s="103">
        <f>L22/L18</f>
        <v/>
      </c>
      <c r="M64" s="103">
        <f>M22/M18</f>
        <v/>
      </c>
      <c r="N64" s="103">
        <f>N22/N18</f>
        <v/>
      </c>
      <c r="O64" s="103">
        <f>O22/O18</f>
        <v/>
      </c>
      <c r="P64" s="103">
        <f>P22/P18</f>
        <v/>
      </c>
      <c r="Q64" s="103">
        <f>Q22/Q18</f>
        <v/>
      </c>
      <c r="R64" s="103">
        <f>R22/R18</f>
        <v/>
      </c>
      <c r="S64" s="103">
        <f>S22/S18</f>
        <v/>
      </c>
    </row>
    <row r="66" ht="15" customHeight="1" s="62">
      <c r="A66" s="65" t="inlineStr">
        <is>
          <t>CLEAN-SURPLUS (nominal check)</t>
        </is>
      </c>
    </row>
    <row r="67" ht="15" customHeight="1" s="62">
      <c r="A67" s="86" t="inlineStr">
        <is>
          <t>Net distribution D = −(div+repurch)</t>
        </is>
      </c>
      <c r="B67" s="101">
        <f>-(B26+B27)</f>
        <v/>
      </c>
      <c r="C67" s="101">
        <f>-(C26+C27)</f>
        <v/>
      </c>
      <c r="D67" s="101">
        <f>-(D26+D27)</f>
        <v/>
      </c>
      <c r="E67" s="101">
        <f>-(E26+E27)</f>
        <v/>
      </c>
      <c r="F67" s="101">
        <f>-(F26+F27)</f>
        <v/>
      </c>
      <c r="G67" s="101">
        <f>-(G26+G27)</f>
        <v/>
      </c>
      <c r="H67" s="101">
        <f>-(H26+H27)</f>
        <v/>
      </c>
      <c r="I67" s="101">
        <f>-(I26+I27)</f>
        <v/>
      </c>
      <c r="J67" s="101">
        <f>-(J26+J27)</f>
        <v/>
      </c>
      <c r="K67" s="101">
        <f>-(K26+K27)</f>
        <v/>
      </c>
      <c r="L67" s="101">
        <f>-(L26+L27)</f>
        <v/>
      </c>
      <c r="M67" s="101">
        <f>-(M26+M27)</f>
        <v/>
      </c>
      <c r="N67" s="101">
        <f>-(N26+N27)</f>
        <v/>
      </c>
      <c r="O67" s="101">
        <f>-(O26+O27)</f>
        <v/>
      </c>
      <c r="P67" s="101">
        <f>-(P26+P27)</f>
        <v/>
      </c>
      <c r="Q67" s="101">
        <f>-(Q26+Q27)</f>
        <v/>
      </c>
      <c r="R67" s="101">
        <f>-(R26+R27)</f>
        <v/>
      </c>
      <c r="S67" s="101">
        <f>-(S26+S27)</f>
        <v/>
      </c>
    </row>
    <row r="68" ht="15" customHeight="1" s="62">
      <c r="A68" s="86" t="inlineStr">
        <is>
          <t>Reported CI (nom) = NI+OCI</t>
        </is>
      </c>
      <c r="B68" s="101">
        <f>B22+B25</f>
        <v/>
      </c>
      <c r="C68" s="101">
        <f>C22+C25</f>
        <v/>
      </c>
      <c r="D68" s="101">
        <f>D22+D25</f>
        <v/>
      </c>
      <c r="E68" s="101">
        <f>E22+E25</f>
        <v/>
      </c>
      <c r="F68" s="101">
        <f>F22+F25</f>
        <v/>
      </c>
      <c r="G68" s="101">
        <f>G22+G25</f>
        <v/>
      </c>
      <c r="H68" s="101">
        <f>H22+H25</f>
        <v/>
      </c>
      <c r="I68" s="101">
        <f>I22+I25</f>
        <v/>
      </c>
      <c r="J68" s="101">
        <f>J22+J25</f>
        <v/>
      </c>
      <c r="K68" s="101">
        <f>K22+K25</f>
        <v/>
      </c>
      <c r="L68" s="101">
        <f>L22+L25</f>
        <v/>
      </c>
      <c r="M68" s="101">
        <f>M22+M25</f>
        <v/>
      </c>
      <c r="N68" s="101">
        <f>N22+N25</f>
        <v/>
      </c>
      <c r="O68" s="101">
        <f>O22+O25</f>
        <v/>
      </c>
      <c r="P68" s="101">
        <f>P22+P25</f>
        <v/>
      </c>
      <c r="Q68" s="101">
        <f>Q22+Q25</f>
        <v/>
      </c>
      <c r="R68" s="101">
        <f>R22+R25</f>
        <v/>
      </c>
      <c r="S68" s="101">
        <f>S22+S25</f>
        <v/>
      </c>
    </row>
    <row r="69" ht="15" customHeight="1" s="62">
      <c r="A69" s="86" t="inlineStr">
        <is>
          <t>ΔCSE (nom)</t>
        </is>
      </c>
      <c r="B69" s="86">
        <f>""</f>
        <v/>
      </c>
      <c r="C69" s="101">
        <f>C18-B18</f>
        <v/>
      </c>
      <c r="D69" s="101">
        <f>D18-C18</f>
        <v/>
      </c>
      <c r="E69" s="101">
        <f>E18-D18</f>
        <v/>
      </c>
      <c r="F69" s="101">
        <f>F18-E18</f>
        <v/>
      </c>
      <c r="G69" s="101">
        <f>G18-F18</f>
        <v/>
      </c>
      <c r="H69" s="101">
        <f>H18-G18</f>
        <v/>
      </c>
      <c r="I69" s="101">
        <f>I18-H18</f>
        <v/>
      </c>
      <c r="J69" s="101">
        <f>J18-I18</f>
        <v/>
      </c>
      <c r="K69" s="101">
        <f>K18-J18</f>
        <v/>
      </c>
      <c r="L69" s="101">
        <f>L18-K18</f>
        <v/>
      </c>
      <c r="M69" s="101">
        <f>M18-L18</f>
        <v/>
      </c>
      <c r="N69" s="101">
        <f>N18-M18</f>
        <v/>
      </c>
      <c r="O69" s="101">
        <f>O18-N18</f>
        <v/>
      </c>
      <c r="P69" s="101">
        <f>P18-O18</f>
        <v/>
      </c>
      <c r="Q69" s="101">
        <f>Q18-P18</f>
        <v/>
      </c>
      <c r="R69" s="101">
        <f>R18-Q18</f>
        <v/>
      </c>
      <c r="S69" s="101">
        <f>S18-R18</f>
        <v/>
      </c>
    </row>
    <row r="70" ht="15" customHeight="1" s="62">
      <c r="A70" s="86" t="inlineStr">
        <is>
          <t>Clean-surplus residual (dirty)</t>
        </is>
      </c>
      <c r="B70" s="86">
        <f>""</f>
        <v/>
      </c>
      <c r="C70" s="101">
        <f>C69-(C68-C67)</f>
        <v/>
      </c>
      <c r="D70" s="101">
        <f>D69-(D68-D67)</f>
        <v/>
      </c>
      <c r="E70" s="101">
        <f>E69-(E68-E67)</f>
        <v/>
      </c>
      <c r="F70" s="101">
        <f>F69-(F68-F67)</f>
        <v/>
      </c>
      <c r="G70" s="101">
        <f>G69-(G68-G67)</f>
        <v/>
      </c>
      <c r="H70" s="101">
        <f>H69-(H68-H67)</f>
        <v/>
      </c>
      <c r="I70" s="101">
        <f>I69-(I68-I67)</f>
        <v/>
      </c>
      <c r="J70" s="101">
        <f>J69-(J68-J67)</f>
        <v/>
      </c>
      <c r="K70" s="101">
        <f>K69-(K68-K67)</f>
        <v/>
      </c>
      <c r="L70" s="101">
        <f>L69-(L68-L67)</f>
        <v/>
      </c>
      <c r="M70" s="101">
        <f>M69-(M68-M67)</f>
        <v/>
      </c>
      <c r="N70" s="101">
        <f>N69-(N68-N67)</f>
        <v/>
      </c>
      <c r="O70" s="101">
        <f>O69-(O68-O67)</f>
        <v/>
      </c>
      <c r="P70" s="101">
        <f>P69-(P68-P67)</f>
        <v/>
      </c>
      <c r="Q70" s="101">
        <f>Q69-(Q68-Q67)</f>
        <v/>
      </c>
      <c r="R70" s="101">
        <f>R69-(R68-R67)</f>
        <v/>
      </c>
      <c r="S70" s="101">
        <f>S69-(S68-S67)</f>
        <v/>
      </c>
    </row>
    <row r="72" ht="15" customHeight="1" s="62">
      <c r="A72" s="65" t="inlineStr">
        <is>
          <t>ACTIVE (cfg_restatement-selected)</t>
        </is>
      </c>
    </row>
    <row r="73" ht="15" customHeight="1" s="62">
      <c r="A73" s="86" t="inlineStr">
        <is>
          <t>Active NOA</t>
        </is>
      </c>
      <c r="B73" s="101">
        <f>IF(cfg_restatement="Economic",B43,B35)</f>
        <v/>
      </c>
      <c r="C73" s="101">
        <f>IF(cfg_restatement="Economic",C43,C35)</f>
        <v/>
      </c>
      <c r="D73" s="101">
        <f>IF(cfg_restatement="Economic",D43,D35)</f>
        <v/>
      </c>
      <c r="E73" s="101">
        <f>IF(cfg_restatement="Economic",E43,E35)</f>
        <v/>
      </c>
      <c r="F73" s="101">
        <f>IF(cfg_restatement="Economic",F43,F35)</f>
        <v/>
      </c>
      <c r="G73" s="101">
        <f>IF(cfg_restatement="Economic",G43,G35)</f>
        <v/>
      </c>
      <c r="H73" s="101">
        <f>IF(cfg_restatement="Economic",H43,H35)</f>
        <v/>
      </c>
      <c r="I73" s="101">
        <f>IF(cfg_restatement="Economic",I43,I35)</f>
        <v/>
      </c>
      <c r="J73" s="101">
        <f>IF(cfg_restatement="Economic",J43,J35)</f>
        <v/>
      </c>
      <c r="K73" s="101">
        <f>IF(cfg_restatement="Economic",K43,K35)</f>
        <v/>
      </c>
      <c r="L73" s="101">
        <f>IF(cfg_restatement="Economic",L43,L35)</f>
        <v/>
      </c>
      <c r="M73" s="101">
        <f>IF(cfg_restatement="Economic",M43,M35)</f>
        <v/>
      </c>
      <c r="N73" s="101">
        <f>IF(cfg_restatement="Economic",N43,N35)</f>
        <v/>
      </c>
      <c r="O73" s="101">
        <f>IF(cfg_restatement="Economic",O43,O35)</f>
        <v/>
      </c>
      <c r="P73" s="101">
        <f>IF(cfg_restatement="Economic",P43,P35)</f>
        <v/>
      </c>
      <c r="Q73" s="101">
        <f>IF(cfg_restatement="Economic",Q43,Q35)</f>
        <v/>
      </c>
      <c r="R73" s="101">
        <f>IF(cfg_restatement="Economic",R43,R35)</f>
        <v/>
      </c>
      <c r="S73" s="101">
        <f>IF(cfg_restatement="Economic",S43,S35)</f>
        <v/>
      </c>
    </row>
    <row r="74" ht="15" customHeight="1" s="62">
      <c r="A74" s="86" t="inlineStr">
        <is>
          <t>Active NFO</t>
        </is>
      </c>
      <c r="B74" s="101">
        <f>IF(cfg_restatement="Economic",B44,B32)</f>
        <v/>
      </c>
      <c r="C74" s="101">
        <f>IF(cfg_restatement="Economic",C44,C32)</f>
        <v/>
      </c>
      <c r="D74" s="101">
        <f>IF(cfg_restatement="Economic",D44,D32)</f>
        <v/>
      </c>
      <c r="E74" s="101">
        <f>IF(cfg_restatement="Economic",E44,E32)</f>
        <v/>
      </c>
      <c r="F74" s="101">
        <f>IF(cfg_restatement="Economic",F44,F32)</f>
        <v/>
      </c>
      <c r="G74" s="101">
        <f>IF(cfg_restatement="Economic",G44,G32)</f>
        <v/>
      </c>
      <c r="H74" s="101">
        <f>IF(cfg_restatement="Economic",H44,H32)</f>
        <v/>
      </c>
      <c r="I74" s="101">
        <f>IF(cfg_restatement="Economic",I44,I32)</f>
        <v/>
      </c>
      <c r="J74" s="101">
        <f>IF(cfg_restatement="Economic",J44,J32)</f>
        <v/>
      </c>
      <c r="K74" s="101">
        <f>IF(cfg_restatement="Economic",K44,K32)</f>
        <v/>
      </c>
      <c r="L74" s="101">
        <f>IF(cfg_restatement="Economic",L44,L32)</f>
        <v/>
      </c>
      <c r="M74" s="101">
        <f>IF(cfg_restatement="Economic",M44,M32)</f>
        <v/>
      </c>
      <c r="N74" s="101">
        <f>IF(cfg_restatement="Economic",N44,N32)</f>
        <v/>
      </c>
      <c r="O74" s="101">
        <f>IF(cfg_restatement="Economic",O44,O32)</f>
        <v/>
      </c>
      <c r="P74" s="101">
        <f>IF(cfg_restatement="Economic",P44,P32)</f>
        <v/>
      </c>
      <c r="Q74" s="101">
        <f>IF(cfg_restatement="Economic",Q44,Q32)</f>
        <v/>
      </c>
      <c r="R74" s="101">
        <f>IF(cfg_restatement="Economic",R44,R32)</f>
        <v/>
      </c>
      <c r="S74" s="101">
        <f>IF(cfg_restatement="Economic",S44,S32)</f>
        <v/>
      </c>
    </row>
    <row r="75" ht="15" customHeight="1" s="62">
      <c r="A75" s="86" t="inlineStr">
        <is>
          <t>Active CSE</t>
        </is>
      </c>
      <c r="B75" s="101">
        <f>IF(cfg_restatement="Economic",B45,B18)</f>
        <v/>
      </c>
      <c r="C75" s="101">
        <f>IF(cfg_restatement="Economic",C45,C18)</f>
        <v/>
      </c>
      <c r="D75" s="101">
        <f>IF(cfg_restatement="Economic",D45,D18)</f>
        <v/>
      </c>
      <c r="E75" s="101">
        <f>IF(cfg_restatement="Economic",E45,E18)</f>
        <v/>
      </c>
      <c r="F75" s="101">
        <f>IF(cfg_restatement="Economic",F45,F18)</f>
        <v/>
      </c>
      <c r="G75" s="101">
        <f>IF(cfg_restatement="Economic",G45,G18)</f>
        <v/>
      </c>
      <c r="H75" s="101">
        <f>IF(cfg_restatement="Economic",H45,H18)</f>
        <v/>
      </c>
      <c r="I75" s="101">
        <f>IF(cfg_restatement="Economic",I45,I18)</f>
        <v/>
      </c>
      <c r="J75" s="101">
        <f>IF(cfg_restatement="Economic",J45,J18)</f>
        <v/>
      </c>
      <c r="K75" s="101">
        <f>IF(cfg_restatement="Economic",K45,K18)</f>
        <v/>
      </c>
      <c r="L75" s="101">
        <f>IF(cfg_restatement="Economic",L45,L18)</f>
        <v/>
      </c>
      <c r="M75" s="101">
        <f>IF(cfg_restatement="Economic",M45,M18)</f>
        <v/>
      </c>
      <c r="N75" s="101">
        <f>IF(cfg_restatement="Economic",N45,N18)</f>
        <v/>
      </c>
      <c r="O75" s="101">
        <f>IF(cfg_restatement="Economic",O45,O18)</f>
        <v/>
      </c>
      <c r="P75" s="101">
        <f>IF(cfg_restatement="Economic",P45,P18)</f>
        <v/>
      </c>
      <c r="Q75" s="101">
        <f>IF(cfg_restatement="Economic",Q45,Q18)</f>
        <v/>
      </c>
      <c r="R75" s="101">
        <f>IF(cfg_restatement="Economic",R45,R18)</f>
        <v/>
      </c>
      <c r="S75" s="101">
        <f>IF(cfg_restatement="Economic",S45,S18)</f>
        <v/>
      </c>
    </row>
    <row r="76" ht="15" customHeight="1" s="62">
      <c r="A76" s="86" t="inlineStr">
        <is>
          <t>Active OI-after-tax</t>
        </is>
      </c>
      <c r="B76" s="101">
        <f>IF(cfg_restatement="Economic",B52,B20*(1-B24))</f>
        <v/>
      </c>
      <c r="C76" s="101">
        <f>IF(cfg_restatement="Economic",C52,C20*(1-C24))</f>
        <v/>
      </c>
      <c r="D76" s="101">
        <f>IF(cfg_restatement="Economic",D52,D20*(1-D24))</f>
        <v/>
      </c>
      <c r="E76" s="101">
        <f>IF(cfg_restatement="Economic",E52,E20*(1-E24))</f>
        <v/>
      </c>
      <c r="F76" s="101">
        <f>IF(cfg_restatement="Economic",F52,F20*(1-F24))</f>
        <v/>
      </c>
      <c r="G76" s="101">
        <f>IF(cfg_restatement="Economic",G52,G20*(1-G24))</f>
        <v/>
      </c>
      <c r="H76" s="101">
        <f>IF(cfg_restatement="Economic",H52,H20*(1-H24))</f>
        <v/>
      </c>
      <c r="I76" s="101">
        <f>IF(cfg_restatement="Economic",I52,I20*(1-I24))</f>
        <v/>
      </c>
      <c r="J76" s="101">
        <f>IF(cfg_restatement="Economic",J52,J20*(1-J24))</f>
        <v/>
      </c>
      <c r="K76" s="101">
        <f>IF(cfg_restatement="Economic",K52,K20*(1-K24))</f>
        <v/>
      </c>
      <c r="L76" s="101">
        <f>IF(cfg_restatement="Economic",L52,L20*(1-L24))</f>
        <v/>
      </c>
      <c r="M76" s="101">
        <f>IF(cfg_restatement="Economic",M52,M20*(1-M24))</f>
        <v/>
      </c>
      <c r="N76" s="101">
        <f>IF(cfg_restatement="Economic",N52,N20*(1-N24))</f>
        <v/>
      </c>
      <c r="O76" s="101">
        <f>IF(cfg_restatement="Economic",O52,O20*(1-O24))</f>
        <v/>
      </c>
      <c r="P76" s="101">
        <f>IF(cfg_restatement="Economic",P52,P20*(1-P24))</f>
        <v/>
      </c>
      <c r="Q76" s="101">
        <f>IF(cfg_restatement="Economic",Q52,Q20*(1-Q24))</f>
        <v/>
      </c>
      <c r="R76" s="101">
        <f>IF(cfg_restatement="Economic",R52,R20*(1-R24))</f>
        <v/>
      </c>
      <c r="S76" s="101">
        <f>IF(cfg_restatement="Economic",S52,S20*(1-S24))</f>
        <v/>
      </c>
    </row>
    <row r="77" ht="15" customHeight="1" s="62">
      <c r="A77" s="86" t="inlineStr">
        <is>
          <t>Active NI</t>
        </is>
      </c>
      <c r="B77" s="101">
        <f>IF(cfg_restatement="Economic",B54,B22)</f>
        <v/>
      </c>
      <c r="C77" s="101">
        <f>IF(cfg_restatement="Economic",C54,C22)</f>
        <v/>
      </c>
      <c r="D77" s="101">
        <f>IF(cfg_restatement="Economic",D54,D22)</f>
        <v/>
      </c>
      <c r="E77" s="101">
        <f>IF(cfg_restatement="Economic",E54,E22)</f>
        <v/>
      </c>
      <c r="F77" s="101">
        <f>IF(cfg_restatement="Economic",F54,F22)</f>
        <v/>
      </c>
      <c r="G77" s="101">
        <f>IF(cfg_restatement="Economic",G54,G22)</f>
        <v/>
      </c>
      <c r="H77" s="101">
        <f>IF(cfg_restatement="Economic",H54,H22)</f>
        <v/>
      </c>
      <c r="I77" s="101">
        <f>IF(cfg_restatement="Economic",I54,I22)</f>
        <v/>
      </c>
      <c r="J77" s="101">
        <f>IF(cfg_restatement="Economic",J54,J22)</f>
        <v/>
      </c>
      <c r="K77" s="101">
        <f>IF(cfg_restatement="Economic",K54,K22)</f>
        <v/>
      </c>
      <c r="L77" s="101">
        <f>IF(cfg_restatement="Economic",L54,L22)</f>
        <v/>
      </c>
      <c r="M77" s="101">
        <f>IF(cfg_restatement="Economic",M54,M22)</f>
        <v/>
      </c>
      <c r="N77" s="101">
        <f>IF(cfg_restatement="Economic",N54,N22)</f>
        <v/>
      </c>
      <c r="O77" s="101">
        <f>IF(cfg_restatement="Economic",O54,O22)</f>
        <v/>
      </c>
      <c r="P77" s="101">
        <f>IF(cfg_restatement="Economic",P54,P22)</f>
        <v/>
      </c>
      <c r="Q77" s="101">
        <f>IF(cfg_restatement="Economic",Q54,Q22)</f>
        <v/>
      </c>
      <c r="R77" s="101">
        <f>IF(cfg_restatement="Economic",R54,R22)</f>
        <v/>
      </c>
      <c r="S77" s="101">
        <f>IF(cfg_restatement="Economic",S54,S22)</f>
        <v/>
      </c>
    </row>
    <row r="78" ht="15" customHeight="1" s="62">
      <c r="A78" s="86" t="inlineStr">
        <is>
          <t>Active RNOA</t>
        </is>
      </c>
      <c r="B78" s="103">
        <f>B76/B73</f>
        <v/>
      </c>
      <c r="C78" s="103">
        <f>C76/C73</f>
        <v/>
      </c>
      <c r="D78" s="103">
        <f>D76/D73</f>
        <v/>
      </c>
      <c r="E78" s="103">
        <f>E76/E73</f>
        <v/>
      </c>
      <c r="F78" s="103">
        <f>F76/F73</f>
        <v/>
      </c>
      <c r="G78" s="103">
        <f>G76/G73</f>
        <v/>
      </c>
      <c r="H78" s="103">
        <f>H76/H73</f>
        <v/>
      </c>
      <c r="I78" s="103">
        <f>I76/I73</f>
        <v/>
      </c>
      <c r="J78" s="103">
        <f>J76/J73</f>
        <v/>
      </c>
      <c r="K78" s="103">
        <f>K76/K73</f>
        <v/>
      </c>
      <c r="L78" s="103">
        <f>L76/L73</f>
        <v/>
      </c>
      <c r="M78" s="103">
        <f>M76/M73</f>
        <v/>
      </c>
      <c r="N78" s="103">
        <f>N76/N73</f>
        <v/>
      </c>
      <c r="O78" s="103">
        <f>O76/O73</f>
        <v/>
      </c>
      <c r="P78" s="103">
        <f>P76/P73</f>
        <v/>
      </c>
      <c r="Q78" s="103">
        <f>Q76/Q73</f>
        <v/>
      </c>
      <c r="R78" s="103">
        <f>R76/R73</f>
        <v/>
      </c>
      <c r="S78" s="103">
        <f>S76/S73</f>
        <v/>
      </c>
    </row>
    <row r="80" ht="15" customHeight="1" s="62">
      <c r="A80" s="65" t="inlineStr">
        <is>
          <t>REAL IS LINES (real 2026$; forecast build-up base)</t>
        </is>
      </c>
    </row>
    <row r="81" ht="15" customHeight="1" s="62">
      <c r="A81" s="86" t="inlineStr">
        <is>
          <t>Real revenue</t>
        </is>
      </c>
      <c r="B81" s="101">
        <f>IFERROR(INDEX(rep_revenue,MATCH(B$5,rep_years_is,0)),0)*B6</f>
        <v/>
      </c>
      <c r="C81" s="101">
        <f>IFERROR(INDEX(rep_revenue,MATCH(C$5,rep_years_is,0)),0)*C6</f>
        <v/>
      </c>
      <c r="D81" s="101">
        <f>IFERROR(INDEX(rep_revenue,MATCH(D$5,rep_years_is,0)),0)*D6</f>
        <v/>
      </c>
      <c r="E81" s="101">
        <f>IFERROR(INDEX(rep_revenue,MATCH(E$5,rep_years_is,0)),0)*E6</f>
        <v/>
      </c>
      <c r="F81" s="101">
        <f>IFERROR(INDEX(rep_revenue,MATCH(F$5,rep_years_is,0)),0)*F6</f>
        <v/>
      </c>
      <c r="G81" s="101">
        <f>IFERROR(INDEX(rep_revenue,MATCH(G$5,rep_years_is,0)),0)*G6</f>
        <v/>
      </c>
      <c r="H81" s="101">
        <f>IFERROR(INDEX(rep_revenue,MATCH(H$5,rep_years_is,0)),0)*H6</f>
        <v/>
      </c>
      <c r="I81" s="101">
        <f>IFERROR(INDEX(rep_revenue,MATCH(I$5,rep_years_is,0)),0)*I6</f>
        <v/>
      </c>
      <c r="J81" s="101">
        <f>IFERROR(INDEX(rep_revenue,MATCH(J$5,rep_years_is,0)),0)*J6</f>
        <v/>
      </c>
      <c r="K81" s="101">
        <f>IFERROR(INDEX(rep_revenue,MATCH(K$5,rep_years_is,0)),0)*K6</f>
        <v/>
      </c>
      <c r="L81" s="101">
        <f>IFERROR(INDEX(rep_revenue,MATCH(L$5,rep_years_is,0)),0)*L6</f>
        <v/>
      </c>
      <c r="M81" s="101">
        <f>IFERROR(INDEX(rep_revenue,MATCH(M$5,rep_years_is,0)),0)*M6</f>
        <v/>
      </c>
      <c r="N81" s="101">
        <f>IFERROR(INDEX(rep_revenue,MATCH(N$5,rep_years_is,0)),0)*N6</f>
        <v/>
      </c>
      <c r="O81" s="101">
        <f>IFERROR(INDEX(rep_revenue,MATCH(O$5,rep_years_is,0)),0)*O6</f>
        <v/>
      </c>
      <c r="P81" s="101">
        <f>IFERROR(INDEX(rep_revenue,MATCH(P$5,rep_years_is,0)),0)*P6</f>
        <v/>
      </c>
      <c r="Q81" s="101">
        <f>IFERROR(INDEX(rep_revenue,MATCH(Q$5,rep_years_is,0)),0)*Q6</f>
        <v/>
      </c>
      <c r="R81" s="101">
        <f>IFERROR(INDEX(rep_revenue,MATCH(R$5,rep_years_is,0)),0)*R6</f>
        <v/>
      </c>
      <c r="S81" s="101">
        <f>IFERROR(INDEX(rep_revenue,MATCH(S$5,rep_years_is,0)),0)*S6</f>
        <v/>
      </c>
    </row>
    <row r="82" ht="15" customHeight="1" s="62">
      <c r="A82" s="86" t="inlineStr">
        <is>
          <t>Real COGS</t>
        </is>
      </c>
      <c r="B82" s="101">
        <f>IFERROR(INDEX(rep_cogs,MATCH(B$5,rep_years_is,0)),0)*B6</f>
        <v/>
      </c>
      <c r="C82" s="101">
        <f>IFERROR(INDEX(rep_cogs,MATCH(C$5,rep_years_is,0)),0)*C6</f>
        <v/>
      </c>
      <c r="D82" s="101">
        <f>IFERROR(INDEX(rep_cogs,MATCH(D$5,rep_years_is,0)),0)*D6</f>
        <v/>
      </c>
      <c r="E82" s="101">
        <f>IFERROR(INDEX(rep_cogs,MATCH(E$5,rep_years_is,0)),0)*E6</f>
        <v/>
      </c>
      <c r="F82" s="101">
        <f>IFERROR(INDEX(rep_cogs,MATCH(F$5,rep_years_is,0)),0)*F6</f>
        <v/>
      </c>
      <c r="G82" s="101">
        <f>IFERROR(INDEX(rep_cogs,MATCH(G$5,rep_years_is,0)),0)*G6</f>
        <v/>
      </c>
      <c r="H82" s="101">
        <f>IFERROR(INDEX(rep_cogs,MATCH(H$5,rep_years_is,0)),0)*H6</f>
        <v/>
      </c>
      <c r="I82" s="101">
        <f>IFERROR(INDEX(rep_cogs,MATCH(I$5,rep_years_is,0)),0)*I6</f>
        <v/>
      </c>
      <c r="J82" s="101">
        <f>IFERROR(INDEX(rep_cogs,MATCH(J$5,rep_years_is,0)),0)*J6</f>
        <v/>
      </c>
      <c r="K82" s="101">
        <f>IFERROR(INDEX(rep_cogs,MATCH(K$5,rep_years_is,0)),0)*K6</f>
        <v/>
      </c>
      <c r="L82" s="101">
        <f>IFERROR(INDEX(rep_cogs,MATCH(L$5,rep_years_is,0)),0)*L6</f>
        <v/>
      </c>
      <c r="M82" s="101">
        <f>IFERROR(INDEX(rep_cogs,MATCH(M$5,rep_years_is,0)),0)*M6</f>
        <v/>
      </c>
      <c r="N82" s="101">
        <f>IFERROR(INDEX(rep_cogs,MATCH(N$5,rep_years_is,0)),0)*N6</f>
        <v/>
      </c>
      <c r="O82" s="101">
        <f>IFERROR(INDEX(rep_cogs,MATCH(O$5,rep_years_is,0)),0)*O6</f>
        <v/>
      </c>
      <c r="P82" s="101">
        <f>IFERROR(INDEX(rep_cogs,MATCH(P$5,rep_years_is,0)),0)*P6</f>
        <v/>
      </c>
      <c r="Q82" s="101">
        <f>IFERROR(INDEX(rep_cogs,MATCH(Q$5,rep_years_is,0)),0)*Q6</f>
        <v/>
      </c>
      <c r="R82" s="101">
        <f>IFERROR(INDEX(rep_cogs,MATCH(R$5,rep_years_is,0)),0)*R6</f>
        <v/>
      </c>
      <c r="S82" s="101">
        <f>IFERROR(INDEX(rep_cogs,MATCH(S$5,rep_years_is,0)),0)*S6</f>
        <v/>
      </c>
    </row>
    <row r="83" ht="15" customHeight="1" s="62">
      <c r="A83" s="86" t="inlineStr">
        <is>
          <t>Real gross profit</t>
        </is>
      </c>
      <c r="B83" s="101">
        <f>B81-B82</f>
        <v/>
      </c>
      <c r="C83" s="101">
        <f>C81-C82</f>
        <v/>
      </c>
      <c r="D83" s="101">
        <f>D81-D82</f>
        <v/>
      </c>
      <c r="E83" s="101">
        <f>E81-E82</f>
        <v/>
      </c>
      <c r="F83" s="101">
        <f>F81-F82</f>
        <v/>
      </c>
      <c r="G83" s="101">
        <f>G81-G82</f>
        <v/>
      </c>
      <c r="H83" s="101">
        <f>H81-H82</f>
        <v/>
      </c>
      <c r="I83" s="101">
        <f>I81-I82</f>
        <v/>
      </c>
      <c r="J83" s="101">
        <f>J81-J82</f>
        <v/>
      </c>
      <c r="K83" s="101">
        <f>K81-K82</f>
        <v/>
      </c>
      <c r="L83" s="101">
        <f>L81-L82</f>
        <v/>
      </c>
      <c r="M83" s="101">
        <f>M81-M82</f>
        <v/>
      </c>
      <c r="N83" s="101">
        <f>N81-N82</f>
        <v/>
      </c>
      <c r="O83" s="101">
        <f>O81-O82</f>
        <v/>
      </c>
      <c r="P83" s="101">
        <f>P81-P82</f>
        <v/>
      </c>
      <c r="Q83" s="101">
        <f>Q81-Q82</f>
        <v/>
      </c>
      <c r="R83" s="101">
        <f>R81-R82</f>
        <v/>
      </c>
      <c r="S83" s="101">
        <f>S81-S82</f>
        <v/>
      </c>
    </row>
    <row r="84" ht="15" customHeight="1" s="62">
      <c r="A84" s="86" t="inlineStr">
        <is>
          <t>Real SG&amp;A</t>
        </is>
      </c>
      <c r="B84" s="101">
        <f>IFERROR(INDEX(rep_sga,MATCH(B$5,rep_years_is,0)),0)*B6</f>
        <v/>
      </c>
      <c r="C84" s="101">
        <f>IFERROR(INDEX(rep_sga,MATCH(C$5,rep_years_is,0)),0)*C6</f>
        <v/>
      </c>
      <c r="D84" s="101">
        <f>IFERROR(INDEX(rep_sga,MATCH(D$5,rep_years_is,0)),0)*D6</f>
        <v/>
      </c>
      <c r="E84" s="101">
        <f>IFERROR(INDEX(rep_sga,MATCH(E$5,rep_years_is,0)),0)*E6</f>
        <v/>
      </c>
      <c r="F84" s="101">
        <f>IFERROR(INDEX(rep_sga,MATCH(F$5,rep_years_is,0)),0)*F6</f>
        <v/>
      </c>
      <c r="G84" s="101">
        <f>IFERROR(INDEX(rep_sga,MATCH(G$5,rep_years_is,0)),0)*G6</f>
        <v/>
      </c>
      <c r="H84" s="101">
        <f>IFERROR(INDEX(rep_sga,MATCH(H$5,rep_years_is,0)),0)*H6</f>
        <v/>
      </c>
      <c r="I84" s="101">
        <f>IFERROR(INDEX(rep_sga,MATCH(I$5,rep_years_is,0)),0)*I6</f>
        <v/>
      </c>
      <c r="J84" s="101">
        <f>IFERROR(INDEX(rep_sga,MATCH(J$5,rep_years_is,0)),0)*J6</f>
        <v/>
      </c>
      <c r="K84" s="101">
        <f>IFERROR(INDEX(rep_sga,MATCH(K$5,rep_years_is,0)),0)*K6</f>
        <v/>
      </c>
      <c r="L84" s="101">
        <f>IFERROR(INDEX(rep_sga,MATCH(L$5,rep_years_is,0)),0)*L6</f>
        <v/>
      </c>
      <c r="M84" s="101">
        <f>IFERROR(INDEX(rep_sga,MATCH(M$5,rep_years_is,0)),0)*M6</f>
        <v/>
      </c>
      <c r="N84" s="101">
        <f>IFERROR(INDEX(rep_sga,MATCH(N$5,rep_years_is,0)),0)*N6</f>
        <v/>
      </c>
      <c r="O84" s="101">
        <f>IFERROR(INDEX(rep_sga,MATCH(O$5,rep_years_is,0)),0)*O6</f>
        <v/>
      </c>
      <c r="P84" s="101">
        <f>IFERROR(INDEX(rep_sga,MATCH(P$5,rep_years_is,0)),0)*P6</f>
        <v/>
      </c>
      <c r="Q84" s="101">
        <f>IFERROR(INDEX(rep_sga,MATCH(Q$5,rep_years_is,0)),0)*Q6</f>
        <v/>
      </c>
      <c r="R84" s="101">
        <f>IFERROR(INDEX(rep_sga,MATCH(R$5,rep_years_is,0)),0)*R6</f>
        <v/>
      </c>
      <c r="S84" s="101">
        <f>IFERROR(INDEX(rep_sga,MATCH(S$5,rep_years_is,0)),0)*S6</f>
        <v/>
      </c>
    </row>
    <row r="90" ht="15" customHeight="1" s="62">
      <c r="A90" s="65" t="inlineStr">
        <is>
          <t>BUYBACK / REPURCHASE-PREMIUM ROE ADJUSTMENT  (JK-original · premium-only)</t>
        </is>
      </c>
    </row>
    <row r="91" ht="15" customHeight="1" s="62">
      <c r="A91" s="68" t="inlineStr">
        <is>
          <t>Additive capital-efficiency view only; never enters AEG value (Penman Ch.5/6). RNOA untouched. Reserve raises the economic-CSE base so ROE falls; cfg_buyback {On|Off}. VP6 proves value-invariance.</t>
        </is>
      </c>
    </row>
    <row r="92" ht="15" customHeight="1" s="62">
      <c r="A92" s="86" t="inlineStr">
        <is>
          <t>cfg_buyback active (1=On)</t>
        </is>
      </c>
      <c r="B92" s="86">
        <f>IF(cfg_buyback="On",1,0)</f>
        <v/>
      </c>
      <c r="C92" s="86">
        <f>IF(cfg_buyback="On",1,0)</f>
        <v/>
      </c>
      <c r="D92" s="86">
        <f>IF(cfg_buyback="On",1,0)</f>
        <v/>
      </c>
      <c r="E92" s="86">
        <f>IF(cfg_buyback="On",1,0)</f>
        <v/>
      </c>
      <c r="F92" s="86">
        <f>IF(cfg_buyback="On",1,0)</f>
        <v/>
      </c>
      <c r="G92" s="86">
        <f>IF(cfg_buyback="On",1,0)</f>
        <v/>
      </c>
      <c r="H92" s="86">
        <f>IF(cfg_buyback="On",1,0)</f>
        <v/>
      </c>
      <c r="I92" s="86">
        <f>IF(cfg_buyback="On",1,0)</f>
        <v/>
      </c>
      <c r="J92" s="86">
        <f>IF(cfg_buyback="On",1,0)</f>
        <v/>
      </c>
      <c r="K92" s="86">
        <f>IF(cfg_buyback="On",1,0)</f>
        <v/>
      </c>
      <c r="L92" s="86">
        <f>IF(cfg_buyback="On",1,0)</f>
        <v/>
      </c>
      <c r="M92" s="86">
        <f>IF(cfg_buyback="On",1,0)</f>
        <v/>
      </c>
      <c r="N92" s="86">
        <f>IF(cfg_buyback="On",1,0)</f>
        <v/>
      </c>
      <c r="O92" s="86">
        <f>IF(cfg_buyback="On",1,0)</f>
        <v/>
      </c>
      <c r="P92" s="86">
        <f>IF(cfg_buyback="On",1,0)</f>
        <v/>
      </c>
      <c r="Q92" s="86">
        <f>IF(cfg_buyback="On",1,0)</f>
        <v/>
      </c>
      <c r="R92" s="86">
        <f>IF(cfg_buyback="On",1,0)</f>
        <v/>
      </c>
      <c r="S92" s="86">
        <f>IF(cfg_buyback="On",1,0)</f>
        <v/>
      </c>
    </row>
    <row r="93" ht="15" customHeight="1" s="62">
      <c r="A93" s="86" t="inlineStr">
        <is>
          <t>Year-end price (contemp.)</t>
        </is>
      </c>
      <c r="B93" s="106">
        <f>IFERROR(INDEX(md_yeprice,MATCH(B$5,md_years,0)),0)</f>
        <v/>
      </c>
      <c r="C93" s="106">
        <f>IFERROR(INDEX(md_yeprice,MATCH(C$5,md_years,0)),0)</f>
        <v/>
      </c>
      <c r="D93" s="106">
        <f>IFERROR(INDEX(md_yeprice,MATCH(D$5,md_years,0)),0)</f>
        <v/>
      </c>
      <c r="E93" s="106">
        <f>IFERROR(INDEX(md_yeprice,MATCH(E$5,md_years,0)),0)</f>
        <v/>
      </c>
      <c r="F93" s="106">
        <f>IFERROR(INDEX(md_yeprice,MATCH(F$5,md_years,0)),0)</f>
        <v/>
      </c>
      <c r="G93" s="106">
        <f>IFERROR(INDEX(md_yeprice,MATCH(G$5,md_years,0)),0)</f>
        <v/>
      </c>
      <c r="H93" s="106">
        <f>IFERROR(INDEX(md_yeprice,MATCH(H$5,md_years,0)),0)</f>
        <v/>
      </c>
      <c r="I93" s="106">
        <f>IFERROR(INDEX(md_yeprice,MATCH(I$5,md_years,0)),0)</f>
        <v/>
      </c>
      <c r="J93" s="106">
        <f>IFERROR(INDEX(md_yeprice,MATCH(J$5,md_years,0)),0)</f>
        <v/>
      </c>
      <c r="K93" s="106">
        <f>IFERROR(INDEX(md_yeprice,MATCH(K$5,md_years,0)),0)</f>
        <v/>
      </c>
      <c r="L93" s="106">
        <f>IFERROR(INDEX(md_yeprice,MATCH(L$5,md_years,0)),0)</f>
        <v/>
      </c>
      <c r="M93" s="106">
        <f>IFERROR(INDEX(md_yeprice,MATCH(M$5,md_years,0)),0)</f>
        <v/>
      </c>
      <c r="N93" s="106">
        <f>IFERROR(INDEX(md_yeprice,MATCH(N$5,md_years,0)),0)</f>
        <v/>
      </c>
      <c r="O93" s="106">
        <f>IFERROR(INDEX(md_yeprice,MATCH(O$5,md_years,0)),0)</f>
        <v/>
      </c>
      <c r="P93" s="106">
        <f>IFERROR(INDEX(md_yeprice,MATCH(P$5,md_years,0)),0)</f>
        <v/>
      </c>
      <c r="Q93" s="106">
        <f>IFERROR(INDEX(md_yeprice,MATCH(Q$5,md_years,0)),0)</f>
        <v/>
      </c>
      <c r="R93" s="106">
        <f>IFERROR(INDEX(md_yeprice,MATCH(R$5,md_years,0)),0)</f>
        <v/>
      </c>
      <c r="S93" s="106">
        <f>IFERROR(INDEX(md_yeprice,MATCH(S$5,md_years,0)),0)</f>
        <v/>
      </c>
    </row>
    <row r="94" ht="15" customHeight="1" s="62">
      <c r="A94" s="86" t="inlineStr">
        <is>
          <t>Market cap = adj. price x shares  [split-consistent]</t>
        </is>
      </c>
      <c r="B94" s="101">
        <f>IF(IFERROR(INDEX(md_yeprice_adj,MATCH(B$5,md_years,0)),0)=0,B93*B19,INDEX(md_yeprice_adj,MATCH(B$5,md_years,0))*B19)</f>
        <v/>
      </c>
      <c r="C94" s="101">
        <f>IF(IFERROR(INDEX(md_yeprice_adj,MATCH(C$5,md_years,0)),0)=0,C93*C19,INDEX(md_yeprice_adj,MATCH(C$5,md_years,0))*C19)</f>
        <v/>
      </c>
      <c r="D94" s="101">
        <f>IF(IFERROR(INDEX(md_yeprice_adj,MATCH(D$5,md_years,0)),0)=0,D93*D19,INDEX(md_yeprice_adj,MATCH(D$5,md_years,0))*D19)</f>
        <v/>
      </c>
      <c r="E94" s="101">
        <f>IF(IFERROR(INDEX(md_yeprice_adj,MATCH(E$5,md_years,0)),0)=0,E93*E19,INDEX(md_yeprice_adj,MATCH(E$5,md_years,0))*E19)</f>
        <v/>
      </c>
      <c r="F94" s="101">
        <f>IF(IFERROR(INDEX(md_yeprice_adj,MATCH(F$5,md_years,0)),0)=0,F93*F19,INDEX(md_yeprice_adj,MATCH(F$5,md_years,0))*F19)</f>
        <v/>
      </c>
      <c r="G94" s="101">
        <f>IF(IFERROR(INDEX(md_yeprice_adj,MATCH(G$5,md_years,0)),0)=0,G93*G19,INDEX(md_yeprice_adj,MATCH(G$5,md_years,0))*G19)</f>
        <v/>
      </c>
      <c r="H94" s="101">
        <f>IF(IFERROR(INDEX(md_yeprice_adj,MATCH(H$5,md_years,0)),0)=0,H93*H19,INDEX(md_yeprice_adj,MATCH(H$5,md_years,0))*H19)</f>
        <v/>
      </c>
      <c r="I94" s="101">
        <f>IF(IFERROR(INDEX(md_yeprice_adj,MATCH(I$5,md_years,0)),0)=0,I93*I19,INDEX(md_yeprice_adj,MATCH(I$5,md_years,0))*I19)</f>
        <v/>
      </c>
      <c r="J94" s="101">
        <f>IF(IFERROR(INDEX(md_yeprice_adj,MATCH(J$5,md_years,0)),0)=0,J93*J19,INDEX(md_yeprice_adj,MATCH(J$5,md_years,0))*J19)</f>
        <v/>
      </c>
      <c r="K94" s="101">
        <f>IF(IFERROR(INDEX(md_yeprice_adj,MATCH(K$5,md_years,0)),0)=0,K93*K19,INDEX(md_yeprice_adj,MATCH(K$5,md_years,0))*K19)</f>
        <v/>
      </c>
      <c r="L94" s="101">
        <f>IF(IFERROR(INDEX(md_yeprice_adj,MATCH(L$5,md_years,0)),0)=0,L93*L19,INDEX(md_yeprice_adj,MATCH(L$5,md_years,0))*L19)</f>
        <v/>
      </c>
      <c r="M94" s="101">
        <f>IF(IFERROR(INDEX(md_yeprice_adj,MATCH(M$5,md_years,0)),0)=0,M93*M19,INDEX(md_yeprice_adj,MATCH(M$5,md_years,0))*M19)</f>
        <v/>
      </c>
      <c r="N94" s="101">
        <f>IF(IFERROR(INDEX(md_yeprice_adj,MATCH(N$5,md_years,0)),0)=0,N93*N19,INDEX(md_yeprice_adj,MATCH(N$5,md_years,0))*N19)</f>
        <v/>
      </c>
      <c r="O94" s="101">
        <f>IF(IFERROR(INDEX(md_yeprice_adj,MATCH(O$5,md_years,0)),0)=0,O93*O19,INDEX(md_yeprice_adj,MATCH(O$5,md_years,0))*O19)</f>
        <v/>
      </c>
      <c r="P94" s="101">
        <f>IF(IFERROR(INDEX(md_yeprice_adj,MATCH(P$5,md_years,0)),0)=0,P93*P19,INDEX(md_yeprice_adj,MATCH(P$5,md_years,0))*P19)</f>
        <v/>
      </c>
      <c r="Q94" s="101">
        <f>IF(IFERROR(INDEX(md_yeprice_adj,MATCH(Q$5,md_years,0)),0)=0,Q93*Q19,INDEX(md_yeprice_adj,MATCH(Q$5,md_years,0))*Q19)</f>
        <v/>
      </c>
      <c r="R94" s="101">
        <f>IF(IFERROR(INDEX(md_yeprice_adj,MATCH(R$5,md_years,0)),0)=0,R93*R19,INDEX(md_yeprice_adj,MATCH(R$5,md_years,0))*R19)</f>
        <v/>
      </c>
      <c r="S94" s="101">
        <f>IF(IFERROR(INDEX(md_yeprice_adj,MATCH(S$5,md_years,0)),0)=0,S93*S19,INDEX(md_yeprice_adj,MATCH(S$5,md_years,0))*S19)</f>
        <v/>
      </c>
    </row>
    <row r="95" ht="15" customHeight="1" s="62">
      <c r="A95" s="86" t="inlineStr">
        <is>
          <t>Book/market = repCSE/mktcap</t>
        </is>
      </c>
      <c r="B95" s="107">
        <f>IF(B94=0,"",B18/B94)</f>
        <v/>
      </c>
      <c r="C95" s="107">
        <f>IF(C94=0,"",C18/C94)</f>
        <v/>
      </c>
      <c r="D95" s="107">
        <f>IF(D94=0,"",D18/D94)</f>
        <v/>
      </c>
      <c r="E95" s="107">
        <f>IF(E94=0,"",E18/E94)</f>
        <v/>
      </c>
      <c r="F95" s="107">
        <f>IF(F94=0,"",F18/F94)</f>
        <v/>
      </c>
      <c r="G95" s="107">
        <f>IF(G94=0,"",G18/G94)</f>
        <v/>
      </c>
      <c r="H95" s="107">
        <f>IF(H94=0,"",H18/H94)</f>
        <v/>
      </c>
      <c r="I95" s="107">
        <f>IF(I94=0,"",I18/I94)</f>
        <v/>
      </c>
      <c r="J95" s="107">
        <f>IF(J94=0,"",J18/J94)</f>
        <v/>
      </c>
      <c r="K95" s="107">
        <f>IF(K94=0,"",K18/K94)</f>
        <v/>
      </c>
      <c r="L95" s="107">
        <f>IF(L94=0,"",L18/L94)</f>
        <v/>
      </c>
      <c r="M95" s="107">
        <f>IF(M94=0,"",M18/M94)</f>
        <v/>
      </c>
      <c r="N95" s="107">
        <f>IF(N94=0,"",N18/N94)</f>
        <v/>
      </c>
      <c r="O95" s="107">
        <f>IF(O94=0,"",O18/O94)</f>
        <v/>
      </c>
      <c r="P95" s="107">
        <f>IF(P94=0,"",P18/P94)</f>
        <v/>
      </c>
      <c r="Q95" s="107">
        <f>IF(Q94=0,"",Q18/Q94)</f>
        <v/>
      </c>
      <c r="R95" s="107">
        <f>IF(R94=0,"",R18/R94)</f>
        <v/>
      </c>
      <c r="S95" s="107">
        <f>IF(S94=0,"",S18/S94)</f>
        <v/>
      </c>
    </row>
    <row r="96" ht="15" customHeight="1" s="62">
      <c r="A96" s="86" t="inlineStr">
        <is>
          <t>Premium fraction = 1−book/mkt</t>
        </is>
      </c>
      <c r="B96" s="103">
        <f>IF(B94=0,0,1-B18/B94)</f>
        <v/>
      </c>
      <c r="C96" s="103">
        <f>IF(C94=0,0,1-C18/C94)</f>
        <v/>
      </c>
      <c r="D96" s="103">
        <f>IF(D94=0,0,1-D18/D94)</f>
        <v/>
      </c>
      <c r="E96" s="103">
        <f>IF(E94=0,0,1-E18/E94)</f>
        <v/>
      </c>
      <c r="F96" s="103">
        <f>IF(F94=0,0,1-F18/F94)</f>
        <v/>
      </c>
      <c r="G96" s="103">
        <f>IF(G94=0,0,1-G18/G94)</f>
        <v/>
      </c>
      <c r="H96" s="103">
        <f>IF(H94=0,0,1-H18/H94)</f>
        <v/>
      </c>
      <c r="I96" s="103">
        <f>IF(I94=0,0,1-I18/I94)</f>
        <v/>
      </c>
      <c r="J96" s="103">
        <f>IF(J94=0,0,1-J18/J94)</f>
        <v/>
      </c>
      <c r="K96" s="103">
        <f>IF(K94=0,0,1-K18/K94)</f>
        <v/>
      </c>
      <c r="L96" s="103">
        <f>IF(L94=0,0,1-L18/L94)</f>
        <v/>
      </c>
      <c r="M96" s="103">
        <f>IF(M94=0,0,1-M18/M94)</f>
        <v/>
      </c>
      <c r="N96" s="103">
        <f>IF(N94=0,0,1-N18/N94)</f>
        <v/>
      </c>
      <c r="O96" s="103">
        <f>IF(O94=0,0,1-O18/O94)</f>
        <v/>
      </c>
      <c r="P96" s="103">
        <f>IF(P94=0,0,1-P18/P94)</f>
        <v/>
      </c>
      <c r="Q96" s="103">
        <f>IF(Q94=0,0,1-Q18/Q94)</f>
        <v/>
      </c>
      <c r="R96" s="103">
        <f>IF(R94=0,0,1-R18/R94)</f>
        <v/>
      </c>
      <c r="S96" s="103">
        <f>IF(S94=0,0,1-S18/S94)</f>
        <v/>
      </c>
    </row>
    <row r="97" ht="15" customHeight="1" s="62">
      <c r="A97" s="86" t="inlineStr">
        <is>
          <t>Buyback $ (nominal)</t>
        </is>
      </c>
      <c r="B97" s="101">
        <f>-B27</f>
        <v/>
      </c>
      <c r="C97" s="101">
        <f>-C27</f>
        <v/>
      </c>
      <c r="D97" s="101">
        <f>-D27</f>
        <v/>
      </c>
      <c r="E97" s="101">
        <f>-E27</f>
        <v/>
      </c>
      <c r="F97" s="101">
        <f>-F27</f>
        <v/>
      </c>
      <c r="G97" s="101">
        <f>-G27</f>
        <v/>
      </c>
      <c r="H97" s="101">
        <f>-H27</f>
        <v/>
      </c>
      <c r="I97" s="101">
        <f>-I27</f>
        <v/>
      </c>
      <c r="J97" s="101">
        <f>-J27</f>
        <v/>
      </c>
      <c r="K97" s="101">
        <f>-K27</f>
        <v/>
      </c>
      <c r="L97" s="101">
        <f>-L27</f>
        <v/>
      </c>
      <c r="M97" s="101">
        <f>-M27</f>
        <v/>
      </c>
      <c r="N97" s="101">
        <f>-N27</f>
        <v/>
      </c>
      <c r="O97" s="101">
        <f>-O27</f>
        <v/>
      </c>
      <c r="P97" s="101">
        <f>-P27</f>
        <v/>
      </c>
      <c r="Q97" s="101">
        <f>-Q27</f>
        <v/>
      </c>
      <c r="R97" s="101">
        <f>-R27</f>
        <v/>
      </c>
      <c r="S97" s="101">
        <f>-S27</f>
        <v/>
      </c>
    </row>
    <row r="98" ht="15" customHeight="1" s="62">
      <c r="A98" s="86" t="inlineStr">
        <is>
          <t>Annual premium reserve (real)</t>
        </is>
      </c>
      <c r="B98" s="101">
        <f>B92*B97*B96*B6</f>
        <v/>
      </c>
      <c r="C98" s="101">
        <f>C92*C97*C96*C6</f>
        <v/>
      </c>
      <c r="D98" s="101">
        <f>D92*D97*D96*D6</f>
        <v/>
      </c>
      <c r="E98" s="101">
        <f>E92*E97*E96*E6</f>
        <v/>
      </c>
      <c r="F98" s="101">
        <f>F92*F97*F96*F6</f>
        <v/>
      </c>
      <c r="G98" s="101">
        <f>G92*G97*G96*G6</f>
        <v/>
      </c>
      <c r="H98" s="101">
        <f>H92*H97*H96*H6</f>
        <v/>
      </c>
      <c r="I98" s="101">
        <f>I92*I97*I96*I6</f>
        <v/>
      </c>
      <c r="J98" s="101">
        <f>J92*J97*J96*J6</f>
        <v/>
      </c>
      <c r="K98" s="101">
        <f>K92*K97*K96*K6</f>
        <v/>
      </c>
      <c r="L98" s="101">
        <f>L92*L97*L96*L6</f>
        <v/>
      </c>
      <c r="M98" s="101">
        <f>M92*M97*M96*M6</f>
        <v/>
      </c>
      <c r="N98" s="101">
        <f>N92*N97*N96*N6</f>
        <v/>
      </c>
      <c r="O98" s="101">
        <f>O92*O97*O96*O6</f>
        <v/>
      </c>
      <c r="P98" s="101">
        <f>P92*P97*P96*P6</f>
        <v/>
      </c>
      <c r="Q98" s="101">
        <f>Q92*Q97*Q96*Q6</f>
        <v/>
      </c>
      <c r="R98" s="101">
        <f>R92*R97*R96*R6</f>
        <v/>
      </c>
      <c r="S98" s="101">
        <f>S92*S97*S96*S6</f>
        <v/>
      </c>
    </row>
    <row r="99" ht="15" customHeight="1" s="62">
      <c r="A99" s="86" t="inlineStr">
        <is>
          <t>Cumulative premium reserve</t>
        </is>
      </c>
      <c r="B99" s="101">
        <f>B98</f>
        <v/>
      </c>
      <c r="C99" s="101">
        <f>B99+C98</f>
        <v/>
      </c>
      <c r="D99" s="101">
        <f>C99+D98</f>
        <v/>
      </c>
      <c r="E99" s="101">
        <f>D99+E98</f>
        <v/>
      </c>
      <c r="F99" s="101">
        <f>E99+F98</f>
        <v/>
      </c>
      <c r="G99" s="101">
        <f>F99+G98</f>
        <v/>
      </c>
      <c r="H99" s="101">
        <f>G99+H98</f>
        <v/>
      </c>
      <c r="I99" s="101">
        <f>H99+I98</f>
        <v/>
      </c>
      <c r="J99" s="101">
        <f>I99+J98</f>
        <v/>
      </c>
      <c r="K99" s="101">
        <f>J99+K98</f>
        <v/>
      </c>
      <c r="L99" s="101">
        <f>K99+L98</f>
        <v/>
      </c>
      <c r="M99" s="101">
        <f>L99+M98</f>
        <v/>
      </c>
      <c r="N99" s="101">
        <f>M99+N98</f>
        <v/>
      </c>
      <c r="O99" s="101">
        <f>N99+O98</f>
        <v/>
      </c>
      <c r="P99" s="101">
        <f>O99+P98</f>
        <v/>
      </c>
      <c r="Q99" s="101">
        <f>P99+Q98</f>
        <v/>
      </c>
      <c r="R99" s="101">
        <f>Q99+R98</f>
        <v/>
      </c>
      <c r="S99" s="101">
        <f>R99+S98</f>
        <v/>
      </c>
    </row>
    <row r="100" ht="15" customHeight="1" s="62">
      <c r="A100" s="86" t="inlineStr">
        <is>
          <t>Economic CSE (real)</t>
        </is>
      </c>
      <c r="B100" s="101">
        <f>B45</f>
        <v/>
      </c>
      <c r="C100" s="101">
        <f>C45</f>
        <v/>
      </c>
      <c r="D100" s="101">
        <f>D45</f>
        <v/>
      </c>
      <c r="E100" s="101">
        <f>E45</f>
        <v/>
      </c>
      <c r="F100" s="101">
        <f>F45</f>
        <v/>
      </c>
      <c r="G100" s="101">
        <f>G45</f>
        <v/>
      </c>
      <c r="H100" s="101">
        <f>H45</f>
        <v/>
      </c>
      <c r="I100" s="101">
        <f>I45</f>
        <v/>
      </c>
      <c r="J100" s="101">
        <f>J45</f>
        <v/>
      </c>
      <c r="K100" s="101">
        <f>K45</f>
        <v/>
      </c>
      <c r="L100" s="101">
        <f>L45</f>
        <v/>
      </c>
      <c r="M100" s="101">
        <f>M45</f>
        <v/>
      </c>
      <c r="N100" s="101">
        <f>N45</f>
        <v/>
      </c>
      <c r="O100" s="101">
        <f>O45</f>
        <v/>
      </c>
      <c r="P100" s="101">
        <f>P45</f>
        <v/>
      </c>
      <c r="Q100" s="101">
        <f>Q45</f>
        <v/>
      </c>
      <c r="R100" s="101">
        <f>R45</f>
        <v/>
      </c>
      <c r="S100" s="101">
        <f>S45</f>
        <v/>
      </c>
    </row>
    <row r="101" ht="15" customHeight="1" s="62">
      <c r="A101" s="86" t="inlineStr">
        <is>
          <t>Adjusted base = CSE+reserve</t>
        </is>
      </c>
      <c r="B101" s="101">
        <f>B100+B99</f>
        <v/>
      </c>
      <c r="C101" s="101">
        <f>C100+C99</f>
        <v/>
      </c>
      <c r="D101" s="101">
        <f>D100+D99</f>
        <v/>
      </c>
      <c r="E101" s="101">
        <f>E100+E99</f>
        <v/>
      </c>
      <c r="F101" s="101">
        <f>F100+F99</f>
        <v/>
      </c>
      <c r="G101" s="101">
        <f>G100+G99</f>
        <v/>
      </c>
      <c r="H101" s="101">
        <f>H100+H99</f>
        <v/>
      </c>
      <c r="I101" s="101">
        <f>I100+I99</f>
        <v/>
      </c>
      <c r="J101" s="101">
        <f>J100+J99</f>
        <v/>
      </c>
      <c r="K101" s="101">
        <f>K100+K99</f>
        <v/>
      </c>
      <c r="L101" s="101">
        <f>L100+L99</f>
        <v/>
      </c>
      <c r="M101" s="101">
        <f>M100+M99</f>
        <v/>
      </c>
      <c r="N101" s="101">
        <f>N100+N99</f>
        <v/>
      </c>
      <c r="O101" s="101">
        <f>O100+O99</f>
        <v/>
      </c>
      <c r="P101" s="101">
        <f>P100+P99</f>
        <v/>
      </c>
      <c r="Q101" s="101">
        <f>Q100+Q99</f>
        <v/>
      </c>
      <c r="R101" s="101">
        <f>R100+R99</f>
        <v/>
      </c>
      <c r="S101" s="101">
        <f>S100+S99</f>
        <v/>
      </c>
    </row>
    <row r="102" ht="15" customHeight="1" s="62">
      <c r="A102" s="86" t="inlineStr">
        <is>
          <t>Economic CI (real)</t>
        </is>
      </c>
      <c r="B102" s="101">
        <f>B56</f>
        <v/>
      </c>
      <c r="C102" s="101">
        <f>C56</f>
        <v/>
      </c>
      <c r="D102" s="101">
        <f>D56</f>
        <v/>
      </c>
      <c r="E102" s="101">
        <f>E56</f>
        <v/>
      </c>
      <c r="F102" s="101">
        <f>F56</f>
        <v/>
      </c>
      <c r="G102" s="101">
        <f>G56</f>
        <v/>
      </c>
      <c r="H102" s="101">
        <f>H56</f>
        <v/>
      </c>
      <c r="I102" s="101">
        <f>I56</f>
        <v/>
      </c>
      <c r="J102" s="101">
        <f>J56</f>
        <v/>
      </c>
      <c r="K102" s="101">
        <f>K56</f>
        <v/>
      </c>
      <c r="L102" s="101">
        <f>L56</f>
        <v/>
      </c>
      <c r="M102" s="101">
        <f>M56</f>
        <v/>
      </c>
      <c r="N102" s="101">
        <f>N56</f>
        <v/>
      </c>
      <c r="O102" s="101">
        <f>O56</f>
        <v/>
      </c>
      <c r="P102" s="101">
        <f>P56</f>
        <v/>
      </c>
      <c r="Q102" s="101">
        <f>Q56</f>
        <v/>
      </c>
      <c r="R102" s="101">
        <f>R56</f>
        <v/>
      </c>
      <c r="S102" s="101">
        <f>S56</f>
        <v/>
      </c>
    </row>
    <row r="103" ht="15" customHeight="1" s="62">
      <c r="A103" s="86" t="inlineStr">
        <is>
          <t>ROE unadjusted</t>
        </is>
      </c>
      <c r="C103" s="103">
        <f>IF((C100+B100)=0,"",C102/((C100+B100)/2))</f>
        <v/>
      </c>
      <c r="D103" s="103">
        <f>IF((D100+C100)=0,"",D102/((D100+C100)/2))</f>
        <v/>
      </c>
      <c r="E103" s="103">
        <f>IF((E100+D100)=0,"",E102/((E100+D100)/2))</f>
        <v/>
      </c>
      <c r="F103" s="103">
        <f>IF((F100+E100)=0,"",F102/((F100+E100)/2))</f>
        <v/>
      </c>
      <c r="G103" s="103">
        <f>IF((G100+F100)=0,"",G102/((G100+F100)/2))</f>
        <v/>
      </c>
      <c r="H103" s="103">
        <f>IF((H100+G100)=0,"",H102/((H100+G100)/2))</f>
        <v/>
      </c>
      <c r="I103" s="103">
        <f>IF((I100+H100)=0,"",I102/((I100+H100)/2))</f>
        <v/>
      </c>
      <c r="J103" s="103">
        <f>IF((J100+I100)=0,"",J102/((J100+I100)/2))</f>
        <v/>
      </c>
      <c r="K103" s="103">
        <f>IF((K100+J100)=0,"",K102/((K100+J100)/2))</f>
        <v/>
      </c>
      <c r="L103" s="103">
        <f>IF((L100+K100)=0,"",L102/((L100+K100)/2))</f>
        <v/>
      </c>
      <c r="M103" s="103">
        <f>IF((M100+L100)=0,"",M102/((M100+L100)/2))</f>
        <v/>
      </c>
      <c r="N103" s="103">
        <f>IF((N100+M100)=0,"",N102/((N100+M100)/2))</f>
        <v/>
      </c>
      <c r="O103" s="103">
        <f>IF((O100+N100)=0,"",O102/((O100+N100)/2))</f>
        <v/>
      </c>
      <c r="P103" s="103">
        <f>IF((P100+O100)=0,"",P102/((P100+O100)/2))</f>
        <v/>
      </c>
      <c r="Q103" s="103">
        <f>IF((Q100+P100)=0,"",Q102/((Q100+P100)/2))</f>
        <v/>
      </c>
      <c r="R103" s="103">
        <f>IF((R100+Q100)=0,"",R102/((R100+Q100)/2))</f>
        <v/>
      </c>
      <c r="S103" s="103">
        <f>IF((S100+R100)=0,"",S102/((S100+R100)/2))</f>
        <v/>
      </c>
    </row>
    <row r="104" ht="15" customHeight="1" s="62">
      <c r="A104" s="86" t="inlineStr">
        <is>
          <t>ROE ADJUSTED (premium)</t>
        </is>
      </c>
      <c r="C104" s="103">
        <f>IF((C101+B101)=0,"",C102/((C101+B101)/2))</f>
        <v/>
      </c>
      <c r="D104" s="103">
        <f>IF((D101+C101)=0,"",D102/((D101+C101)/2))</f>
        <v/>
      </c>
      <c r="E104" s="103">
        <f>IF((E101+D101)=0,"",E102/((E101+D101)/2))</f>
        <v/>
      </c>
      <c r="F104" s="103">
        <f>IF((F101+E101)=0,"",F102/((F101+E101)/2))</f>
        <v/>
      </c>
      <c r="G104" s="103">
        <f>IF((G101+F101)=0,"",G102/((G101+F101)/2))</f>
        <v/>
      </c>
      <c r="H104" s="103">
        <f>IF((H101+G101)=0,"",H102/((H101+G101)/2))</f>
        <v/>
      </c>
      <c r="I104" s="103">
        <f>IF((I101+H101)=0,"",I102/((I101+H101)/2))</f>
        <v/>
      </c>
      <c r="J104" s="103">
        <f>IF((J101+I101)=0,"",J102/((J101+I101)/2))</f>
        <v/>
      </c>
      <c r="K104" s="103">
        <f>IF((K101+J101)=0,"",K102/((K101+J101)/2))</f>
        <v/>
      </c>
      <c r="L104" s="103">
        <f>IF((L101+K101)=0,"",L102/((L101+K101)/2))</f>
        <v/>
      </c>
      <c r="M104" s="103">
        <f>IF((M101+L101)=0,"",M102/((M101+L101)/2))</f>
        <v/>
      </c>
      <c r="N104" s="103">
        <f>IF((N101+M101)=0,"",N102/((N101+M101)/2))</f>
        <v/>
      </c>
      <c r="O104" s="103">
        <f>IF((O101+N101)=0,"",O102/((O101+N101)/2))</f>
        <v/>
      </c>
      <c r="P104" s="103">
        <f>IF((P101+O101)=0,"",P102/((P101+O101)/2))</f>
        <v/>
      </c>
      <c r="Q104" s="103">
        <f>IF((Q101+P101)=0,"",Q102/((Q101+P101)/2))</f>
        <v/>
      </c>
      <c r="R104" s="103">
        <f>IF((R101+Q101)=0,"",R102/((R101+Q101)/2))</f>
        <v/>
      </c>
      <c r="S104" s="103">
        <f>IF((S101+R101)=0,"",S102/((S101+R101)/2))</f>
        <v/>
      </c>
    </row>
    <row r="106" ht="15" customHeight="1" s="62">
      <c r="A106" s="65" t="inlineStr">
        <is>
          <t>VP6 INVARIANCE — adjustment nets to zero in equity residual-income value</t>
        </is>
      </c>
    </row>
    <row r="107" ht="15" customHeight="1" s="62">
      <c r="A107" s="86" t="inlineStr">
        <is>
          <t>flat real COE r (ρE_LR)</t>
        </is>
      </c>
      <c r="B107" s="103">
        <f>INDEX(finrate_coe,COLUMNS(finrate_coe))</f>
        <v/>
      </c>
    </row>
    <row r="108" ht="15" customHeight="1" s="62">
      <c r="A108" s="86" t="inlineStr">
        <is>
          <t>DF_t = 1/(1+r)^(t−t0)</t>
        </is>
      </c>
      <c r="B108" s="107">
        <f>1/(1+$B$107)^(B5-$B$5)</f>
        <v/>
      </c>
      <c r="C108" s="107">
        <f>1/(1+$B$107)^(C5-$B$5)</f>
        <v/>
      </c>
      <c r="D108" s="107">
        <f>1/(1+$B$107)^(D5-$B$5)</f>
        <v/>
      </c>
      <c r="E108" s="107">
        <f>1/(1+$B$107)^(E5-$B$5)</f>
        <v/>
      </c>
      <c r="F108" s="107">
        <f>1/(1+$B$107)^(F5-$B$5)</f>
        <v/>
      </c>
      <c r="G108" s="107">
        <f>1/(1+$B$107)^(G5-$B$5)</f>
        <v/>
      </c>
      <c r="H108" s="107">
        <f>1/(1+$B$107)^(H5-$B$5)</f>
        <v/>
      </c>
      <c r="I108" s="107">
        <f>1/(1+$B$107)^(I5-$B$5)</f>
        <v/>
      </c>
      <c r="J108" s="107">
        <f>1/(1+$B$107)^(J5-$B$5)</f>
        <v/>
      </c>
      <c r="K108" s="107">
        <f>1/(1+$B$107)^(K5-$B$5)</f>
        <v/>
      </c>
      <c r="L108" s="107">
        <f>1/(1+$B$107)^(L5-$B$5)</f>
        <v/>
      </c>
      <c r="M108" s="107">
        <f>1/(1+$B$107)^(M5-$B$5)</f>
        <v/>
      </c>
      <c r="N108" s="107">
        <f>1/(1+$B$107)^(N5-$B$5)</f>
        <v/>
      </c>
      <c r="O108" s="107">
        <f>1/(1+$B$107)^(O5-$B$5)</f>
        <v/>
      </c>
      <c r="P108" s="107">
        <f>1/(1+$B$107)^(P5-$B$5)</f>
        <v/>
      </c>
      <c r="Q108" s="107">
        <f>1/(1+$B$107)^(Q5-$B$5)</f>
        <v/>
      </c>
      <c r="R108" s="107">
        <f>1/(1+$B$107)^(R5-$B$5)</f>
        <v/>
      </c>
      <c r="S108" s="107">
        <f>1/(1+$B$107)^(S5-$B$5)</f>
        <v/>
      </c>
    </row>
    <row r="109" ht="15" customHeight="1" s="62">
      <c r="A109" s="86" t="inlineStr">
        <is>
          <t>RI without = CI − r·CSE(prior)</t>
        </is>
      </c>
      <c r="C109" s="101">
        <f>C102-$B$107*B100</f>
        <v/>
      </c>
      <c r="D109" s="101">
        <f>D102-$B$107*C100</f>
        <v/>
      </c>
      <c r="E109" s="101">
        <f>E102-$B$107*D100</f>
        <v/>
      </c>
      <c r="F109" s="101">
        <f>F102-$B$107*E100</f>
        <v/>
      </c>
      <c r="G109" s="101">
        <f>G102-$B$107*F100</f>
        <v/>
      </c>
      <c r="H109" s="101">
        <f>H102-$B$107*G100</f>
        <v/>
      </c>
      <c r="I109" s="101">
        <f>I102-$B$107*H100</f>
        <v/>
      </c>
      <c r="J109" s="101">
        <f>J102-$B$107*I100</f>
        <v/>
      </c>
      <c r="K109" s="101">
        <f>K102-$B$107*J100</f>
        <v/>
      </c>
      <c r="L109" s="101">
        <f>L102-$B$107*K100</f>
        <v/>
      </c>
      <c r="M109" s="101">
        <f>M102-$B$107*L100</f>
        <v/>
      </c>
      <c r="N109" s="101">
        <f>N102-$B$107*M100</f>
        <v/>
      </c>
      <c r="O109" s="101">
        <f>O102-$B$107*N100</f>
        <v/>
      </c>
      <c r="P109" s="101">
        <f>P102-$B$107*O100</f>
        <v/>
      </c>
      <c r="Q109" s="101">
        <f>Q102-$B$107*P100</f>
        <v/>
      </c>
      <c r="R109" s="101">
        <f>R102-$B$107*Q100</f>
        <v/>
      </c>
      <c r="S109" s="101">
        <f>S102-$B$107*R100</f>
        <v/>
      </c>
    </row>
    <row r="110" ht="15" customHeight="1" s="62">
      <c r="A110" s="86" t="inlineStr">
        <is>
          <t>RI with = (CI+Δres) − r·adjbase(prior)</t>
        </is>
      </c>
      <c r="C110" s="101">
        <f>(C102+(C99-B99))-$B$107*B101</f>
        <v/>
      </c>
      <c r="D110" s="101">
        <f>(D102+(D99-C99))-$B$107*C101</f>
        <v/>
      </c>
      <c r="E110" s="101">
        <f>(E102+(E99-D99))-$B$107*D101</f>
        <v/>
      </c>
      <c r="F110" s="101">
        <f>(F102+(F99-E99))-$B$107*E101</f>
        <v/>
      </c>
      <c r="G110" s="101">
        <f>(G102+(G99-F99))-$B$107*F101</f>
        <v/>
      </c>
      <c r="H110" s="101">
        <f>(H102+(H99-G99))-$B$107*G101</f>
        <v/>
      </c>
      <c r="I110" s="101">
        <f>(I102+(I99-H99))-$B$107*H101</f>
        <v/>
      </c>
      <c r="J110" s="101">
        <f>(J102+(J99-I99))-$B$107*I101</f>
        <v/>
      </c>
      <c r="K110" s="101">
        <f>(K102+(K99-J99))-$B$107*J101</f>
        <v/>
      </c>
      <c r="L110" s="101">
        <f>(L102+(L99-K99))-$B$107*K101</f>
        <v/>
      </c>
      <c r="M110" s="101">
        <f>(M102+(M99-L99))-$B$107*L101</f>
        <v/>
      </c>
      <c r="N110" s="101">
        <f>(N102+(N99-M99))-$B$107*M101</f>
        <v/>
      </c>
      <c r="O110" s="101">
        <f>(O102+(O99-N99))-$B$107*N101</f>
        <v/>
      </c>
      <c r="P110" s="101">
        <f>(P102+(P99-O99))-$B$107*O101</f>
        <v/>
      </c>
      <c r="Q110" s="101">
        <f>(Q102+(Q99-P99))-$B$107*P101</f>
        <v/>
      </c>
      <c r="R110" s="101">
        <f>(R102+(R99-Q99))-$B$107*Q101</f>
        <v/>
      </c>
      <c r="S110" s="101">
        <f>(S102+(S99-R99))-$B$107*R101</f>
        <v/>
      </c>
    </row>
    <row r="112" ht="15" customHeight="1" s="62">
      <c r="A112" s="86" t="inlineStr">
        <is>
          <t>V_without = CSE₀ + ΣPV(RI_wo) − DF_N·CSE_N</t>
        </is>
      </c>
      <c r="B112" s="101">
        <f>B100+SUMPRODUCT(C109:S109,C108:S108)-S108*S100</f>
        <v/>
      </c>
    </row>
    <row r="113" ht="15" customHeight="1" s="62">
      <c r="A113" s="86" t="inlineStr">
        <is>
          <t>V_with = adjbase₀ + ΣPV(RI_w) − DF_N·adjbase_N</t>
        </is>
      </c>
      <c r="B113" s="101">
        <f>B101+SUMPRODUCT(C110:S110,C108:S108)-S108*S101</f>
        <v/>
      </c>
    </row>
    <row r="114" ht="15" customHeight="1" s="62">
      <c r="A114" s="83" t="inlineStr">
        <is>
          <t>★ VP6 tie = V_with − V_without</t>
        </is>
      </c>
      <c r="B114" s="108">
        <f>B113-B112</f>
        <v/>
      </c>
      <c r="D114" s="83">
        <f>IF(ABS(B114)&lt;in_tie_tol,"invariant ✓","BREAK")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J6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61" min="1" max="1"/>
    <col width="10" customWidth="1" style="61" min="3" max="19"/>
  </cols>
  <sheetData>
    <row r="1" ht="15" customHeight="1" s="62">
      <c r="A1" s="63" t="inlineStr">
        <is>
          <t>FORECAST — merged cfg_mode engine (real spine 2026$; NOMINAL published series rows 39-47; cash tax on historical-cost depreciation)</t>
        </is>
      </c>
    </row>
    <row r="2" ht="15" customHeight="1" s="62">
      <c r="A2" s="64" t="inlineStr">
        <is>
          <t>One dual-mode tab. REAL spine (rows 5-36) drives the build; rows 37-38 carry pi_t and the cumulative index; rows 39-47 publish the NOMINAL series consumed by Valuation and DCF Reconciliation. Rows 48-52/34-35 compute cash tax on historical-cost depreciation.</t>
        </is>
      </c>
    </row>
    <row r="3" ht="15" customHeight="1" s="62">
      <c r="A3" s="83" t="inlineStr">
        <is>
          <t>cfg_mode:</t>
        </is>
      </c>
      <c r="B3" s="86">
        <f>cfg_mode</f>
        <v/>
      </c>
      <c r="C3" s="83" t="inlineStr">
        <is>
          <t>financing:</t>
        </is>
      </c>
      <c r="D3" s="86">
        <f>cfg_funding</f>
        <v/>
      </c>
    </row>
    <row r="4" ht="15" customHeight="1" s="62">
      <c r="A4" s="83" t="inlineStr">
        <is>
          <t>Period t  (0 = last actual)</t>
        </is>
      </c>
      <c r="C4" s="109">
        <f>D4-1</f>
        <v/>
      </c>
      <c r="D4" s="109">
        <f>E4-1</f>
        <v/>
      </c>
      <c r="E4" s="109">
        <f>F4-1</f>
        <v/>
      </c>
      <c r="F4" s="109" t="n">
        <v>0</v>
      </c>
      <c r="G4" s="109">
        <f>F4+1</f>
        <v/>
      </c>
      <c r="H4" s="109">
        <f>G4+1</f>
        <v/>
      </c>
      <c r="I4" s="109">
        <f>H4+1</f>
        <v/>
      </c>
      <c r="J4" s="109">
        <f>I4+1</f>
        <v/>
      </c>
      <c r="K4" s="109">
        <f>J4+1</f>
        <v/>
      </c>
      <c r="L4" s="109">
        <f>K4+1</f>
        <v/>
      </c>
      <c r="M4" s="109">
        <f>L4+1</f>
        <v/>
      </c>
      <c r="N4" s="109">
        <f>M4+1</f>
        <v/>
      </c>
      <c r="O4" s="109">
        <f>N4+1</f>
        <v/>
      </c>
      <c r="P4" s="109">
        <f>O4+1</f>
        <v/>
      </c>
      <c r="Q4" s="109">
        <f>P4+1</f>
        <v/>
      </c>
      <c r="R4" s="109">
        <f>Q4+1</f>
        <v/>
      </c>
      <c r="S4" s="109">
        <f>R4+1</f>
        <v/>
      </c>
      <c r="T4" s="86">
        <f>S4+1</f>
        <v/>
      </c>
      <c r="U4" s="86">
        <f>T4+1</f>
        <v/>
      </c>
      <c r="V4" s="86">
        <f>U4+1</f>
        <v/>
      </c>
      <c r="W4" s="86">
        <f>V4+1</f>
        <v/>
      </c>
      <c r="X4" s="86">
        <f>W4+1</f>
        <v/>
      </c>
      <c r="Y4" s="86">
        <f>X4+1</f>
        <v/>
      </c>
      <c r="Z4" s="86">
        <f>Y4+1</f>
        <v/>
      </c>
      <c r="AA4" s="86">
        <f>Z4+1</f>
        <v/>
      </c>
      <c r="AB4" s="86">
        <f>AA4+1</f>
        <v/>
      </c>
      <c r="AC4" s="86">
        <f>AB4+1</f>
        <v/>
      </c>
      <c r="AD4" s="86">
        <f>AC4+1</f>
        <v/>
      </c>
      <c r="AE4" s="86">
        <f>AD4+1</f>
        <v/>
      </c>
      <c r="AF4" s="86">
        <f>AE4+1</f>
        <v/>
      </c>
      <c r="AG4" s="86">
        <f>AF4+1</f>
        <v/>
      </c>
      <c r="AH4" s="86">
        <f>AG4+1</f>
        <v/>
      </c>
      <c r="AI4" s="86">
        <f>AH4+1</f>
        <v/>
      </c>
      <c r="AJ4" s="86">
        <f>AI4+1</f>
        <v/>
      </c>
    </row>
    <row r="5" ht="15" customHeight="1" s="62">
      <c r="A5" s="86" t="inlineStr">
        <is>
          <t>Fiscal year</t>
        </is>
      </c>
      <c r="C5" s="110">
        <f>TEXT(in_anchor_year+-3,"0")</f>
        <v/>
      </c>
      <c r="D5" s="110">
        <f>TEXT(in_anchor_year+-2,"0")</f>
        <v/>
      </c>
      <c r="E5" s="110">
        <f>TEXT(in_anchor_year+-1,"0")</f>
        <v/>
      </c>
      <c r="F5" s="110">
        <f>TEXT(in_anchor_year+0,"0")</f>
        <v/>
      </c>
    </row>
    <row r="6" ht="15" customHeight="1" s="62">
      <c r="A6" s="83" t="inlineStr">
        <is>
          <t>INCOME STATEMENT — build to EPS</t>
        </is>
      </c>
    </row>
    <row r="7" ht="15" customHeight="1" s="62">
      <c r="A7" s="86" t="inlineStr">
        <is>
          <t>Revenue</t>
        </is>
      </c>
      <c r="C7" s="101">
        <f>INDEX(es_real_rev,MATCH(C$5,es_years,0))</f>
        <v/>
      </c>
      <c r="D7" s="101">
        <f>INDEX(es_real_rev,MATCH(D$5,es_years,0))</f>
        <v/>
      </c>
      <c r="E7" s="101">
        <f>INDEX(es_real_rev,MATCH(E$5,es_years,0))</f>
        <v/>
      </c>
      <c r="F7" s="101">
        <f>anchor_rev0</f>
        <v/>
      </c>
      <c r="G7" s="101">
        <f>F7*(1+G8)</f>
        <v/>
      </c>
      <c r="H7" s="101">
        <f>G7*(1+H8)</f>
        <v/>
      </c>
      <c r="I7" s="101">
        <f>H7*(1+I8)</f>
        <v/>
      </c>
      <c r="J7" s="101">
        <f>I7*(1+J8)</f>
        <v/>
      </c>
      <c r="K7" s="101">
        <f>J7*(1+K8)</f>
        <v/>
      </c>
      <c r="L7" s="101">
        <f>K7*(1+L8)</f>
        <v/>
      </c>
      <c r="M7" s="101">
        <f>L7*(1+M8)</f>
        <v/>
      </c>
      <c r="N7" s="101">
        <f>M7*(1+N8)</f>
        <v/>
      </c>
      <c r="O7" s="101">
        <f>N7*(1+O8)</f>
        <v/>
      </c>
      <c r="P7" s="101">
        <f>O7*(1+P8)</f>
        <v/>
      </c>
      <c r="Q7" s="101">
        <f>P7*(1+Q8)</f>
        <v/>
      </c>
      <c r="R7" s="101">
        <f>Q7*(1+R8)</f>
        <v/>
      </c>
      <c r="S7" s="101">
        <f>R7*(1+S8)</f>
        <v/>
      </c>
      <c r="T7" s="86">
        <f>S7*(1+T8)</f>
        <v/>
      </c>
      <c r="U7" s="86">
        <f>T7*(1+U8)</f>
        <v/>
      </c>
      <c r="V7" s="86">
        <f>U7*(1+V8)</f>
        <v/>
      </c>
      <c r="W7" s="86">
        <f>V7*(1+W8)</f>
        <v/>
      </c>
      <c r="X7" s="86">
        <f>W7*(1+X8)</f>
        <v/>
      </c>
      <c r="Y7" s="86">
        <f>X7*(1+Y8)</f>
        <v/>
      </c>
      <c r="Z7" s="86">
        <f>Y7*(1+Z8)</f>
        <v/>
      </c>
      <c r="AA7" s="86">
        <f>Z7*(1+AA8)</f>
        <v/>
      </c>
      <c r="AB7" s="86">
        <f>AA7*(1+AB8)</f>
        <v/>
      </c>
      <c r="AC7" s="86">
        <f>AB7*(1+AC8)</f>
        <v/>
      </c>
      <c r="AD7" s="86">
        <f>AC7*(1+AD8)</f>
        <v/>
      </c>
      <c r="AE7" s="86">
        <f>AD7*(1+AE8)</f>
        <v/>
      </c>
      <c r="AF7" s="86">
        <f>AE7*(1+AF8)</f>
        <v/>
      </c>
      <c r="AG7" s="86">
        <f>AF7*(1+AG8)</f>
        <v/>
      </c>
      <c r="AH7" s="86">
        <f>AG7*(1+AH8)</f>
        <v/>
      </c>
      <c r="AI7" s="86">
        <f>AH7*(1+AI8)</f>
        <v/>
      </c>
      <c r="AJ7" s="86">
        <f>AI7*(1+AJ8)</f>
        <v/>
      </c>
    </row>
    <row r="8" ht="15" customHeight="1" s="62">
      <c r="A8" s="86" t="inlineStr">
        <is>
          <t xml:space="preserve">  real revenue growth</t>
        </is>
      </c>
      <c r="D8" s="103">
        <f>IF(C7=0,"",D7/C7-1)</f>
        <v/>
      </c>
      <c r="E8" s="103">
        <f>IF(D7=0,"",E7/D7-1)</f>
        <v/>
      </c>
      <c r="F8" s="103">
        <f>IF(E7=0,"",F7/E7-1)</f>
        <v/>
      </c>
      <c r="G8" s="89">
        <f>INDEX(scen_revgrowth,MATCH(cfg_scenario,scen_cols,0))</f>
        <v/>
      </c>
      <c r="H8" s="89">
        <f>INDEX(scen_revgrowth,MATCH(cfg_scenario,scen_cols,0))</f>
        <v/>
      </c>
      <c r="I8" s="89">
        <f>INDEX(scen_revgrowth,MATCH(cfg_scenario,scen_cols,0))</f>
        <v/>
      </c>
      <c r="J8" s="89">
        <f>INDEX(scen_revgrowth,MATCH(cfg_scenario,scen_cols,0))</f>
        <v/>
      </c>
      <c r="K8" s="89">
        <f>INDEX(scen_revgrowth,MATCH(cfg_scenario,scen_cols,0))</f>
        <v/>
      </c>
      <c r="L8" s="89">
        <f>INDEX(scen_revgrowth,MATCH(cfg_scenario,scen_cols,0))</f>
        <v/>
      </c>
      <c r="M8" s="89">
        <f>INDEX(scen_revgrowth,MATCH(cfg_scenario,scen_cols,0))</f>
        <v/>
      </c>
      <c r="N8" s="89">
        <f>INDEX(scen_revgrowth,MATCH(cfg_scenario,scen_cols,0))</f>
        <v/>
      </c>
      <c r="O8" s="89">
        <f>INDEX(scen_revgrowth,MATCH(cfg_scenario,scen_cols,0))</f>
        <v/>
      </c>
      <c r="P8" s="89">
        <f>INDEX(scen_revgrowth,MATCH(cfg_scenario,scen_cols,0))</f>
        <v/>
      </c>
      <c r="Q8" s="89">
        <f>INDEX(scen_revgrowth,MATCH(cfg_scenario,scen_cols,0))</f>
        <v/>
      </c>
      <c r="R8" s="89">
        <f>INDEX(scen_revgrowth,MATCH(cfg_scenario,scen_cols,0))</f>
        <v/>
      </c>
      <c r="S8" s="89">
        <f>INDEX(scen_revgrowth,MATCH(cfg_scenario,scen_cols,0))</f>
        <v/>
      </c>
      <c r="T8" s="89">
        <f>INDEX(scen_revgrowth,MATCH(cfg_scenario,scen_cols,0))</f>
        <v/>
      </c>
      <c r="U8" s="89">
        <f>INDEX(scen_revgrowth,MATCH(cfg_scenario,scen_cols,0))</f>
        <v/>
      </c>
      <c r="V8" s="89">
        <f>INDEX(scen_revgrowth,MATCH(cfg_scenario,scen_cols,0))</f>
        <v/>
      </c>
      <c r="W8" s="89">
        <f>INDEX(scen_revgrowth,MATCH(cfg_scenario,scen_cols,0))</f>
        <v/>
      </c>
      <c r="X8" s="89">
        <f>INDEX(scen_revgrowth,MATCH(cfg_scenario,scen_cols,0))</f>
        <v/>
      </c>
      <c r="Y8" s="89">
        <f>INDEX(scen_revgrowth,MATCH(cfg_scenario,scen_cols,0))</f>
        <v/>
      </c>
      <c r="Z8" s="89">
        <f>INDEX(scen_revgrowth,MATCH(cfg_scenario,scen_cols,0))</f>
        <v/>
      </c>
      <c r="AA8" s="89">
        <f>INDEX(scen_revgrowth,MATCH(cfg_scenario,scen_cols,0))</f>
        <v/>
      </c>
      <c r="AB8" s="89">
        <f>INDEX(scen_revgrowth,MATCH(cfg_scenario,scen_cols,0))</f>
        <v/>
      </c>
      <c r="AC8" s="89">
        <f>INDEX(scen_revgrowth,MATCH(cfg_scenario,scen_cols,0))</f>
        <v/>
      </c>
      <c r="AD8" s="89">
        <f>INDEX(scen_revgrowth,MATCH(cfg_scenario,scen_cols,0))</f>
        <v/>
      </c>
      <c r="AE8" s="89">
        <f>INDEX(scen_revgrowth,MATCH(cfg_scenario,scen_cols,0))</f>
        <v/>
      </c>
      <c r="AF8" s="89">
        <f>INDEX(scen_revgrowth,MATCH(cfg_scenario,scen_cols,0))</f>
        <v/>
      </c>
      <c r="AG8" s="89">
        <f>INDEX(scen_revgrowth,MATCH(cfg_scenario,scen_cols,0))</f>
        <v/>
      </c>
      <c r="AH8" s="89">
        <f>INDEX(scen_revgrowth,MATCH(cfg_scenario,scen_cols,0))</f>
        <v/>
      </c>
      <c r="AI8" s="89">
        <f>INDEX(scen_revgrowth,MATCH(cfg_scenario,scen_cols,0))</f>
        <v/>
      </c>
      <c r="AJ8" s="89">
        <f>INDEX(scen_revgrowth,MATCH(cfg_scenario,scen_cols,0))</f>
        <v/>
      </c>
    </row>
    <row r="9" ht="15" customHeight="1" s="62">
      <c r="A9" s="86" t="inlineStr">
        <is>
          <t>Gross profit</t>
        </is>
      </c>
      <c r="C9" s="101">
        <f>INDEX(es_real_gp,MATCH(C$5,es_years,0))</f>
        <v/>
      </c>
      <c r="D9" s="101">
        <f>INDEX(es_real_gp,MATCH(D$5,es_years,0))</f>
        <v/>
      </c>
      <c r="E9" s="101">
        <f>INDEX(es_real_gp,MATCH(E$5,es_years,0))</f>
        <v/>
      </c>
      <c r="F9" s="101">
        <f>anchor_gp0</f>
        <v/>
      </c>
      <c r="G9" s="101">
        <f>G7*G10</f>
        <v/>
      </c>
      <c r="H9" s="101">
        <f>H7*H10</f>
        <v/>
      </c>
      <c r="I9" s="101">
        <f>I7*I10</f>
        <v/>
      </c>
      <c r="J9" s="101">
        <f>J7*J10</f>
        <v/>
      </c>
      <c r="K9" s="101">
        <f>K7*K10</f>
        <v/>
      </c>
      <c r="L9" s="101">
        <f>L7*L10</f>
        <v/>
      </c>
      <c r="M9" s="101">
        <f>M7*M10</f>
        <v/>
      </c>
      <c r="N9" s="101">
        <f>N7*N10</f>
        <v/>
      </c>
      <c r="O9" s="101">
        <f>O7*O10</f>
        <v/>
      </c>
      <c r="P9" s="101">
        <f>P7*P10</f>
        <v/>
      </c>
      <c r="Q9" s="101">
        <f>Q7*Q10</f>
        <v/>
      </c>
      <c r="R9" s="101">
        <f>R7*R10</f>
        <v/>
      </c>
      <c r="S9" s="101">
        <f>S7*S10</f>
        <v/>
      </c>
      <c r="T9" s="86">
        <f>T7*T10</f>
        <v/>
      </c>
      <c r="U9" s="86">
        <f>U7*U10</f>
        <v/>
      </c>
      <c r="V9" s="86">
        <f>V7*V10</f>
        <v/>
      </c>
      <c r="W9" s="86">
        <f>W7*W10</f>
        <v/>
      </c>
      <c r="X9" s="86">
        <f>X7*X10</f>
        <v/>
      </c>
      <c r="Y9" s="86">
        <f>Y7*Y10</f>
        <v/>
      </c>
      <c r="Z9" s="86">
        <f>Z7*Z10</f>
        <v/>
      </c>
      <c r="AA9" s="86">
        <f>AA7*AA10</f>
        <v/>
      </c>
      <c r="AB9" s="86">
        <f>AB7*AB10</f>
        <v/>
      </c>
      <c r="AC9" s="86">
        <f>AC7*AC10</f>
        <v/>
      </c>
      <c r="AD9" s="86">
        <f>AD7*AD10</f>
        <v/>
      </c>
      <c r="AE9" s="86">
        <f>AE7*AE10</f>
        <v/>
      </c>
      <c r="AF9" s="86">
        <f>AF7*AF10</f>
        <v/>
      </c>
      <c r="AG9" s="86">
        <f>AG7*AG10</f>
        <v/>
      </c>
      <c r="AH9" s="86">
        <f>AH7*AH10</f>
        <v/>
      </c>
      <c r="AI9" s="86">
        <f>AI7*AI10</f>
        <v/>
      </c>
      <c r="AJ9" s="86">
        <f>AJ7*AJ10</f>
        <v/>
      </c>
    </row>
    <row r="10" ht="15" customHeight="1" s="62">
      <c r="A10" s="86" t="inlineStr">
        <is>
          <t xml:space="preserve">  gross margin</t>
        </is>
      </c>
      <c r="C10" s="103">
        <f>IF(C7=0,"",C9/C7)</f>
        <v/>
      </c>
      <c r="D10" s="103">
        <f>IF(D7=0,"",D9/D7)</f>
        <v/>
      </c>
      <c r="E10" s="103">
        <f>IF(E7=0,"",E9/E7)</f>
        <v/>
      </c>
      <c r="F10" s="103">
        <f>IF(F7=0,"",F9/F7)</f>
        <v/>
      </c>
      <c r="G10" s="89">
        <f>$F$10</f>
        <v/>
      </c>
      <c r="H10" s="89">
        <f>$F$10</f>
        <v/>
      </c>
      <c r="I10" s="89">
        <f>$F$10</f>
        <v/>
      </c>
      <c r="J10" s="89">
        <f>$F$10</f>
        <v/>
      </c>
      <c r="K10" s="89">
        <f>$F$10</f>
        <v/>
      </c>
      <c r="L10" s="89">
        <f>$F$10</f>
        <v/>
      </c>
      <c r="M10" s="89">
        <f>$F$10</f>
        <v/>
      </c>
      <c r="N10" s="89">
        <f>$F$10</f>
        <v/>
      </c>
      <c r="O10" s="89">
        <f>$F$10</f>
        <v/>
      </c>
      <c r="P10" s="89">
        <f>$F$10</f>
        <v/>
      </c>
      <c r="Q10" s="89">
        <f>$F$10</f>
        <v/>
      </c>
      <c r="R10" s="89">
        <f>$F$10</f>
        <v/>
      </c>
      <c r="S10" s="89">
        <f>$F$10</f>
        <v/>
      </c>
      <c r="T10" s="89">
        <f>$F$10</f>
        <v/>
      </c>
      <c r="U10" s="89">
        <f>$F$10</f>
        <v/>
      </c>
      <c r="V10" s="89">
        <f>$F$10</f>
        <v/>
      </c>
      <c r="W10" s="89">
        <f>$F$10</f>
        <v/>
      </c>
      <c r="X10" s="89">
        <f>$F$10</f>
        <v/>
      </c>
      <c r="Y10" s="89">
        <f>$F$10</f>
        <v/>
      </c>
      <c r="Z10" s="89">
        <f>$F$10</f>
        <v/>
      </c>
      <c r="AA10" s="89">
        <f>$F$10</f>
        <v/>
      </c>
      <c r="AB10" s="89">
        <f>$F$10</f>
        <v/>
      </c>
      <c r="AC10" s="89">
        <f>$F$10</f>
        <v/>
      </c>
      <c r="AD10" s="89">
        <f>$F$10</f>
        <v/>
      </c>
      <c r="AE10" s="89">
        <f>$F$10</f>
        <v/>
      </c>
      <c r="AF10" s="89">
        <f>$F$10</f>
        <v/>
      </c>
      <c r="AG10" s="89">
        <f>$F$10</f>
        <v/>
      </c>
      <c r="AH10" s="89">
        <f>$F$10</f>
        <v/>
      </c>
      <c r="AI10" s="89">
        <f>$F$10</f>
        <v/>
      </c>
      <c r="AJ10" s="89">
        <f>$F$10</f>
        <v/>
      </c>
    </row>
    <row r="11" ht="15" customHeight="1" s="62">
      <c r="A11" s="86" t="inlineStr">
        <is>
          <t>SG&amp;A</t>
        </is>
      </c>
      <c r="C11" s="101">
        <f>INDEX(es_real_sga,MATCH(C$5,es_years,0))</f>
        <v/>
      </c>
      <c r="D11" s="101">
        <f>INDEX(es_real_sga,MATCH(D$5,es_years,0))</f>
        <v/>
      </c>
      <c r="E11" s="101">
        <f>INDEX(es_real_sga,MATCH(E$5,es_years,0))</f>
        <v/>
      </c>
      <c r="F11" s="101">
        <f>anchor_sga0</f>
        <v/>
      </c>
      <c r="G11" s="101">
        <f>G7*G12</f>
        <v/>
      </c>
      <c r="H11" s="101">
        <f>H7*H12</f>
        <v/>
      </c>
      <c r="I11" s="101">
        <f>I7*I12</f>
        <v/>
      </c>
      <c r="J11" s="101">
        <f>J7*J12</f>
        <v/>
      </c>
      <c r="K11" s="101">
        <f>K7*K12</f>
        <v/>
      </c>
      <c r="L11" s="101">
        <f>L7*L12</f>
        <v/>
      </c>
      <c r="M11" s="101">
        <f>M7*M12</f>
        <v/>
      </c>
      <c r="N11" s="101">
        <f>N7*N12</f>
        <v/>
      </c>
      <c r="O11" s="101">
        <f>O7*O12</f>
        <v/>
      </c>
      <c r="P11" s="101">
        <f>P7*P12</f>
        <v/>
      </c>
      <c r="Q11" s="101">
        <f>Q7*Q12</f>
        <v/>
      </c>
      <c r="R11" s="101">
        <f>R7*R12</f>
        <v/>
      </c>
      <c r="S11" s="101">
        <f>S7*S12</f>
        <v/>
      </c>
      <c r="T11" s="86">
        <f>T7*T12</f>
        <v/>
      </c>
      <c r="U11" s="86">
        <f>U7*U12</f>
        <v/>
      </c>
      <c r="V11" s="86">
        <f>V7*V12</f>
        <v/>
      </c>
      <c r="W11" s="86">
        <f>W7*W12</f>
        <v/>
      </c>
      <c r="X11" s="86">
        <f>X7*X12</f>
        <v/>
      </c>
      <c r="Y11" s="86">
        <f>Y7*Y12</f>
        <v/>
      </c>
      <c r="Z11" s="86">
        <f>Z7*Z12</f>
        <v/>
      </c>
      <c r="AA11" s="86">
        <f>AA7*AA12</f>
        <v/>
      </c>
      <c r="AB11" s="86">
        <f>AB7*AB12</f>
        <v/>
      </c>
      <c r="AC11" s="86">
        <f>AC7*AC12</f>
        <v/>
      </c>
      <c r="AD11" s="86">
        <f>AD7*AD12</f>
        <v/>
      </c>
      <c r="AE11" s="86">
        <f>AE7*AE12</f>
        <v/>
      </c>
      <c r="AF11" s="86">
        <f>AF7*AF12</f>
        <v/>
      </c>
      <c r="AG11" s="86">
        <f>AG7*AG12</f>
        <v/>
      </c>
      <c r="AH11" s="86">
        <f>AH7*AH12</f>
        <v/>
      </c>
      <c r="AI11" s="86">
        <f>AI7*AI12</f>
        <v/>
      </c>
      <c r="AJ11" s="86">
        <f>AJ7*AJ12</f>
        <v/>
      </c>
    </row>
    <row r="12" ht="15" customHeight="1" s="62">
      <c r="A12" s="86" t="inlineStr">
        <is>
          <t xml:space="preserve">  SG&amp;A % of revenue</t>
        </is>
      </c>
      <c r="C12" s="103">
        <f>IF(C7=0,"",C11/C7)</f>
        <v/>
      </c>
      <c r="D12" s="103">
        <f>IF(D7=0,"",D11/D7)</f>
        <v/>
      </c>
      <c r="E12" s="103">
        <f>IF(E7=0,"",E11/E7)</f>
        <v/>
      </c>
      <c r="F12" s="103">
        <f>IF(F7=0,"",F11/F7)</f>
        <v/>
      </c>
      <c r="G12" s="89">
        <f>$F$12</f>
        <v/>
      </c>
      <c r="H12" s="89">
        <f>$F$12</f>
        <v/>
      </c>
      <c r="I12" s="89">
        <f>$F$12</f>
        <v/>
      </c>
      <c r="J12" s="89">
        <f>$F$12</f>
        <v/>
      </c>
      <c r="K12" s="89">
        <f>$F$12</f>
        <v/>
      </c>
      <c r="L12" s="89">
        <f>$F$12</f>
        <v/>
      </c>
      <c r="M12" s="89">
        <f>$F$12</f>
        <v/>
      </c>
      <c r="N12" s="89">
        <f>$F$12</f>
        <v/>
      </c>
      <c r="O12" s="89">
        <f>$F$12</f>
        <v/>
      </c>
      <c r="P12" s="89">
        <f>$F$12</f>
        <v/>
      </c>
      <c r="Q12" s="89">
        <f>$F$12</f>
        <v/>
      </c>
      <c r="R12" s="89">
        <f>$F$12</f>
        <v/>
      </c>
      <c r="S12" s="89">
        <f>$F$12</f>
        <v/>
      </c>
      <c r="T12" s="89">
        <f>$F$12</f>
        <v/>
      </c>
      <c r="U12" s="89">
        <f>$F$12</f>
        <v/>
      </c>
      <c r="V12" s="89">
        <f>$F$12</f>
        <v/>
      </c>
      <c r="W12" s="89">
        <f>$F$12</f>
        <v/>
      </c>
      <c r="X12" s="89">
        <f>$F$12</f>
        <v/>
      </c>
      <c r="Y12" s="89">
        <f>$F$12</f>
        <v/>
      </c>
      <c r="Z12" s="89">
        <f>$F$12</f>
        <v/>
      </c>
      <c r="AA12" s="89">
        <f>$F$12</f>
        <v/>
      </c>
      <c r="AB12" s="89">
        <f>$F$12</f>
        <v/>
      </c>
      <c r="AC12" s="89">
        <f>$F$12</f>
        <v/>
      </c>
      <c r="AD12" s="89">
        <f>$F$12</f>
        <v/>
      </c>
      <c r="AE12" s="89">
        <f>$F$12</f>
        <v/>
      </c>
      <c r="AF12" s="89">
        <f>$F$12</f>
        <v/>
      </c>
      <c r="AG12" s="89">
        <f>$F$12</f>
        <v/>
      </c>
      <c r="AH12" s="89">
        <f>$F$12</f>
        <v/>
      </c>
      <c r="AI12" s="89">
        <f>$F$12</f>
        <v/>
      </c>
      <c r="AJ12" s="89">
        <f>$F$12</f>
        <v/>
      </c>
    </row>
    <row r="13" ht="15" customHeight="1" s="62">
      <c r="A13" s="86" t="inlineStr">
        <is>
          <t>D&amp;A (economic depreciation)</t>
        </is>
      </c>
      <c r="C13" s="101">
        <f>INDEX(es_dep,MATCH(C$5,es_years,0))</f>
        <v/>
      </c>
      <c r="D13" s="101">
        <f>INDEX(es_dep,MATCH(D$5,es_years,0))</f>
        <v/>
      </c>
      <c r="E13" s="101">
        <f>INDEX(es_dep,MATCH(E$5,es_years,0))</f>
        <v/>
      </c>
      <c r="F13" s="101">
        <f>anchor_econ_dep</f>
        <v/>
      </c>
      <c r="G13" s="101">
        <f>G14*F22</f>
        <v/>
      </c>
      <c r="H13" s="101">
        <f>H14*G22</f>
        <v/>
      </c>
      <c r="I13" s="101">
        <f>I14*H22</f>
        <v/>
      </c>
      <c r="J13" s="101">
        <f>J14*I22</f>
        <v/>
      </c>
      <c r="K13" s="101">
        <f>K14*J22</f>
        <v/>
      </c>
      <c r="L13" s="101">
        <f>L14*K22</f>
        <v/>
      </c>
      <c r="M13" s="101">
        <f>M14*L22</f>
        <v/>
      </c>
      <c r="N13" s="101">
        <f>N14*M22</f>
        <v/>
      </c>
      <c r="O13" s="101">
        <f>O14*N22</f>
        <v/>
      </c>
      <c r="P13" s="101">
        <f>P14*O22</f>
        <v/>
      </c>
      <c r="Q13" s="101">
        <f>Q14*P22</f>
        <v/>
      </c>
      <c r="R13" s="101">
        <f>R14*Q22</f>
        <v/>
      </c>
      <c r="S13" s="101">
        <f>S14*R22</f>
        <v/>
      </c>
      <c r="T13" s="86">
        <f>T14*S22</f>
        <v/>
      </c>
      <c r="U13" s="86">
        <f>U14*T22</f>
        <v/>
      </c>
      <c r="V13" s="86">
        <f>V14*U22</f>
        <v/>
      </c>
      <c r="W13" s="86">
        <f>W14*V22</f>
        <v/>
      </c>
      <c r="X13" s="86">
        <f>X14*W22</f>
        <v/>
      </c>
      <c r="Y13" s="86">
        <f>Y14*X22</f>
        <v/>
      </c>
      <c r="Z13" s="86">
        <f>Z14*Y22</f>
        <v/>
      </c>
      <c r="AA13" s="86">
        <f>AA14*Z22</f>
        <v/>
      </c>
      <c r="AB13" s="86">
        <f>AB14*AA22</f>
        <v/>
      </c>
      <c r="AC13" s="86">
        <f>AC14*AB22</f>
        <v/>
      </c>
      <c r="AD13" s="86">
        <f>AD14*AC22</f>
        <v/>
      </c>
      <c r="AE13" s="86">
        <f>AE14*AD22</f>
        <v/>
      </c>
      <c r="AF13" s="86">
        <f>AF14*AE22</f>
        <v/>
      </c>
      <c r="AG13" s="86">
        <f>AG14*AF22</f>
        <v/>
      </c>
      <c r="AH13" s="86">
        <f>AH14*AG22</f>
        <v/>
      </c>
      <c r="AI13" s="86">
        <f>AI14*AH22</f>
        <v/>
      </c>
      <c r="AJ13" s="86">
        <f>AJ14*AI22</f>
        <v/>
      </c>
    </row>
    <row r="14" ht="15" customHeight="1" s="62">
      <c r="A14" s="86" t="inlineStr">
        <is>
          <t xml:space="preserve">  depreciation rate (on prior PP&amp;E)</t>
        </is>
      </c>
      <c r="D14" s="103">
        <f>IF(C22=0,"",D13/C22)</f>
        <v/>
      </c>
      <c r="E14" s="103">
        <f>IF(D22=0,"",E13/D22)</f>
        <v/>
      </c>
      <c r="F14" s="103">
        <f>IF(E22=0,"",F13/E22)</f>
        <v/>
      </c>
      <c r="G14" s="89">
        <f>$F$14</f>
        <v/>
      </c>
      <c r="H14" s="89">
        <f>$F$14</f>
        <v/>
      </c>
      <c r="I14" s="89">
        <f>$F$14</f>
        <v/>
      </c>
      <c r="J14" s="89">
        <f>$F$14</f>
        <v/>
      </c>
      <c r="K14" s="89">
        <f>$F$14</f>
        <v/>
      </c>
      <c r="L14" s="89">
        <f>$F$14</f>
        <v/>
      </c>
      <c r="M14" s="89">
        <f>$F$14</f>
        <v/>
      </c>
      <c r="N14" s="89">
        <f>$F$14</f>
        <v/>
      </c>
      <c r="O14" s="89">
        <f>$F$14</f>
        <v/>
      </c>
      <c r="P14" s="89">
        <f>$F$14</f>
        <v/>
      </c>
      <c r="Q14" s="89">
        <f>$F$14</f>
        <v/>
      </c>
      <c r="R14" s="89">
        <f>$F$14</f>
        <v/>
      </c>
      <c r="S14" s="89">
        <f>$F$14</f>
        <v/>
      </c>
      <c r="T14" s="89">
        <f>$F$14</f>
        <v/>
      </c>
      <c r="U14" s="89">
        <f>$F$14</f>
        <v/>
      </c>
      <c r="V14" s="89">
        <f>$F$14</f>
        <v/>
      </c>
      <c r="W14" s="89">
        <f>$F$14</f>
        <v/>
      </c>
      <c r="X14" s="89">
        <f>$F$14</f>
        <v/>
      </c>
      <c r="Y14" s="89">
        <f>$F$14</f>
        <v/>
      </c>
      <c r="Z14" s="89">
        <f>$F$14</f>
        <v/>
      </c>
      <c r="AA14" s="89">
        <f>$F$14</f>
        <v/>
      </c>
      <c r="AB14" s="89">
        <f>$F$14</f>
        <v/>
      </c>
      <c r="AC14" s="89">
        <f>$F$14</f>
        <v/>
      </c>
      <c r="AD14" s="89">
        <f>$F$14</f>
        <v/>
      </c>
      <c r="AE14" s="89">
        <f>$F$14</f>
        <v/>
      </c>
      <c r="AF14" s="89">
        <f>$F$14</f>
        <v/>
      </c>
      <c r="AG14" s="89">
        <f>$F$14</f>
        <v/>
      </c>
      <c r="AH14" s="89">
        <f>$F$14</f>
        <v/>
      </c>
      <c r="AI14" s="89">
        <f>$F$14</f>
        <v/>
      </c>
      <c r="AJ14" s="89">
        <f>$F$14</f>
        <v/>
      </c>
    </row>
    <row r="15" ht="15" customHeight="1" s="62">
      <c r="A15" s="86" t="inlineStr">
        <is>
          <t>Operating income (EBIT)</t>
        </is>
      </c>
      <c r="C15" s="101">
        <f>C9-C11-C13</f>
        <v/>
      </c>
      <c r="D15" s="101">
        <f>D9-D11-D13</f>
        <v/>
      </c>
      <c r="E15" s="101">
        <f>E9-E11-E13</f>
        <v/>
      </c>
      <c r="F15" s="101">
        <f>'Econ Statements'!$S$51</f>
        <v/>
      </c>
      <c r="G15" s="101">
        <f>G9-G11-G13-G61</f>
        <v/>
      </c>
      <c r="H15" s="101">
        <f>H9-H11-H13-H61</f>
        <v/>
      </c>
      <c r="I15" s="101">
        <f>I9-I11-I13-I61</f>
        <v/>
      </c>
      <c r="J15" s="101">
        <f>J9-J11-J13-J61</f>
        <v/>
      </c>
      <c r="K15" s="101">
        <f>K9-K11-K13-K61</f>
        <v/>
      </c>
      <c r="L15" s="101">
        <f>L9-L11-L13-L61</f>
        <v/>
      </c>
      <c r="M15" s="101">
        <f>M9-M11-M13-M61</f>
        <v/>
      </c>
      <c r="N15" s="101">
        <f>N9-N11-N13-N61</f>
        <v/>
      </c>
      <c r="O15" s="101">
        <f>O9-O11-O13-O61</f>
        <v/>
      </c>
      <c r="P15" s="101">
        <f>P9-P11-P13-P61</f>
        <v/>
      </c>
      <c r="Q15" s="101">
        <f>Q9-Q11-Q13-Q61</f>
        <v/>
      </c>
      <c r="R15" s="101">
        <f>R9-R11-R13-R61</f>
        <v/>
      </c>
      <c r="S15" s="101">
        <f>S9-S11-S13-S61</f>
        <v/>
      </c>
      <c r="T15" s="86">
        <f>T9-T11-T13-T61</f>
        <v/>
      </c>
      <c r="U15" s="86">
        <f>U9-U11-U13-U61</f>
        <v/>
      </c>
      <c r="V15" s="86">
        <f>V9-V11-V13-V61</f>
        <v/>
      </c>
      <c r="W15" s="86">
        <f>W9-W11-W13-W61</f>
        <v/>
      </c>
      <c r="X15" s="86">
        <f>X9-X11-X13-X61</f>
        <v/>
      </c>
      <c r="Y15" s="86">
        <f>Y9-Y11-Y13-Y61</f>
        <v/>
      </c>
      <c r="Z15" s="86">
        <f>Z9-Z11-Z13-Z61</f>
        <v/>
      </c>
      <c r="AA15" s="86">
        <f>AA9-AA11-AA13-AA61</f>
        <v/>
      </c>
      <c r="AB15" s="86">
        <f>AB9-AB11-AB13-AB61</f>
        <v/>
      </c>
      <c r="AC15" s="86">
        <f>AC9-AC11-AC13-AC61</f>
        <v/>
      </c>
      <c r="AD15" s="86">
        <f>AD9-AD11-AD13-AD61</f>
        <v/>
      </c>
      <c r="AE15" s="86">
        <f>AE9-AE11-AE13-AE61</f>
        <v/>
      </c>
      <c r="AF15" s="86">
        <f>AF9-AF11-AF13-AF61</f>
        <v/>
      </c>
      <c r="AG15" s="86">
        <f>AG9-AG11-AG13-AG61</f>
        <v/>
      </c>
      <c r="AH15" s="86">
        <f>AH9-AH11-AH13-AH61</f>
        <v/>
      </c>
      <c r="AI15" s="86">
        <f>AI9-AI11-AI13-AI61</f>
        <v/>
      </c>
      <c r="AJ15" s="86">
        <f>AJ9-AJ11-AJ13-AJ61</f>
        <v/>
      </c>
    </row>
    <row r="16" ht="15" customHeight="1" s="62">
      <c r="A16" s="86" t="inlineStr">
        <is>
          <t>Operating income, after tax (OI)</t>
        </is>
      </c>
      <c r="C16" s="101">
        <f>C15*(1-C17)</f>
        <v/>
      </c>
      <c r="D16" s="101">
        <f>D15*(1-D17)</f>
        <v/>
      </c>
      <c r="E16" s="101">
        <f>E15*(1-E17)</f>
        <v/>
      </c>
      <c r="F16" s="101">
        <f>anchor_oi_at0</f>
        <v/>
      </c>
      <c r="G16" s="101">
        <f>IF(G4&lt;=cfg_N,(G15*(1-G17))-G35,G60*F24)</f>
        <v/>
      </c>
      <c r="H16" s="101">
        <f>IF(H4&lt;=cfg_N,(H15*(1-H17))-H35,H60*G24)</f>
        <v/>
      </c>
      <c r="I16" s="101">
        <f>IF(I4&lt;=cfg_N,(I15*(1-I17))-I35,I60*H24)</f>
        <v/>
      </c>
      <c r="J16" s="101">
        <f>IF(J4&lt;=cfg_N,(J15*(1-J17))-J35,J60*I24)</f>
        <v/>
      </c>
      <c r="K16" s="101">
        <f>IF(K4&lt;=cfg_N,(K15*(1-K17))-K35,K60*J24)</f>
        <v/>
      </c>
      <c r="L16" s="101">
        <f>IF(L4&lt;=cfg_N,(L15*(1-L17))-L35,L60*K24)</f>
        <v/>
      </c>
      <c r="M16" s="101">
        <f>IF(M4&lt;=cfg_N,(M15*(1-M17))-M35,M60*L24)</f>
        <v/>
      </c>
      <c r="N16" s="101">
        <f>IF(N4&lt;=cfg_N,(N15*(1-N17))-N35,N60*M24)</f>
        <v/>
      </c>
      <c r="O16" s="101">
        <f>IF(O4&lt;=cfg_N,(O15*(1-O17))-O35,O60*N24)</f>
        <v/>
      </c>
      <c r="P16" s="101">
        <f>IF(P4&lt;=cfg_N,(P15*(1-P17))-P35,P60*O24)</f>
        <v/>
      </c>
      <c r="Q16" s="101">
        <f>IF(Q4&lt;=cfg_N,(Q15*(1-Q17))-Q35,Q60*P24)</f>
        <v/>
      </c>
      <c r="R16" s="101">
        <f>IF(R4&lt;=cfg_N,(R15*(1-R17))-R35,R60*Q24)</f>
        <v/>
      </c>
      <c r="S16" s="101">
        <f>IF(S4&lt;=cfg_N,(S15*(1-S17))-S35,S60*R24)</f>
        <v/>
      </c>
      <c r="T16" s="86">
        <f>IF(T4&lt;=cfg_N,(T15*(1-T17))-T35,T60*S24)</f>
        <v/>
      </c>
      <c r="U16" s="86">
        <f>IF(U4&lt;=cfg_N,(U15*(1-U17))-U35,U60*T24)</f>
        <v/>
      </c>
      <c r="V16" s="86">
        <f>IF(V4&lt;=cfg_N,(V15*(1-V17))-V35,V60*U24)</f>
        <v/>
      </c>
      <c r="W16" s="86">
        <f>IF(W4&lt;=cfg_N,(W15*(1-W17))-W35,W60*V24)</f>
        <v/>
      </c>
      <c r="X16" s="86">
        <f>IF(X4&lt;=cfg_N,(X15*(1-X17))-X35,X60*W24)</f>
        <v/>
      </c>
      <c r="Y16" s="86">
        <f>IF(Y4&lt;=cfg_N,(Y15*(1-Y17))-Y35,Y60*X24)</f>
        <v/>
      </c>
      <c r="Z16" s="86">
        <f>IF(Z4&lt;=cfg_N,(Z15*(1-Z17))-Z35,Z60*Y24)</f>
        <v/>
      </c>
      <c r="AA16" s="86">
        <f>IF(AA4&lt;=cfg_N,(AA15*(1-AA17))-AA35,AA60*Z24)</f>
        <v/>
      </c>
      <c r="AB16" s="86">
        <f>IF(AB4&lt;=cfg_N,(AB15*(1-AB17))-AB35,AB60*AA24)</f>
        <v/>
      </c>
      <c r="AC16" s="86">
        <f>IF(AC4&lt;=cfg_N,(AC15*(1-AC17))-AC35,AC60*AB24)</f>
        <v/>
      </c>
      <c r="AD16" s="86">
        <f>IF(AD4&lt;=cfg_N,(AD15*(1-AD17))-AD35,AD60*AC24)</f>
        <v/>
      </c>
      <c r="AE16" s="86">
        <f>IF(AE4&lt;=cfg_N,(AE15*(1-AE17))-AE35,AE60*AD24)</f>
        <v/>
      </c>
      <c r="AF16" s="86">
        <f>IF(AF4&lt;=cfg_N,(AF15*(1-AF17))-AF35,AF60*AE24)</f>
        <v/>
      </c>
      <c r="AG16" s="86">
        <f>IF(AG4&lt;=cfg_N,(AG15*(1-AG17))-AG35,AG60*AF24)</f>
        <v/>
      </c>
      <c r="AH16" s="86">
        <f>IF(AH4&lt;=cfg_N,(AH15*(1-AH17))-AH35,AH60*AG24)</f>
        <v/>
      </c>
      <c r="AI16" s="86">
        <f>IF(AI4&lt;=cfg_N,(AI15*(1-AI17))-AI35,AI60*AH24)</f>
        <v/>
      </c>
      <c r="AJ16" s="86">
        <f>IF(AJ4&lt;=cfg_N,(AJ15*(1-AJ17))-AJ35,AJ60*AI24)</f>
        <v/>
      </c>
    </row>
    <row r="17" ht="15" customHeight="1" s="62">
      <c r="A17" s="86" t="inlineStr">
        <is>
          <t xml:space="preserve">  tax rate</t>
        </is>
      </c>
      <c r="C17" s="103">
        <f>IFERROR(INDEX(rep_taxrate,MATCH(C$5,rep_years_is,0)),0)</f>
        <v/>
      </c>
      <c r="D17" s="103">
        <f>IFERROR(INDEX(rep_taxrate,MATCH(D$5,rep_years_is,0)),0)</f>
        <v/>
      </c>
      <c r="E17" s="103">
        <f>IFERROR(INDEX(rep_taxrate,MATCH(E$5,rep_years_is,0)),0)</f>
        <v/>
      </c>
      <c r="F17" s="103">
        <f>IFERROR(INDEX(rep_taxrate,MATCH(F$5,rep_years_is,0)),0)</f>
        <v/>
      </c>
      <c r="G17" s="89">
        <f>$F$17</f>
        <v/>
      </c>
      <c r="H17" s="89">
        <f>$F$17</f>
        <v/>
      </c>
      <c r="I17" s="89">
        <f>$F$17</f>
        <v/>
      </c>
      <c r="J17" s="89">
        <f>$F$17</f>
        <v/>
      </c>
      <c r="K17" s="89">
        <f>$F$17</f>
        <v/>
      </c>
      <c r="L17" s="89">
        <f>$F$17</f>
        <v/>
      </c>
      <c r="M17" s="89">
        <f>$F$17</f>
        <v/>
      </c>
      <c r="N17" s="89">
        <f>$F$17</f>
        <v/>
      </c>
      <c r="O17" s="89">
        <f>$F$17</f>
        <v/>
      </c>
      <c r="P17" s="89">
        <f>$F$17</f>
        <v/>
      </c>
      <c r="Q17" s="89">
        <f>$F$17</f>
        <v/>
      </c>
      <c r="R17" s="89">
        <f>$F$17</f>
        <v/>
      </c>
      <c r="S17" s="89">
        <f>$F$17</f>
        <v/>
      </c>
      <c r="T17" s="89">
        <f>$F$17</f>
        <v/>
      </c>
      <c r="U17" s="89">
        <f>$F$17</f>
        <v/>
      </c>
      <c r="V17" s="89">
        <f>$F$17</f>
        <v/>
      </c>
      <c r="W17" s="89">
        <f>$F$17</f>
        <v/>
      </c>
      <c r="X17" s="89">
        <f>$F$17</f>
        <v/>
      </c>
      <c r="Y17" s="89">
        <f>$F$17</f>
        <v/>
      </c>
      <c r="Z17" s="89">
        <f>$F$17</f>
        <v/>
      </c>
      <c r="AA17" s="89">
        <f>$F$17</f>
        <v/>
      </c>
      <c r="AB17" s="89">
        <f>$F$17</f>
        <v/>
      </c>
      <c r="AC17" s="89">
        <f>$F$17</f>
        <v/>
      </c>
      <c r="AD17" s="89">
        <f>$F$17</f>
        <v/>
      </c>
      <c r="AE17" s="89">
        <f>$F$17</f>
        <v/>
      </c>
      <c r="AF17" s="89">
        <f>$F$17</f>
        <v/>
      </c>
      <c r="AG17" s="89">
        <f>$F$17</f>
        <v/>
      </c>
      <c r="AH17" s="89">
        <f>$F$17</f>
        <v/>
      </c>
      <c r="AI17" s="89">
        <f>$F$17</f>
        <v/>
      </c>
      <c r="AJ17" s="89">
        <f>$F$17</f>
        <v/>
      </c>
    </row>
    <row r="18" ht="15" customHeight="1" s="62">
      <c r="A18" s="86" t="inlineStr">
        <is>
          <t>Net financial expense (NFE) = ρD × prior NFO</t>
        </is>
      </c>
      <c r="C18" s="101">
        <f>INDEX(es_ni,MATCH(C$5,es_years,0))*0+INDEX(es_oiat,MATCH(C$5,es_years,0))-INDEX(es_ni,MATCH(C$5,es_years,0))</f>
        <v/>
      </c>
      <c r="D18" s="101">
        <f>INDEX(es_ni,MATCH(D$5,es_years,0))*0+INDEX(es_oiat,MATCH(D$5,es_years,0))-INDEX(es_ni,MATCH(D$5,es_years,0))</f>
        <v/>
      </c>
      <c r="E18" s="101">
        <f>INDEX(es_ni,MATCH(E$5,es_years,0))*0+INDEX(es_oiat,MATCH(E$5,es_years,0))-INDEX(es_ni,MATCH(E$5,es_years,0))</f>
        <v/>
      </c>
      <c r="F18" s="101">
        <f>anchor_oi_at0-anchor_ni0</f>
        <v/>
      </c>
      <c r="G18" s="101">
        <f>INDEX(finrate_cod,G4)*F25</f>
        <v/>
      </c>
      <c r="H18" s="101">
        <f>INDEX(finrate_cod,H4)*G25</f>
        <v/>
      </c>
      <c r="I18" s="101">
        <f>INDEX(finrate_cod,I4)*H25</f>
        <v/>
      </c>
      <c r="J18" s="101">
        <f>INDEX(finrate_cod,J4)*I25</f>
        <v/>
      </c>
      <c r="K18" s="101">
        <f>INDEX(finrate_cod,K4)*J25</f>
        <v/>
      </c>
      <c r="L18" s="101">
        <f>INDEX(finrate_cod,L4)*K25</f>
        <v/>
      </c>
      <c r="M18" s="101">
        <f>INDEX(finrate_cod,M4)*L25</f>
        <v/>
      </c>
      <c r="N18" s="101">
        <f>INDEX(finrate_cod,N4)*M25</f>
        <v/>
      </c>
      <c r="O18" s="101">
        <f>INDEX(finrate_cod,O4)*N25</f>
        <v/>
      </c>
      <c r="P18" s="101">
        <f>INDEX(finrate_cod,P4)*O25</f>
        <v/>
      </c>
      <c r="Q18" s="101">
        <f>INDEX(finrate_cod,Q4)*P25</f>
        <v/>
      </c>
      <c r="R18" s="101">
        <f>INDEX(finrate_cod,R4)*Q25</f>
        <v/>
      </c>
      <c r="S18" s="101">
        <f>INDEX(finrate_cod,S4)*R25</f>
        <v/>
      </c>
      <c r="T18" s="86">
        <f>INDEX(finrate_cod,T4)*S25</f>
        <v/>
      </c>
      <c r="U18" s="86">
        <f>INDEX(finrate_cod,U4)*T25</f>
        <v/>
      </c>
      <c r="V18" s="86">
        <f>INDEX(finrate_cod,V4)*U25</f>
        <v/>
      </c>
      <c r="W18" s="86">
        <f>INDEX(finrate_cod,W4)*V25</f>
        <v/>
      </c>
      <c r="X18" s="86">
        <f>INDEX(finrate_cod,X4)*W25</f>
        <v/>
      </c>
      <c r="Y18" s="86">
        <f>INDEX(finrate_cod,Y4)*X25</f>
        <v/>
      </c>
      <c r="Z18" s="86">
        <f>INDEX(finrate_cod,Z4)*Y25</f>
        <v/>
      </c>
      <c r="AA18" s="86">
        <f>INDEX(finrate_cod,AA4)*Z25</f>
        <v/>
      </c>
      <c r="AB18" s="86">
        <f>INDEX(finrate_cod,AB4)*AA25</f>
        <v/>
      </c>
      <c r="AC18" s="86">
        <f>INDEX(finrate_cod,AC4)*AB25</f>
        <v/>
      </c>
      <c r="AD18" s="86">
        <f>INDEX(finrate_cod,AD4)*AC25</f>
        <v/>
      </c>
      <c r="AE18" s="86">
        <f>INDEX(finrate_cod,AE4)*AD25</f>
        <v/>
      </c>
      <c r="AF18" s="86">
        <f>INDEX(finrate_cod,AF4)*AE25</f>
        <v/>
      </c>
      <c r="AG18" s="86">
        <f>INDEX(finrate_cod,AG4)*AF25</f>
        <v/>
      </c>
      <c r="AH18" s="86">
        <f>INDEX(finrate_cod,AH4)*AG25</f>
        <v/>
      </c>
      <c r="AI18" s="86">
        <f>INDEX(finrate_cod,AI4)*AH25</f>
        <v/>
      </c>
      <c r="AJ18" s="86">
        <f>INDEX(finrate_cod,AJ4)*AI25</f>
        <v/>
      </c>
    </row>
    <row r="19" ht="15" customHeight="1" s="62">
      <c r="A19" s="86" t="inlineStr">
        <is>
          <t>Net income (comprehensive)</t>
        </is>
      </c>
      <c r="C19" s="101">
        <f>INDEX(es_ni,MATCH(C$5,es_years,0))</f>
        <v/>
      </c>
      <c r="D19" s="101">
        <f>INDEX(es_ni,MATCH(D$5,es_years,0))</f>
        <v/>
      </c>
      <c r="E19" s="101">
        <f>INDEX(es_ni,MATCH(E$5,es_years,0))</f>
        <v/>
      </c>
      <c r="F19" s="101">
        <f>anchor_ni0</f>
        <v/>
      </c>
      <c r="G19" s="101">
        <f>G16-G18</f>
        <v/>
      </c>
      <c r="H19" s="101">
        <f>H16-H18</f>
        <v/>
      </c>
      <c r="I19" s="101">
        <f>I16-I18</f>
        <v/>
      </c>
      <c r="J19" s="101">
        <f>J16-J18</f>
        <v/>
      </c>
      <c r="K19" s="101">
        <f>K16-K18</f>
        <v/>
      </c>
      <c r="L19" s="101">
        <f>L16-L18</f>
        <v/>
      </c>
      <c r="M19" s="101">
        <f>M16-M18</f>
        <v/>
      </c>
      <c r="N19" s="101">
        <f>N16-N18</f>
        <v/>
      </c>
      <c r="O19" s="101">
        <f>O16-O18</f>
        <v/>
      </c>
      <c r="P19" s="101">
        <f>P16-P18</f>
        <v/>
      </c>
      <c r="Q19" s="101">
        <f>Q16-Q18</f>
        <v/>
      </c>
      <c r="R19" s="101">
        <f>R16-R18</f>
        <v/>
      </c>
      <c r="S19" s="101">
        <f>S16-S18</f>
        <v/>
      </c>
      <c r="T19" s="86">
        <f>T16-T18</f>
        <v/>
      </c>
      <c r="U19" s="86">
        <f>U16-U18</f>
        <v/>
      </c>
      <c r="V19" s="86">
        <f>V16-V18</f>
        <v/>
      </c>
      <c r="W19" s="86">
        <f>W16-W18</f>
        <v/>
      </c>
      <c r="X19" s="86">
        <f>X16-X18</f>
        <v/>
      </c>
      <c r="Y19" s="86">
        <f>Y16-Y18</f>
        <v/>
      </c>
      <c r="Z19" s="86">
        <f>Z16-Z18</f>
        <v/>
      </c>
      <c r="AA19" s="86">
        <f>AA16-AA18</f>
        <v/>
      </c>
      <c r="AB19" s="86">
        <f>AB16-AB18</f>
        <v/>
      </c>
      <c r="AC19" s="86">
        <f>AC16-AC18</f>
        <v/>
      </c>
      <c r="AD19" s="86">
        <f>AD16-AD18</f>
        <v/>
      </c>
      <c r="AE19" s="86">
        <f>AE16-AE18</f>
        <v/>
      </c>
      <c r="AF19" s="86">
        <f>AF16-AF18</f>
        <v/>
      </c>
      <c r="AG19" s="86">
        <f>AG16-AG18</f>
        <v/>
      </c>
      <c r="AH19" s="86">
        <f>AH16-AH18</f>
        <v/>
      </c>
      <c r="AI19" s="86">
        <f>AI16-AI18</f>
        <v/>
      </c>
      <c r="AJ19" s="86">
        <f>AJ16-AJ18</f>
        <v/>
      </c>
    </row>
    <row r="20" ht="15" customHeight="1" s="62">
      <c r="A20" s="86" t="inlineStr">
        <is>
          <t>Shares outstanding (mm)</t>
        </is>
      </c>
      <c r="C20" s="102">
        <f>anchor_shares0</f>
        <v/>
      </c>
      <c r="D20" s="102">
        <f>anchor_shares0</f>
        <v/>
      </c>
      <c r="E20" s="102">
        <f>anchor_shares0</f>
        <v/>
      </c>
      <c r="F20" s="102">
        <f>anchor_shares0</f>
        <v/>
      </c>
      <c r="G20" s="102">
        <f>IF(cfg_mode="Enterprise",F20*(1-G21),F20)</f>
        <v/>
      </c>
      <c r="H20" s="102">
        <f>IF(cfg_mode="Enterprise",G20*(1-H21),G20)</f>
        <v/>
      </c>
      <c r="I20" s="102">
        <f>IF(cfg_mode="Enterprise",H20*(1-I21),H20)</f>
        <v/>
      </c>
      <c r="J20" s="102">
        <f>IF(cfg_mode="Enterprise",I20*(1-J21),I20)</f>
        <v/>
      </c>
      <c r="K20" s="102">
        <f>IF(cfg_mode="Enterprise",J20*(1-K21),J20)</f>
        <v/>
      </c>
      <c r="L20" s="102">
        <f>IF(cfg_mode="Enterprise",K20*(1-L21),K20)</f>
        <v/>
      </c>
      <c r="M20" s="102">
        <f>IF(cfg_mode="Enterprise",L20*(1-M21),L20)</f>
        <v/>
      </c>
      <c r="N20" s="102">
        <f>IF(cfg_mode="Enterprise",M20*(1-N21),M20)</f>
        <v/>
      </c>
      <c r="O20" s="102">
        <f>IF(cfg_mode="Enterprise",N20*(1-O21),N20)</f>
        <v/>
      </c>
      <c r="P20" s="102">
        <f>IF(cfg_mode="Enterprise",O20*(1-P21),O20)</f>
        <v/>
      </c>
      <c r="Q20" s="102">
        <f>IF(cfg_mode="Enterprise",P20*(1-Q21),P20)</f>
        <v/>
      </c>
      <c r="R20" s="102">
        <f>IF(cfg_mode="Enterprise",Q20*(1-R21),Q20)</f>
        <v/>
      </c>
      <c r="S20" s="102">
        <f>IF(cfg_mode="Enterprise",R20*(1-S21),R20)</f>
        <v/>
      </c>
      <c r="T20" s="102">
        <f>IF(cfg_mode="Enterprise",S20*(1-T21),S20)</f>
        <v/>
      </c>
      <c r="U20" s="102">
        <f>IF(cfg_mode="Enterprise",T20*(1-U21),T20)</f>
        <v/>
      </c>
      <c r="V20" s="102">
        <f>IF(cfg_mode="Enterprise",U20*(1-V21),U20)</f>
        <v/>
      </c>
      <c r="W20" s="102">
        <f>IF(cfg_mode="Enterprise",V20*(1-W21),V20)</f>
        <v/>
      </c>
      <c r="X20" s="102">
        <f>IF(cfg_mode="Enterprise",W20*(1-X21),W20)</f>
        <v/>
      </c>
      <c r="Y20" s="102">
        <f>IF(cfg_mode="Enterprise",X20*(1-Y21),X20)</f>
        <v/>
      </c>
      <c r="Z20" s="102">
        <f>IF(cfg_mode="Enterprise",Y20*(1-Z21),Y20)</f>
        <v/>
      </c>
      <c r="AA20" s="102">
        <f>IF(cfg_mode="Enterprise",Z20*(1-AA21),Z20)</f>
        <v/>
      </c>
      <c r="AB20" s="102">
        <f>IF(cfg_mode="Enterprise",AA20*(1-AB21),AA20)</f>
        <v/>
      </c>
      <c r="AC20" s="102">
        <f>IF(cfg_mode="Enterprise",AB20*(1-AC21),AB20)</f>
        <v/>
      </c>
      <c r="AD20" s="102">
        <f>IF(cfg_mode="Enterprise",AC20*(1-AD21),AC20)</f>
        <v/>
      </c>
      <c r="AE20" s="102">
        <f>IF(cfg_mode="Enterprise",AD20*(1-AE21),AD20)</f>
        <v/>
      </c>
      <c r="AF20" s="102">
        <f>IF(cfg_mode="Enterprise",AE20*(1-AF21),AE20)</f>
        <v/>
      </c>
      <c r="AG20" s="102">
        <f>IF(cfg_mode="Enterprise",AF20*(1-AG21),AF20)</f>
        <v/>
      </c>
      <c r="AH20" s="102">
        <f>IF(cfg_mode="Enterprise",AG20*(1-AH21),AG20)</f>
        <v/>
      </c>
      <c r="AI20" s="102">
        <f>IF(cfg_mode="Enterprise",AH20*(1-AI21),AH20)</f>
        <v/>
      </c>
      <c r="AJ20" s="102">
        <f>IF(cfg_mode="Enterprise",AI20*(1-AJ21),AI20)</f>
        <v/>
      </c>
    </row>
    <row r="21" ht="15" customHeight="1" s="62">
      <c r="A21" s="86" t="inlineStr">
        <is>
          <t xml:space="preserve">  net buyback rate  [E-driver]</t>
        </is>
      </c>
      <c r="G21" s="89">
        <f>INDEX(scen_buyback,MATCH(cfg_scenario,scen_cols,0))</f>
        <v/>
      </c>
      <c r="H21" s="89">
        <f>INDEX(scen_buyback,MATCH(cfg_scenario,scen_cols,0))</f>
        <v/>
      </c>
      <c r="I21" s="89">
        <f>INDEX(scen_buyback,MATCH(cfg_scenario,scen_cols,0))</f>
        <v/>
      </c>
      <c r="J21" s="89">
        <f>INDEX(scen_buyback,MATCH(cfg_scenario,scen_cols,0))</f>
        <v/>
      </c>
      <c r="K21" s="89">
        <f>INDEX(scen_buyback,MATCH(cfg_scenario,scen_cols,0))</f>
        <v/>
      </c>
      <c r="L21" s="89">
        <f>INDEX(scen_buyback,MATCH(cfg_scenario,scen_cols,0))</f>
        <v/>
      </c>
      <c r="M21" s="89">
        <f>INDEX(scen_buyback,MATCH(cfg_scenario,scen_cols,0))</f>
        <v/>
      </c>
      <c r="N21" s="89">
        <f>INDEX(scen_buyback,MATCH(cfg_scenario,scen_cols,0))</f>
        <v/>
      </c>
      <c r="O21" s="89">
        <f>INDEX(scen_buyback,MATCH(cfg_scenario,scen_cols,0))</f>
        <v/>
      </c>
      <c r="P21" s="89">
        <f>INDEX(scen_buyback,MATCH(cfg_scenario,scen_cols,0))</f>
        <v/>
      </c>
      <c r="Q21" s="89">
        <f>INDEX(scen_buyback,MATCH(cfg_scenario,scen_cols,0))</f>
        <v/>
      </c>
      <c r="R21" s="89">
        <f>INDEX(scen_buyback,MATCH(cfg_scenario,scen_cols,0))</f>
        <v/>
      </c>
      <c r="S21" s="89">
        <f>INDEX(scen_buyback,MATCH(cfg_scenario,scen_cols,0))</f>
        <v/>
      </c>
      <c r="T21" s="89">
        <f>INDEX(scen_buyback,MATCH(cfg_scenario,scen_cols,0))</f>
        <v/>
      </c>
      <c r="U21" s="89">
        <f>INDEX(scen_buyback,MATCH(cfg_scenario,scen_cols,0))</f>
        <v/>
      </c>
      <c r="V21" s="89">
        <f>INDEX(scen_buyback,MATCH(cfg_scenario,scen_cols,0))</f>
        <v/>
      </c>
      <c r="W21" s="89">
        <f>INDEX(scen_buyback,MATCH(cfg_scenario,scen_cols,0))</f>
        <v/>
      </c>
      <c r="X21" s="89">
        <f>INDEX(scen_buyback,MATCH(cfg_scenario,scen_cols,0))</f>
        <v/>
      </c>
      <c r="Y21" s="89">
        <f>INDEX(scen_buyback,MATCH(cfg_scenario,scen_cols,0))</f>
        <v/>
      </c>
      <c r="Z21" s="89">
        <f>INDEX(scen_buyback,MATCH(cfg_scenario,scen_cols,0))</f>
        <v/>
      </c>
      <c r="AA21" s="89">
        <f>INDEX(scen_buyback,MATCH(cfg_scenario,scen_cols,0))</f>
        <v/>
      </c>
      <c r="AB21" s="89">
        <f>INDEX(scen_buyback,MATCH(cfg_scenario,scen_cols,0))</f>
        <v/>
      </c>
      <c r="AC21" s="89">
        <f>INDEX(scen_buyback,MATCH(cfg_scenario,scen_cols,0))</f>
        <v/>
      </c>
      <c r="AD21" s="89">
        <f>INDEX(scen_buyback,MATCH(cfg_scenario,scen_cols,0))</f>
        <v/>
      </c>
      <c r="AE21" s="89">
        <f>INDEX(scen_buyback,MATCH(cfg_scenario,scen_cols,0))</f>
        <v/>
      </c>
      <c r="AF21" s="89">
        <f>INDEX(scen_buyback,MATCH(cfg_scenario,scen_cols,0))</f>
        <v/>
      </c>
      <c r="AG21" s="89">
        <f>INDEX(scen_buyback,MATCH(cfg_scenario,scen_cols,0))</f>
        <v/>
      </c>
      <c r="AH21" s="89">
        <f>INDEX(scen_buyback,MATCH(cfg_scenario,scen_cols,0))</f>
        <v/>
      </c>
      <c r="AI21" s="89">
        <f>INDEX(scen_buyback,MATCH(cfg_scenario,scen_cols,0))</f>
        <v/>
      </c>
      <c r="AJ21" s="89">
        <f>INDEX(scen_buyback,MATCH(cfg_scenario,scen_cols,0))</f>
        <v/>
      </c>
    </row>
    <row r="22" ht="15" customHeight="1" s="62">
      <c r="A22" s="86" t="inlineStr">
        <is>
          <t>Net PP&amp;E (within NOA)</t>
        </is>
      </c>
      <c r="C22" s="101">
        <f>INDEX(es_ppe,MATCH(C$5,es_years,0))</f>
        <v/>
      </c>
      <c r="D22" s="101">
        <f>INDEX(es_ppe,MATCH(D$5,es_years,0))</f>
        <v/>
      </c>
      <c r="E22" s="101">
        <f>INDEX(es_ppe,MATCH(E$5,es_years,0))</f>
        <v/>
      </c>
      <c r="F22" s="101">
        <f>anchor_real_net_ppe</f>
        <v/>
      </c>
      <c r="G22" s="101">
        <f>F22+G23-G13</f>
        <v/>
      </c>
      <c r="H22" s="101">
        <f>G22+H23-H13</f>
        <v/>
      </c>
      <c r="I22" s="101">
        <f>H22+I23-I13</f>
        <v/>
      </c>
      <c r="J22" s="101">
        <f>I22+J23-J13</f>
        <v/>
      </c>
      <c r="K22" s="101">
        <f>J22+K23-K13</f>
        <v/>
      </c>
      <c r="L22" s="101">
        <f>K22+L23-L13</f>
        <v/>
      </c>
      <c r="M22" s="101">
        <f>L22+M23-M13</f>
        <v/>
      </c>
      <c r="N22" s="101">
        <f>M22+N23-N13</f>
        <v/>
      </c>
      <c r="O22" s="101">
        <f>N22+O23-O13</f>
        <v/>
      </c>
      <c r="P22" s="101">
        <f>O22+P23-P13</f>
        <v/>
      </c>
      <c r="Q22" s="101">
        <f>P22+Q23-Q13</f>
        <v/>
      </c>
      <c r="R22" s="101">
        <f>Q22+R23-R13</f>
        <v/>
      </c>
      <c r="S22" s="101">
        <f>R22+S23-S13</f>
        <v/>
      </c>
      <c r="T22" s="86">
        <f>S22+T23-T13</f>
        <v/>
      </c>
      <c r="U22" s="86">
        <f>T22+U23-U13</f>
        <v/>
      </c>
      <c r="V22" s="86">
        <f>U22+V23-V13</f>
        <v/>
      </c>
      <c r="W22" s="86">
        <f>V22+W23-W13</f>
        <v/>
      </c>
      <c r="X22" s="86">
        <f>W22+X23-X13</f>
        <v/>
      </c>
      <c r="Y22" s="86">
        <f>X22+Y23-Y13</f>
        <v/>
      </c>
      <c r="Z22" s="86">
        <f>Y22+Z23-Z13</f>
        <v/>
      </c>
      <c r="AA22" s="86">
        <f>Z22+AA23-AA13</f>
        <v/>
      </c>
      <c r="AB22" s="86">
        <f>AA22+AB23-AB13</f>
        <v/>
      </c>
      <c r="AC22" s="86">
        <f>AB22+AC23-AC13</f>
        <v/>
      </c>
      <c r="AD22" s="86">
        <f>AC22+AD23-AD13</f>
        <v/>
      </c>
      <c r="AE22" s="86">
        <f>AD22+AE23-AE13</f>
        <v/>
      </c>
      <c r="AF22" s="86">
        <f>AE22+AF23-AF13</f>
        <v/>
      </c>
      <c r="AG22" s="86">
        <f>AF22+AG23-AG13</f>
        <v/>
      </c>
      <c r="AH22" s="86">
        <f>AG22+AH23-AH13</f>
        <v/>
      </c>
      <c r="AI22" s="86">
        <f>AH22+AI23-AI13</f>
        <v/>
      </c>
      <c r="AJ22" s="86">
        <f>AI22+AJ23-AJ13</f>
        <v/>
      </c>
    </row>
    <row r="23" ht="15" customHeight="1" s="62">
      <c r="A23" s="86" t="inlineStr">
        <is>
          <t xml:space="preserve">  capital expenditure</t>
        </is>
      </c>
      <c r="G23" s="101">
        <f>G36*G7</f>
        <v/>
      </c>
      <c r="H23" s="101">
        <f>H36*H7</f>
        <v/>
      </c>
      <c r="I23" s="101">
        <f>I36*I7</f>
        <v/>
      </c>
      <c r="J23" s="101">
        <f>J36*J7</f>
        <v/>
      </c>
      <c r="K23" s="101">
        <f>K36*K7</f>
        <v/>
      </c>
      <c r="L23" s="101">
        <f>L36*L7</f>
        <v/>
      </c>
      <c r="M23" s="101">
        <f>M36*M7</f>
        <v/>
      </c>
      <c r="N23" s="101">
        <f>N36*N7</f>
        <v/>
      </c>
      <c r="O23" s="101">
        <f>O36*O7</f>
        <v/>
      </c>
      <c r="P23" s="101">
        <f>P36*P7</f>
        <v/>
      </c>
      <c r="Q23" s="101">
        <f>Q36*Q7</f>
        <v/>
      </c>
      <c r="R23" s="101">
        <f>R36*R7</f>
        <v/>
      </c>
      <c r="S23" s="101">
        <f>S36*S7</f>
        <v/>
      </c>
      <c r="T23" s="86">
        <f>T36*T7</f>
        <v/>
      </c>
      <c r="U23" s="86">
        <f>U36*U7</f>
        <v/>
      </c>
      <c r="V23" s="86">
        <f>V36*V7</f>
        <v/>
      </c>
      <c r="W23" s="86">
        <f>W36*W7</f>
        <v/>
      </c>
      <c r="X23" s="86">
        <f>X36*X7</f>
        <v/>
      </c>
      <c r="Y23" s="86">
        <f>Y36*Y7</f>
        <v/>
      </c>
      <c r="Z23" s="86">
        <f>Z36*Z7</f>
        <v/>
      </c>
      <c r="AA23" s="86">
        <f>AA36*AA7</f>
        <v/>
      </c>
      <c r="AB23" s="86">
        <f>AB36*AB7</f>
        <v/>
      </c>
      <c r="AC23" s="86">
        <f>AC36*AC7</f>
        <v/>
      </c>
      <c r="AD23" s="86">
        <f>AD36*AD7</f>
        <v/>
      </c>
      <c r="AE23" s="86">
        <f>AE36*AE7</f>
        <v/>
      </c>
      <c r="AF23" s="86">
        <f>AF36*AF7</f>
        <v/>
      </c>
      <c r="AG23" s="86">
        <f>AG36*AG7</f>
        <v/>
      </c>
      <c r="AH23" s="86">
        <f>AH36*AH7</f>
        <v/>
      </c>
      <c r="AI23" s="86">
        <f>AI36*AI7</f>
        <v/>
      </c>
      <c r="AJ23" s="86">
        <f>AJ36*AJ7</f>
        <v/>
      </c>
    </row>
    <row r="24" ht="15" customHeight="1" s="62">
      <c r="A24" s="86" t="inlineStr">
        <is>
          <t>Net operating assets (NOA)</t>
        </is>
      </c>
      <c r="C24" s="101">
        <f>INDEX(es_noa,MATCH(C$5,es_years,0))</f>
        <v/>
      </c>
      <c r="D24" s="101">
        <f>INDEX(es_noa,MATCH(D$5,es_years,0))</f>
        <v/>
      </c>
      <c r="E24" s="101">
        <f>INDEX(es_noa,MATCH(E$5,es_years,0))</f>
        <v/>
      </c>
      <c r="F24" s="101">
        <f>anchor_real_noa0</f>
        <v/>
      </c>
      <c r="G24" s="101">
        <f>IF(cfg_mode="Enterprise",F24*(1+G50),G27+G25)</f>
        <v/>
      </c>
      <c r="H24" s="101">
        <f>IF(cfg_mode="Enterprise",G24*(1+H50),H27+H25)</f>
        <v/>
      </c>
      <c r="I24" s="101">
        <f>IF(cfg_mode="Enterprise",H24*(1+I50),I27+I25)</f>
        <v/>
      </c>
      <c r="J24" s="101">
        <f>IF(cfg_mode="Enterprise",I24*(1+J50),J27+J25)</f>
        <v/>
      </c>
      <c r="K24" s="101">
        <f>IF(cfg_mode="Enterprise",J24*(1+K50),K27+K25)</f>
        <v/>
      </c>
      <c r="L24" s="101">
        <f>IF(cfg_mode="Enterprise",K24*(1+L50),L27+L25)</f>
        <v/>
      </c>
      <c r="M24" s="101">
        <f>IF(cfg_mode="Enterprise",L24*(1+M50),M27+M25)</f>
        <v/>
      </c>
      <c r="N24" s="101">
        <f>IF(cfg_mode="Enterprise",M24*(1+N50),N27+N25)</f>
        <v/>
      </c>
      <c r="O24" s="101">
        <f>IF(cfg_mode="Enterprise",N24*(1+O50),O27+O25)</f>
        <v/>
      </c>
      <c r="P24" s="101">
        <f>IF(cfg_mode="Enterprise",O24*(1+P50),P27+P25)</f>
        <v/>
      </c>
      <c r="Q24" s="101">
        <f>IF(cfg_mode="Enterprise",P24*(1+Q50),Q27+Q25)</f>
        <v/>
      </c>
      <c r="R24" s="101">
        <f>IF(cfg_mode="Enterprise",Q24*(1+R50),R27+R25)</f>
        <v/>
      </c>
      <c r="S24" s="101">
        <f>IF(cfg_mode="Enterprise",R24*(1+S50),S27+S25)</f>
        <v/>
      </c>
      <c r="T24" s="86">
        <f>IF(cfg_mode="Enterprise",S24*(1+T50),T27+T25)</f>
        <v/>
      </c>
      <c r="U24" s="86">
        <f>IF(cfg_mode="Enterprise",T24*(1+U50),U27+U25)</f>
        <v/>
      </c>
      <c r="V24" s="86">
        <f>IF(cfg_mode="Enterprise",U24*(1+V50),V27+V25)</f>
        <v/>
      </c>
      <c r="W24" s="86">
        <f>IF(cfg_mode="Enterprise",V24*(1+W50),W27+W25)</f>
        <v/>
      </c>
      <c r="X24" s="86">
        <f>IF(cfg_mode="Enterprise",W24*(1+X50),X27+X25)</f>
        <v/>
      </c>
      <c r="Y24" s="86">
        <f>IF(cfg_mode="Enterprise",X24*(1+Y50),Y27+Y25)</f>
        <v/>
      </c>
      <c r="Z24" s="86">
        <f>IF(cfg_mode="Enterprise",Y24*(1+Z50),Z27+Z25)</f>
        <v/>
      </c>
      <c r="AA24" s="86">
        <f>IF(cfg_mode="Enterprise",Z24*(1+AA50),AA27+AA25)</f>
        <v/>
      </c>
      <c r="AB24" s="86">
        <f>IF(cfg_mode="Enterprise",AA24*(1+AB50),AB27+AB25)</f>
        <v/>
      </c>
      <c r="AC24" s="86">
        <f>IF(cfg_mode="Enterprise",AB24*(1+AC50),AC27+AC25)</f>
        <v/>
      </c>
      <c r="AD24" s="86">
        <f>IF(cfg_mode="Enterprise",AC24*(1+AD50),AD27+AD25)</f>
        <v/>
      </c>
      <c r="AE24" s="86">
        <f>IF(cfg_mode="Enterprise",AD24*(1+AE50),AE27+AE25)</f>
        <v/>
      </c>
      <c r="AF24" s="86">
        <f>IF(cfg_mode="Enterprise",AE24*(1+AF50),AF27+AF25)</f>
        <v/>
      </c>
      <c r="AG24" s="86">
        <f>IF(cfg_mode="Enterprise",AF24*(1+AG50),AG27+AG25)</f>
        <v/>
      </c>
      <c r="AH24" s="86">
        <f>IF(cfg_mode="Enterprise",AG24*(1+AH50),AH27+AH25)</f>
        <v/>
      </c>
      <c r="AI24" s="86">
        <f>IF(cfg_mode="Enterprise",AH24*(1+AI50),AI27+AI25)</f>
        <v/>
      </c>
      <c r="AJ24" s="86">
        <f>IF(cfg_mode="Enterprise",AI24*(1+AJ50),AJ27+AJ25)</f>
        <v/>
      </c>
    </row>
    <row r="25" ht="15" customHeight="1" s="62">
      <c r="A25" s="83" t="inlineStr">
        <is>
          <t xml:space="preserve">  NFO  (financed by)</t>
        </is>
      </c>
      <c r="C25" s="101">
        <f>INDEX(es_nfo,MATCH(C$5,es_years,0))</f>
        <v/>
      </c>
      <c r="D25" s="101">
        <f>INDEX(es_nfo,MATCH(D$5,es_years,0))</f>
        <v/>
      </c>
      <c r="E25" s="101">
        <f>INDEX(es_nfo,MATCH(E$5,es_years,0))</f>
        <v/>
      </c>
      <c r="F25" s="101">
        <f>anchor_real_nfo0</f>
        <v/>
      </c>
      <c r="G25" s="101">
        <f>IF(cfg_mode="Enterprise",IF(cfg_funding="Target FLEV",G24*G51/(1+G51),F25+G51*(G24-F24)),G51*G27)</f>
        <v/>
      </c>
      <c r="H25" s="101">
        <f>IF(cfg_mode="Enterprise",IF(cfg_funding="Target FLEV",H24*H51/(1+H51),G25+H51*(H24-G24)),H51*H27)</f>
        <v/>
      </c>
      <c r="I25" s="101">
        <f>IF(cfg_mode="Enterprise",IF(cfg_funding="Target FLEV",I24*I51/(1+I51),H25+I51*(I24-H24)),I51*I27)</f>
        <v/>
      </c>
      <c r="J25" s="101">
        <f>IF(cfg_mode="Enterprise",IF(cfg_funding="Target FLEV",J24*J51/(1+J51),I25+J51*(J24-I24)),J51*J27)</f>
        <v/>
      </c>
      <c r="K25" s="101">
        <f>IF(cfg_mode="Enterprise",IF(cfg_funding="Target FLEV",K24*K51/(1+K51),J25+K51*(K24-J24)),K51*K27)</f>
        <v/>
      </c>
      <c r="L25" s="101">
        <f>IF(cfg_mode="Enterprise",IF(cfg_funding="Target FLEV",L24*L51/(1+L51),K25+L51*(L24-K24)),L51*L27)</f>
        <v/>
      </c>
      <c r="M25" s="101">
        <f>IF(cfg_mode="Enterprise",IF(cfg_funding="Target FLEV",M24*M51/(1+M51),L25+M51*(M24-L24)),M51*M27)</f>
        <v/>
      </c>
      <c r="N25" s="101">
        <f>IF(cfg_mode="Enterprise",IF(cfg_funding="Target FLEV",N24*N51/(1+N51),M25+N51*(N24-M24)),N51*N27)</f>
        <v/>
      </c>
      <c r="O25" s="101">
        <f>IF(cfg_mode="Enterprise",IF(cfg_funding="Target FLEV",O24*O51/(1+O51),N25+O51*(O24-N24)),O51*O27)</f>
        <v/>
      </c>
      <c r="P25" s="101">
        <f>IF(cfg_mode="Enterprise",IF(cfg_funding="Target FLEV",P24*P51/(1+P51),O25+P51*(P24-O24)),P51*P27)</f>
        <v/>
      </c>
      <c r="Q25" s="101">
        <f>IF(cfg_mode="Enterprise",IF(cfg_funding="Target FLEV",Q24*Q51/(1+Q51),P25+Q51*(Q24-P24)),Q51*Q27)</f>
        <v/>
      </c>
      <c r="R25" s="101">
        <f>IF(cfg_mode="Enterprise",IF(cfg_funding="Target FLEV",R24*R51/(1+R51),Q25+R51*(R24-Q24)),R51*R27)</f>
        <v/>
      </c>
      <c r="S25" s="101">
        <f>IF(cfg_mode="Enterprise",IF(cfg_funding="Target FLEV",S24*S51/(1+S51),R25+S51*(S24-R24)),S51*S27)</f>
        <v/>
      </c>
      <c r="T25" s="86">
        <f>IF(cfg_mode="Enterprise",IF(cfg_funding="Target FLEV",T24*T51/(1+T51),S25+T51*(T24-S24)),T51*T27)</f>
        <v/>
      </c>
      <c r="U25" s="86">
        <f>IF(cfg_mode="Enterprise",IF(cfg_funding="Target FLEV",U24*U51/(1+U51),T25+U51*(U24-T24)),U51*U27)</f>
        <v/>
      </c>
      <c r="V25" s="86">
        <f>IF(cfg_mode="Enterprise",IF(cfg_funding="Target FLEV",V24*V51/(1+V51),U25+V51*(V24-U24)),V51*V27)</f>
        <v/>
      </c>
      <c r="W25" s="86">
        <f>IF(cfg_mode="Enterprise",IF(cfg_funding="Target FLEV",W24*W51/(1+W51),V25+W51*(W24-V24)),W51*W27)</f>
        <v/>
      </c>
      <c r="X25" s="86">
        <f>IF(cfg_mode="Enterprise",IF(cfg_funding="Target FLEV",X24*X51/(1+X51),W25+X51*(X24-W24)),X51*X27)</f>
        <v/>
      </c>
      <c r="Y25" s="86">
        <f>IF(cfg_mode="Enterprise",IF(cfg_funding="Target FLEV",Y24*Y51/(1+Y51),X25+Y51*(Y24-X24)),Y51*Y27)</f>
        <v/>
      </c>
      <c r="Z25" s="86">
        <f>IF(cfg_mode="Enterprise",IF(cfg_funding="Target FLEV",Z24*Z51/(1+Z51),Y25+Z51*(Z24-Y24)),Z51*Z27)</f>
        <v/>
      </c>
      <c r="AA25" s="86">
        <f>IF(cfg_mode="Enterprise",IF(cfg_funding="Target FLEV",AA24*AA51/(1+AA51),Z25+AA51*(AA24-Z24)),AA51*AA27)</f>
        <v/>
      </c>
      <c r="AB25" s="86">
        <f>IF(cfg_mode="Enterprise",IF(cfg_funding="Target FLEV",AB24*AB51/(1+AB51),AA25+AB51*(AB24-AA24)),AB51*AB27)</f>
        <v/>
      </c>
      <c r="AC25" s="86">
        <f>IF(cfg_mode="Enterprise",IF(cfg_funding="Target FLEV",AC24*AC51/(1+AC51),AB25+AC51*(AC24-AB24)),AC51*AC27)</f>
        <v/>
      </c>
      <c r="AD25" s="86">
        <f>IF(cfg_mode="Enterprise",IF(cfg_funding="Target FLEV",AD24*AD51/(1+AD51),AC25+AD51*(AD24-AC24)),AD51*AD27)</f>
        <v/>
      </c>
      <c r="AE25" s="86">
        <f>IF(cfg_mode="Enterprise",IF(cfg_funding="Target FLEV",AE24*AE51/(1+AE51),AD25+AE51*(AE24-AD24)),AE51*AE27)</f>
        <v/>
      </c>
      <c r="AF25" s="86">
        <f>IF(cfg_mode="Enterprise",IF(cfg_funding="Target FLEV",AF24*AF51/(1+AF51),AE25+AF51*(AF24-AE24)),AF51*AF27)</f>
        <v/>
      </c>
      <c r="AG25" s="86">
        <f>IF(cfg_mode="Enterprise",IF(cfg_funding="Target FLEV",AG24*AG51/(1+AG51),AF25+AG51*(AG24-AF24)),AG51*AG27)</f>
        <v/>
      </c>
      <c r="AH25" s="86">
        <f>IF(cfg_mode="Enterprise",IF(cfg_funding="Target FLEV",AH24*AH51/(1+AH51),AG25+AH51*(AH24-AG24)),AH51*AH27)</f>
        <v/>
      </c>
      <c r="AI25" s="86">
        <f>IF(cfg_mode="Enterprise",IF(cfg_funding="Target FLEV",AI24*AI51/(1+AI51),AH25+AI51*(AI24-AH24)),AI51*AI27)</f>
        <v/>
      </c>
      <c r="AJ25" s="86">
        <f>IF(cfg_mode="Enterprise",IF(cfg_funding="Target FLEV",AJ24*AJ51/(1+AJ51),AI25+AJ51*(AJ24-AI24)),AJ51*AJ27)</f>
        <v/>
      </c>
    </row>
    <row r="27" ht="15" customHeight="1" s="62">
      <c r="A27" s="86" t="inlineStr">
        <is>
          <t xml:space="preserve">  CSE = NOA − NFO  (equity: clean-surplus roll)</t>
        </is>
      </c>
      <c r="C27" s="101">
        <f>INDEX(es_cse,MATCH(C$5,es_years,0))</f>
        <v/>
      </c>
      <c r="D27" s="101">
        <f>INDEX(es_cse,MATCH(D$5,es_years,0))</f>
        <v/>
      </c>
      <c r="E27" s="101">
        <f>INDEX(es_cse,MATCH(E$5,es_years,0))</f>
        <v/>
      </c>
      <c r="F27" s="101">
        <f>anchor_real_cse0</f>
        <v/>
      </c>
      <c r="G27" s="101">
        <f>IF(cfg_mode="Enterprise",G24-G25,F27+G19-G29*G20-G31)</f>
        <v/>
      </c>
      <c r="H27" s="101">
        <f>IF(cfg_mode="Enterprise",H24-H25,G27+H19-H29*H20-H31)</f>
        <v/>
      </c>
      <c r="I27" s="101">
        <f>IF(cfg_mode="Enterprise",I24-I25,H27+I19-I29*I20-I31)</f>
        <v/>
      </c>
      <c r="J27" s="101">
        <f>IF(cfg_mode="Enterprise",J24-J25,I27+J19-J29*J20-J31)</f>
        <v/>
      </c>
      <c r="K27" s="101">
        <f>IF(cfg_mode="Enterprise",K24-K25,J27+K19-K29*K20-K31)</f>
        <v/>
      </c>
      <c r="L27" s="101">
        <f>IF(cfg_mode="Enterprise",L24-L25,K27+L19-L29*L20-L31)</f>
        <v/>
      </c>
      <c r="M27" s="101">
        <f>IF(cfg_mode="Enterprise",M24-M25,L27+M19-M29*M20-M31)</f>
        <v/>
      </c>
      <c r="N27" s="101">
        <f>IF(cfg_mode="Enterprise",N24-N25,M27+N19-N29*N20-N31)</f>
        <v/>
      </c>
      <c r="O27" s="101">
        <f>IF(cfg_mode="Enterprise",O24-O25,N27+O19-O29*O20-O31)</f>
        <v/>
      </c>
      <c r="P27" s="101">
        <f>IF(cfg_mode="Enterprise",P24-P25,O27+P19-P29*P20-P31)</f>
        <v/>
      </c>
      <c r="Q27" s="101">
        <f>IF(cfg_mode="Enterprise",Q24-Q25,P27+Q19-Q29*Q20-Q31)</f>
        <v/>
      </c>
      <c r="R27" s="101">
        <f>IF(cfg_mode="Enterprise",R24-R25,Q27+R19-R29*R20-R31)</f>
        <v/>
      </c>
      <c r="S27" s="101">
        <f>IF(cfg_mode="Enterprise",S24-S25,R27+S19-S29*S20-S31)</f>
        <v/>
      </c>
      <c r="T27" s="86">
        <f>IF(cfg_mode="Enterprise",T24-T25,S27+T19-T29*T20-T31)</f>
        <v/>
      </c>
      <c r="U27" s="86">
        <f>IF(cfg_mode="Enterprise",U24-U25,T27+U19-U29*U20-U31)</f>
        <v/>
      </c>
      <c r="V27" s="86">
        <f>IF(cfg_mode="Enterprise",V24-V25,U27+V19-V29*V20-V31)</f>
        <v/>
      </c>
      <c r="W27" s="86">
        <f>IF(cfg_mode="Enterprise",W24-W25,V27+W19-W29*W20-W31)</f>
        <v/>
      </c>
      <c r="X27" s="86">
        <f>IF(cfg_mode="Enterprise",X24-X25,W27+X19-X29*X20-X31)</f>
        <v/>
      </c>
      <c r="Y27" s="86">
        <f>IF(cfg_mode="Enterprise",Y24-Y25,X27+Y19-Y29*Y20-Y31)</f>
        <v/>
      </c>
      <c r="Z27" s="86">
        <f>IF(cfg_mode="Enterprise",Z24-Z25,Y27+Z19-Z29*Z20-Z31)</f>
        <v/>
      </c>
      <c r="AA27" s="86">
        <f>IF(cfg_mode="Enterprise",AA24-AA25,Z27+AA19-AA29*AA20-AA31)</f>
        <v/>
      </c>
      <c r="AB27" s="86">
        <f>IF(cfg_mode="Enterprise",AB24-AB25,AA27+AB19-AB29*AB20-AB31)</f>
        <v/>
      </c>
      <c r="AC27" s="86">
        <f>IF(cfg_mode="Enterprise",AC24-AC25,AB27+AC19-AC29*AC20-AC31)</f>
        <v/>
      </c>
      <c r="AD27" s="86">
        <f>IF(cfg_mode="Enterprise",AD24-AD25,AC27+AD19-AD29*AD20-AD31)</f>
        <v/>
      </c>
      <c r="AE27" s="86">
        <f>IF(cfg_mode="Enterprise",AE24-AE25,AD27+AE19-AE29*AE20-AE31)</f>
        <v/>
      </c>
      <c r="AF27" s="86">
        <f>IF(cfg_mode="Enterprise",AF24-AF25,AE27+AF19-AF29*AF20-AF31)</f>
        <v/>
      </c>
      <c r="AG27" s="86">
        <f>IF(cfg_mode="Enterprise",AG24-AG25,AF27+AG19-AG29*AG20-AG31)</f>
        <v/>
      </c>
      <c r="AH27" s="86">
        <f>IF(cfg_mode="Enterprise",AH24-AH25,AG27+AH19-AH29*AH20-AH31)</f>
        <v/>
      </c>
      <c r="AI27" s="86">
        <f>IF(cfg_mode="Enterprise",AI24-AI25,AH27+AI19-AI29*AI20-AI31)</f>
        <v/>
      </c>
      <c r="AJ27" s="86">
        <f>IF(cfg_mode="Enterprise",AJ24-AJ25,AI27+AJ19-AJ29*AJ20-AJ31)</f>
        <v/>
      </c>
    </row>
    <row r="28" ht="15" customHeight="1" s="62">
      <c r="A28" s="86" t="inlineStr">
        <is>
          <t>FLEV target / funding policy δ  [E-driver]</t>
        </is>
      </c>
      <c r="F28" s="105">
        <f>anchor_real_nfo0/anchor_real_cse0</f>
        <v/>
      </c>
    </row>
    <row r="29" ht="15" customHeight="1" s="62">
      <c r="A29" s="86" t="inlineStr">
        <is>
          <t>Dividends per share (DPS)</t>
        </is>
      </c>
      <c r="F29" s="106">
        <f>anchor_dps0*INDEX(md_deflator,MATCH(in_anchor_year&amp;"",md_years,0))</f>
        <v/>
      </c>
      <c r="G29" s="106">
        <f>IF(cfg_mode="Enterprise",IF(G20=0,0,(G19-(G27-F27)-G31)/G20),in_payout_seed*G30)</f>
        <v/>
      </c>
      <c r="H29" s="106">
        <f>IF(cfg_mode="Enterprise",IF(H20=0,0,(H19-(H27-G27)-H31)/H20),in_payout_seed*H30)</f>
        <v/>
      </c>
      <c r="I29" s="106">
        <f>IF(cfg_mode="Enterprise",IF(I20=0,0,(I19-(I27-H27)-I31)/I20),in_payout_seed*I30)</f>
        <v/>
      </c>
      <c r="J29" s="106">
        <f>IF(cfg_mode="Enterprise",IF(J20=0,0,(J19-(J27-I27)-J31)/J20),in_payout_seed*J30)</f>
        <v/>
      </c>
      <c r="K29" s="106">
        <f>IF(cfg_mode="Enterprise",IF(K20=0,0,(K19-(K27-J27)-K31)/K20),in_payout_seed*K30)</f>
        <v/>
      </c>
      <c r="L29" s="106">
        <f>IF(cfg_mode="Enterprise",IF(L20=0,0,(L19-(L27-K27)-L31)/L20),in_payout_seed*L30)</f>
        <v/>
      </c>
      <c r="M29" s="106">
        <f>IF(cfg_mode="Enterprise",IF(M20=0,0,(M19-(M27-L27)-M31)/M20),in_payout_seed*M30)</f>
        <v/>
      </c>
      <c r="N29" s="106">
        <f>IF(cfg_mode="Enterprise",IF(N20=0,0,(N19-(N27-M27)-N31)/N20),in_payout_seed*N30)</f>
        <v/>
      </c>
      <c r="O29" s="106">
        <f>IF(cfg_mode="Enterprise",IF(O20=0,0,(O19-(O27-N27)-O31)/O20),in_payout_seed*O30)</f>
        <v/>
      </c>
      <c r="P29" s="106">
        <f>IF(cfg_mode="Enterprise",IF(P20=0,0,(P19-(P27-O27)-P31)/P20),in_payout_seed*P30)</f>
        <v/>
      </c>
      <c r="Q29" s="106">
        <f>IF(cfg_mode="Enterprise",IF(Q20=0,0,(Q19-(Q27-P27)-Q31)/Q20),in_payout_seed*Q30)</f>
        <v/>
      </c>
      <c r="R29" s="106">
        <f>IF(cfg_mode="Enterprise",IF(R20=0,0,(R19-(R27-Q27)-R31)/R20),in_payout_seed*R30)</f>
        <v/>
      </c>
      <c r="S29" s="106">
        <f>IF(cfg_mode="Enterprise",IF(S20=0,0,(S19-(S27-R27)-S31)/S20),in_payout_seed*S30)</f>
        <v/>
      </c>
      <c r="T29" s="86">
        <f>IF(cfg_mode="Enterprise",IF(T20=0,0,(T19-(T27-S27)-T31)/T20),in_payout_seed*T30)</f>
        <v/>
      </c>
      <c r="U29" s="86">
        <f>IF(cfg_mode="Enterprise",IF(U20=0,0,(U19-(U27-T27)-U31)/U20),in_payout_seed*U30)</f>
        <v/>
      </c>
      <c r="V29" s="86">
        <f>IF(cfg_mode="Enterprise",IF(V20=0,0,(V19-(V27-U27)-V31)/V20),in_payout_seed*V30)</f>
        <v/>
      </c>
      <c r="W29" s="86">
        <f>IF(cfg_mode="Enterprise",IF(W20=0,0,(W19-(W27-V27)-W31)/W20),in_payout_seed*W30)</f>
        <v/>
      </c>
      <c r="X29" s="86">
        <f>IF(cfg_mode="Enterprise",IF(X20=0,0,(X19-(X27-W27)-X31)/X20),in_payout_seed*X30)</f>
        <v/>
      </c>
      <c r="Y29" s="86">
        <f>IF(cfg_mode="Enterprise",IF(Y20=0,0,(Y19-(Y27-X27)-Y31)/Y20),in_payout_seed*Y30)</f>
        <v/>
      </c>
      <c r="Z29" s="86">
        <f>IF(cfg_mode="Enterprise",IF(Z20=0,0,(Z19-(Z27-Y27)-Z31)/Z20),in_payout_seed*Z30)</f>
        <v/>
      </c>
      <c r="AA29" s="86">
        <f>IF(cfg_mode="Enterprise",IF(AA20=0,0,(AA19-(AA27-Z27)-AA31)/AA20),in_payout_seed*AA30)</f>
        <v/>
      </c>
      <c r="AB29" s="86">
        <f>IF(cfg_mode="Enterprise",IF(AB20=0,0,(AB19-(AB27-AA27)-AB31)/AB20),in_payout_seed*AB30)</f>
        <v/>
      </c>
      <c r="AC29" s="86">
        <f>IF(cfg_mode="Enterprise",IF(AC20=0,0,(AC19-(AC27-AB27)-AC31)/AC20),in_payout_seed*AC30)</f>
        <v/>
      </c>
      <c r="AD29" s="86">
        <f>IF(cfg_mode="Enterprise",IF(AD20=0,0,(AD19-(AD27-AC27)-AD31)/AD20),in_payout_seed*AD30)</f>
        <v/>
      </c>
      <c r="AE29" s="86">
        <f>IF(cfg_mode="Enterprise",IF(AE20=0,0,(AE19-(AE27-AD27)-AE31)/AE20),in_payout_seed*AE30)</f>
        <v/>
      </c>
      <c r="AF29" s="86">
        <f>IF(cfg_mode="Enterprise",IF(AF20=0,0,(AF19-(AF27-AE27)-AF31)/AF20),in_payout_seed*AF30)</f>
        <v/>
      </c>
      <c r="AG29" s="86">
        <f>IF(cfg_mode="Enterprise",IF(AG20=0,0,(AG19-(AG27-AF27)-AG31)/AG20),in_payout_seed*AG30)</f>
        <v/>
      </c>
      <c r="AH29" s="86">
        <f>IF(cfg_mode="Enterprise",IF(AH20=0,0,(AH19-(AH27-AG27)-AH31)/AH20),in_payout_seed*AH30)</f>
        <v/>
      </c>
      <c r="AI29" s="86">
        <f>IF(cfg_mode="Enterprise",IF(AI20=0,0,(AI19-(AI27-AH27)-AI31)/AI20),in_payout_seed*AI30)</f>
        <v/>
      </c>
      <c r="AJ29" s="86">
        <f>IF(cfg_mode="Enterprise",IF(AJ20=0,0,(AJ19-(AJ27-AI27)-AJ31)/AJ20),in_payout_seed*AJ30)</f>
        <v/>
      </c>
    </row>
    <row r="30" ht="15" customHeight="1" s="62">
      <c r="A30" s="86" t="inlineStr">
        <is>
          <t>Earnings per share (EPS = NI ÷ shares)</t>
        </is>
      </c>
      <c r="C30" s="106">
        <f>IF(C20=0,"",C19/C20)</f>
        <v/>
      </c>
      <c r="D30" s="106">
        <f>IF(D20=0,"",D19/D20)</f>
        <v/>
      </c>
      <c r="E30" s="106">
        <f>IF(E20=0,"",E19/E20)</f>
        <v/>
      </c>
      <c r="F30" s="106">
        <f>IF(F20=0,"",F19/F20)</f>
        <v/>
      </c>
      <c r="G30" s="106">
        <f>G19/G20</f>
        <v/>
      </c>
      <c r="H30" s="106">
        <f>H19/H20</f>
        <v/>
      </c>
      <c r="I30" s="106">
        <f>I19/I20</f>
        <v/>
      </c>
      <c r="J30" s="106">
        <f>J19/J20</f>
        <v/>
      </c>
      <c r="K30" s="106">
        <f>K19/K20</f>
        <v/>
      </c>
      <c r="L30" s="106">
        <f>L19/L20</f>
        <v/>
      </c>
      <c r="M30" s="106">
        <f>M19/M20</f>
        <v/>
      </c>
      <c r="N30" s="106">
        <f>N19/N20</f>
        <v/>
      </c>
      <c r="O30" s="106">
        <f>O19/O20</f>
        <v/>
      </c>
      <c r="P30" s="106">
        <f>P19/P20</f>
        <v/>
      </c>
      <c r="Q30" s="106">
        <f>Q19/Q20</f>
        <v/>
      </c>
      <c r="R30" s="106">
        <f>R19/R20</f>
        <v/>
      </c>
      <c r="S30" s="106">
        <f>S19/S20</f>
        <v/>
      </c>
      <c r="T30" s="86">
        <f>T19/T20</f>
        <v/>
      </c>
      <c r="U30" s="86">
        <f>U19/U20</f>
        <v/>
      </c>
      <c r="V30" s="86">
        <f>V19/V20</f>
        <v/>
      </c>
      <c r="W30" s="86">
        <f>W19/W20</f>
        <v/>
      </c>
      <c r="X30" s="86">
        <f>X19/X20</f>
        <v/>
      </c>
      <c r="Y30" s="86">
        <f>Y19/Y20</f>
        <v/>
      </c>
      <c r="Z30" s="86">
        <f>Z19/Z20</f>
        <v/>
      </c>
      <c r="AA30" s="86">
        <f>AA19/AA20</f>
        <v/>
      </c>
      <c r="AB30" s="86">
        <f>AB19/AB20</f>
        <v/>
      </c>
      <c r="AC30" s="86">
        <f>AC19/AC20</f>
        <v/>
      </c>
      <c r="AD30" s="86">
        <f>AD19/AD20</f>
        <v/>
      </c>
      <c r="AE30" s="86">
        <f>AE19/AE20</f>
        <v/>
      </c>
      <c r="AF30" s="86">
        <f>AF19/AF20</f>
        <v/>
      </c>
      <c r="AG30" s="86">
        <f>AG19/AG20</f>
        <v/>
      </c>
      <c r="AH30" s="86">
        <f>AH19/AH20</f>
        <v/>
      </c>
      <c r="AI30" s="86">
        <f>AI19/AI20</f>
        <v/>
      </c>
      <c r="AJ30" s="86">
        <f>AJ19/AJ20</f>
        <v/>
      </c>
    </row>
    <row r="31" ht="15" customHeight="1" s="62">
      <c r="A31" s="86" t="inlineStr">
        <is>
          <t>Share repurchases ($) = shares retired × price</t>
        </is>
      </c>
      <c r="F31" s="101" t="n">
        <v>0</v>
      </c>
      <c r="G31" s="101">
        <f>(F20-G20)*G32</f>
        <v/>
      </c>
      <c r="H31" s="101">
        <f>(G20-H20)*H32</f>
        <v/>
      </c>
      <c r="I31" s="101">
        <f>(H20-I20)*I32</f>
        <v/>
      </c>
      <c r="J31" s="101">
        <f>(I20-J20)*J32</f>
        <v/>
      </c>
      <c r="K31" s="101">
        <f>(J20-K20)*K32</f>
        <v/>
      </c>
      <c r="L31" s="101">
        <f>(K20-L20)*L32</f>
        <v/>
      </c>
      <c r="M31" s="101">
        <f>(L20-M20)*M32</f>
        <v/>
      </c>
      <c r="N31" s="101">
        <f>(M20-N20)*N32</f>
        <v/>
      </c>
      <c r="O31" s="101">
        <f>(N20-O20)*O32</f>
        <v/>
      </c>
      <c r="P31" s="101">
        <f>(O20-P20)*P32</f>
        <v/>
      </c>
      <c r="Q31" s="101">
        <f>(P20-Q20)*Q32</f>
        <v/>
      </c>
      <c r="R31" s="101">
        <f>(Q20-R20)*R32</f>
        <v/>
      </c>
      <c r="S31" s="101">
        <f>(R20-S20)*S32</f>
        <v/>
      </c>
      <c r="T31" s="86">
        <f>(S20-T20)*T32</f>
        <v/>
      </c>
      <c r="U31" s="86">
        <f>(T20-U20)*U32</f>
        <v/>
      </c>
      <c r="V31" s="86">
        <f>(U20-V20)*V32</f>
        <v/>
      </c>
      <c r="W31" s="86">
        <f>(V20-W20)*W32</f>
        <v/>
      </c>
      <c r="X31" s="86">
        <f>(W20-X20)*X32</f>
        <v/>
      </c>
      <c r="Y31" s="86">
        <f>(X20-Y20)*Y32</f>
        <v/>
      </c>
      <c r="Z31" s="86">
        <f>(Y20-Z20)*Z32</f>
        <v/>
      </c>
      <c r="AA31" s="86">
        <f>(Z20-AA20)*AA32</f>
        <v/>
      </c>
      <c r="AB31" s="86">
        <f>(AA20-AB20)*AB32</f>
        <v/>
      </c>
      <c r="AC31" s="86">
        <f>(AB20-AC20)*AC32</f>
        <v/>
      </c>
      <c r="AD31" s="86">
        <f>(AC20-AD20)*AD32</f>
        <v/>
      </c>
      <c r="AE31" s="86">
        <f>(AD20-AE20)*AE32</f>
        <v/>
      </c>
      <c r="AF31" s="86">
        <f>(AE20-AF20)*AF32</f>
        <v/>
      </c>
      <c r="AG31" s="86">
        <f>(AF20-AG20)*AG32</f>
        <v/>
      </c>
      <c r="AH31" s="86">
        <f>(AG20-AH20)*AH32</f>
        <v/>
      </c>
      <c r="AI31" s="86">
        <f>(AH20-AI20)*AI32</f>
        <v/>
      </c>
      <c r="AJ31" s="86">
        <f>(AI20-AJ20)*AJ32</f>
        <v/>
      </c>
    </row>
    <row r="32" ht="15" customHeight="1" s="62">
      <c r="A32" s="86" t="inlineStr">
        <is>
          <t xml:space="preserve">  share price (constant P/B, off prior book)</t>
        </is>
      </c>
      <c r="F32" s="92">
        <f>in_price*INDEX(md_deflator,MATCH(in_anchor_year&amp;"",md_years,0))</f>
        <v/>
      </c>
      <c r="G32" s="106">
        <f>$F$33*F27/F20</f>
        <v/>
      </c>
      <c r="H32" s="106">
        <f>$F$33*G27/G20</f>
        <v/>
      </c>
      <c r="I32" s="106">
        <f>$F$33*H27/H20</f>
        <v/>
      </c>
      <c r="J32" s="106">
        <f>$F$33*I27/I20</f>
        <v/>
      </c>
      <c r="K32" s="106">
        <f>$F$33*J27/J20</f>
        <v/>
      </c>
      <c r="L32" s="106">
        <f>$F$33*K27/K20</f>
        <v/>
      </c>
      <c r="M32" s="106">
        <f>$F$33*L27/L20</f>
        <v/>
      </c>
      <c r="N32" s="106">
        <f>$F$33*M27/M20</f>
        <v/>
      </c>
      <c r="O32" s="106">
        <f>$F$33*N27/N20</f>
        <v/>
      </c>
      <c r="P32" s="106">
        <f>$F$33*O27/O20</f>
        <v/>
      </c>
      <c r="Q32" s="106">
        <f>$F$33*P27/P20</f>
        <v/>
      </c>
      <c r="R32" s="106">
        <f>$F$33*Q27/Q20</f>
        <v/>
      </c>
      <c r="S32" s="106">
        <f>$F$33*R27/R20</f>
        <v/>
      </c>
      <c r="T32" s="86">
        <f>$F$33*S27/S20</f>
        <v/>
      </c>
      <c r="U32" s="86">
        <f>$F$33*T27/T20</f>
        <v/>
      </c>
      <c r="V32" s="86">
        <f>$F$33*U27/U20</f>
        <v/>
      </c>
      <c r="W32" s="86">
        <f>$F$33*V27/V20</f>
        <v/>
      </c>
      <c r="X32" s="86">
        <f>$F$33*W27/W20</f>
        <v/>
      </c>
      <c r="Y32" s="86">
        <f>$F$33*X27/X20</f>
        <v/>
      </c>
      <c r="Z32" s="86">
        <f>$F$33*Y27/Y20</f>
        <v/>
      </c>
      <c r="AA32" s="86">
        <f>$F$33*Z27/Z20</f>
        <v/>
      </c>
      <c r="AB32" s="86">
        <f>$F$33*AA27/AA20</f>
        <v/>
      </c>
      <c r="AC32" s="86">
        <f>$F$33*AB27/AB20</f>
        <v/>
      </c>
      <c r="AD32" s="86">
        <f>$F$33*AC27/AC20</f>
        <v/>
      </c>
      <c r="AE32" s="86">
        <f>$F$33*AD27/AD20</f>
        <v/>
      </c>
      <c r="AF32" s="86">
        <f>$F$33*AE27/AE20</f>
        <v/>
      </c>
      <c r="AG32" s="86">
        <f>$F$33*AF27/AF20</f>
        <v/>
      </c>
      <c r="AH32" s="86">
        <f>$F$33*AG27/AG20</f>
        <v/>
      </c>
      <c r="AI32" s="86">
        <f>$F$33*AH27/AH20</f>
        <v/>
      </c>
      <c r="AJ32" s="86">
        <f>$F$33*AI27/AI20</f>
        <v/>
      </c>
    </row>
    <row r="33" ht="15" customHeight="1" s="62">
      <c r="A33" s="86" t="inlineStr">
        <is>
          <t xml:space="preserve">  constant P/B  = real price0 / real book0</t>
        </is>
      </c>
      <c r="F33" s="105">
        <f>$F$32/($F$27/$F$20)</f>
        <v/>
      </c>
    </row>
    <row r="34">
      <c r="A34" s="61" t="inlineStr">
        <is>
          <t xml:space="preserve">  depreciation tax penalty (nominal) = t x (econ - tax) dep   &lt;STAGE B1&gt;</t>
        </is>
      </c>
      <c r="G34" s="61">
        <f>MAX(0,in_tax0*(G52-G49))</f>
        <v/>
      </c>
      <c r="H34" s="61">
        <f>MAX(0,in_tax0*(H52-H49))</f>
        <v/>
      </c>
      <c r="I34" s="61">
        <f>MAX(0,in_tax0*(I52-I49))</f>
        <v/>
      </c>
      <c r="J34" s="61">
        <f>MAX(0,in_tax0*(J52-J49))</f>
        <v/>
      </c>
      <c r="K34" s="61">
        <f>MAX(0,in_tax0*(K52-K49))</f>
        <v/>
      </c>
      <c r="L34" s="61">
        <f>MAX(0,in_tax0*(L52-L49))</f>
        <v/>
      </c>
      <c r="M34" s="61">
        <f>MAX(0,in_tax0*(M52-M49))</f>
        <v/>
      </c>
      <c r="N34" s="61">
        <f>MAX(0,in_tax0*(N52-N49))</f>
        <v/>
      </c>
      <c r="O34" s="61">
        <f>MAX(0,in_tax0*(O52-O49))</f>
        <v/>
      </c>
      <c r="P34" s="61">
        <f>MAX(0,in_tax0*(P52-P49))</f>
        <v/>
      </c>
      <c r="Q34" s="61">
        <f>MAX(0,in_tax0*(Q52-Q49))</f>
        <v/>
      </c>
      <c r="R34" s="61">
        <f>MAX(0,in_tax0*(R52-R49))</f>
        <v/>
      </c>
      <c r="S34" s="61">
        <f>MAX(0,in_tax0*(S52-S49))</f>
        <v/>
      </c>
      <c r="T34" s="61">
        <f>MAX(0,in_tax0*(T52-T49))</f>
        <v/>
      </c>
      <c r="U34" s="61">
        <f>MAX(0,in_tax0*(U52-U49))</f>
        <v/>
      </c>
      <c r="V34" s="61">
        <f>MAX(0,in_tax0*(V52-V49))</f>
        <v/>
      </c>
      <c r="W34" s="61">
        <f>MAX(0,in_tax0*(W52-W49))</f>
        <v/>
      </c>
      <c r="X34" s="61">
        <f>MAX(0,in_tax0*(X52-X49))</f>
        <v/>
      </c>
      <c r="Y34" s="61">
        <f>MAX(0,in_tax0*(Y52-Y49))</f>
        <v/>
      </c>
      <c r="Z34" s="61">
        <f>MAX(0,in_tax0*(Z52-Z49))</f>
        <v/>
      </c>
      <c r="AA34" s="61">
        <f>MAX(0,in_tax0*(AA52-AA49))</f>
        <v/>
      </c>
      <c r="AB34" s="61">
        <f>MAX(0,in_tax0*(AB52-AB49))</f>
        <v/>
      </c>
      <c r="AC34" s="61">
        <f>MAX(0,in_tax0*(AC52-AC49))</f>
        <v/>
      </c>
      <c r="AD34" s="61">
        <f>MAX(0,in_tax0*(AD52-AD49))</f>
        <v/>
      </c>
      <c r="AE34" s="61">
        <f>MAX(0,in_tax0*(AE52-AE49))</f>
        <v/>
      </c>
      <c r="AF34" s="61">
        <f>MAX(0,in_tax0*(AF52-AF49))</f>
        <v/>
      </c>
      <c r="AG34" s="61">
        <f>MAX(0,in_tax0*(AG52-AG49))</f>
        <v/>
      </c>
      <c r="AH34" s="61">
        <f>MAX(0,in_tax0*(AH52-AH49))</f>
        <v/>
      </c>
      <c r="AI34" s="61">
        <f>MAX(0,in_tax0*(AI52-AI49))</f>
        <v/>
      </c>
      <c r="AJ34" s="61">
        <f>MAX(0,in_tax0*(AJ52-AJ49))</f>
        <v/>
      </c>
    </row>
    <row r="35">
      <c r="A35" s="61" t="inlineStr">
        <is>
          <t xml:space="preserve">  depreciation tax penalty (real 2026$)  -&gt; charged to OI after tax   &lt;STAGE B1&gt;</t>
        </is>
      </c>
      <c r="G35" s="61">
        <f>G34/G38</f>
        <v/>
      </c>
      <c r="H35" s="61">
        <f>H34/H38</f>
        <v/>
      </c>
      <c r="I35" s="61">
        <f>I34/I38</f>
        <v/>
      </c>
      <c r="J35" s="61">
        <f>J34/J38</f>
        <v/>
      </c>
      <c r="K35" s="61">
        <f>K34/K38</f>
        <v/>
      </c>
      <c r="L35" s="61">
        <f>L34/L38</f>
        <v/>
      </c>
      <c r="M35" s="61">
        <f>M34/M38</f>
        <v/>
      </c>
      <c r="N35" s="61">
        <f>N34/N38</f>
        <v/>
      </c>
      <c r="O35" s="61">
        <f>O34/O38</f>
        <v/>
      </c>
      <c r="P35" s="61">
        <f>P34/P38</f>
        <v/>
      </c>
      <c r="Q35" s="61">
        <f>Q34/Q38</f>
        <v/>
      </c>
      <c r="R35" s="61">
        <f>R34/R38</f>
        <v/>
      </c>
      <c r="S35" s="61">
        <f>S34/S38</f>
        <v/>
      </c>
      <c r="T35" s="61">
        <f>T34/T38</f>
        <v/>
      </c>
      <c r="U35" s="61">
        <f>U34/U38</f>
        <v/>
      </c>
      <c r="V35" s="61">
        <f>V34/V38</f>
        <v/>
      </c>
      <c r="W35" s="61">
        <f>W34/W38</f>
        <v/>
      </c>
      <c r="X35" s="61">
        <f>X34/X38</f>
        <v/>
      </c>
      <c r="Y35" s="61">
        <f>Y34/Y38</f>
        <v/>
      </c>
      <c r="Z35" s="61">
        <f>Z34/Z38</f>
        <v/>
      </c>
      <c r="AA35" s="61">
        <f>AA34/AA38</f>
        <v/>
      </c>
      <c r="AB35" s="61">
        <f>AB34/AB38</f>
        <v/>
      </c>
      <c r="AC35" s="61">
        <f>AC34/AC38</f>
        <v/>
      </c>
      <c r="AD35" s="61">
        <f>AD34/AD38</f>
        <v/>
      </c>
      <c r="AE35" s="61">
        <f>AE34/AE38</f>
        <v/>
      </c>
      <c r="AF35" s="61">
        <f>AF34/AF38</f>
        <v/>
      </c>
      <c r="AG35" s="61">
        <f>AG34/AG38</f>
        <v/>
      </c>
      <c r="AH35" s="61">
        <f>AH34/AH38</f>
        <v/>
      </c>
      <c r="AI35" s="61">
        <f>AI34/AI38</f>
        <v/>
      </c>
      <c r="AJ35" s="61">
        <f>AJ34/AJ38</f>
        <v/>
      </c>
    </row>
    <row r="36" ht="15" customHeight="1" s="62">
      <c r="A36" s="86" t="inlineStr">
        <is>
          <t xml:space="preserve">  capex % of revenue  [driver]</t>
        </is>
      </c>
      <c r="F36" s="103">
        <f>IF($F$7=0,"",($F$22-$E$22+$F$13)/$F$7)</f>
        <v/>
      </c>
      <c r="G36" s="89">
        <f>$F$36</f>
        <v/>
      </c>
      <c r="H36" s="89">
        <f>$F$36</f>
        <v/>
      </c>
      <c r="I36" s="89">
        <f>$F$36</f>
        <v/>
      </c>
      <c r="J36" s="89">
        <f>$F$36</f>
        <v/>
      </c>
      <c r="K36" s="89">
        <f>$F$36</f>
        <v/>
      </c>
      <c r="L36" s="89">
        <f>$F$36</f>
        <v/>
      </c>
      <c r="M36" s="89">
        <f>$F$36</f>
        <v/>
      </c>
      <c r="N36" s="89">
        <f>$F$36</f>
        <v/>
      </c>
      <c r="O36" s="89">
        <f>$F$36</f>
        <v/>
      </c>
      <c r="P36" s="89">
        <f>$F$36</f>
        <v/>
      </c>
      <c r="Q36" s="89">
        <f>$F$36</f>
        <v/>
      </c>
      <c r="R36" s="89">
        <f>$F$36</f>
        <v/>
      </c>
      <c r="S36" s="89">
        <f>$F$36</f>
        <v/>
      </c>
      <c r="T36" s="89">
        <f>$F$36</f>
        <v/>
      </c>
      <c r="U36" s="89">
        <f>$F$36</f>
        <v/>
      </c>
      <c r="V36" s="89">
        <f>$F$36</f>
        <v/>
      </c>
      <c r="W36" s="89">
        <f>$F$36</f>
        <v/>
      </c>
      <c r="X36" s="89">
        <f>$F$36</f>
        <v/>
      </c>
      <c r="Y36" s="89">
        <f>$F$36</f>
        <v/>
      </c>
      <c r="Z36" s="89">
        <f>$F$36</f>
        <v/>
      </c>
      <c r="AA36" s="89">
        <f>$F$36</f>
        <v/>
      </c>
      <c r="AB36" s="89">
        <f>$F$36</f>
        <v/>
      </c>
      <c r="AC36" s="89">
        <f>$F$36</f>
        <v/>
      </c>
      <c r="AD36" s="89">
        <f>$F$36</f>
        <v/>
      </c>
      <c r="AE36" s="89">
        <f>$F$36</f>
        <v/>
      </c>
      <c r="AF36" s="89">
        <f>$F$36</f>
        <v/>
      </c>
      <c r="AG36" s="89">
        <f>$F$36</f>
        <v/>
      </c>
      <c r="AH36" s="89">
        <f>$F$36</f>
        <v/>
      </c>
      <c r="AI36" s="89">
        <f>$F$36</f>
        <v/>
      </c>
      <c r="AJ36" s="89">
        <f>$F$36</f>
        <v/>
      </c>
    </row>
    <row r="37">
      <c r="A37" s="61" t="inlineStr">
        <is>
          <t xml:space="preserve">  pi_t  expected inflation fwd [finrate_infl]   &lt;STAGE A&gt;</t>
        </is>
      </c>
      <c r="G37" s="61">
        <f>INDEX(finrate_infl,G4)</f>
        <v/>
      </c>
      <c r="H37" s="61">
        <f>INDEX(finrate_infl,H4)</f>
        <v/>
      </c>
      <c r="I37" s="61">
        <f>INDEX(finrate_infl,I4)</f>
        <v/>
      </c>
      <c r="J37" s="61">
        <f>INDEX(finrate_infl,J4)</f>
        <v/>
      </c>
      <c r="K37" s="61">
        <f>INDEX(finrate_infl,K4)</f>
        <v/>
      </c>
      <c r="L37" s="61">
        <f>INDEX(finrate_infl,L4)</f>
        <v/>
      </c>
      <c r="M37" s="61">
        <f>INDEX(finrate_infl,M4)</f>
        <v/>
      </c>
      <c r="N37" s="61">
        <f>INDEX(finrate_infl,N4)</f>
        <v/>
      </c>
      <c r="O37" s="61">
        <f>INDEX(finrate_infl,O4)</f>
        <v/>
      </c>
      <c r="P37" s="61">
        <f>INDEX(finrate_infl,P4)</f>
        <v/>
      </c>
      <c r="Q37" s="61">
        <f>INDEX(finrate_infl,Q4)</f>
        <v/>
      </c>
      <c r="R37" s="61">
        <f>INDEX(finrate_infl,R4)</f>
        <v/>
      </c>
      <c r="S37" s="61">
        <f>INDEX(finrate_infl,S4)</f>
        <v/>
      </c>
      <c r="T37" s="61">
        <f>INDEX(finrate_infl,T4)</f>
        <v/>
      </c>
      <c r="U37" s="61">
        <f>INDEX(finrate_infl,U4)</f>
        <v/>
      </c>
      <c r="V37" s="61">
        <f>INDEX(finrate_infl,V4)</f>
        <v/>
      </c>
      <c r="W37" s="61">
        <f>INDEX(finrate_infl,W4)</f>
        <v/>
      </c>
      <c r="X37" s="61">
        <f>INDEX(finrate_infl,X4)</f>
        <v/>
      </c>
      <c r="Y37" s="61">
        <f>INDEX(finrate_infl,Y4)</f>
        <v/>
      </c>
      <c r="Z37" s="61">
        <f>INDEX(finrate_infl,Z4)</f>
        <v/>
      </c>
      <c r="AA37" s="61">
        <f>INDEX(finrate_infl,AA4)</f>
        <v/>
      </c>
      <c r="AB37" s="61">
        <f>INDEX(finrate_infl,AB4)</f>
        <v/>
      </c>
      <c r="AC37" s="61">
        <f>INDEX(finrate_infl,AC4)</f>
        <v/>
      </c>
      <c r="AD37" s="61">
        <f>INDEX(finrate_infl,AD4)</f>
        <v/>
      </c>
      <c r="AE37" s="61">
        <f>INDEX(finrate_infl,AE4)</f>
        <v/>
      </c>
      <c r="AF37" s="61">
        <f>INDEX(finrate_infl,AF4)</f>
        <v/>
      </c>
      <c r="AG37" s="61">
        <f>INDEX(finrate_infl,AG4)</f>
        <v/>
      </c>
      <c r="AH37" s="61">
        <f>INDEX(finrate_infl,AH4)</f>
        <v/>
      </c>
      <c r="AI37" s="61">
        <f>INDEX(finrate_infl,AI4)</f>
        <v/>
      </c>
      <c r="AJ37" s="61">
        <f>INDEX(finrate_infl,AJ4)</f>
        <v/>
      </c>
    </row>
    <row r="38">
      <c r="A38" s="61" t="inlineStr">
        <is>
          <t xml:space="preserve">  I_t  cumulative inflation index (I_0=1)       &lt;STAGE A&gt;</t>
        </is>
      </c>
      <c r="F38" s="61" t="n">
        <v>1</v>
      </c>
      <c r="G38" s="61">
        <f>F38*(1+G37)</f>
        <v/>
      </c>
      <c r="H38" s="61">
        <f>G38*(1+H37)</f>
        <v/>
      </c>
      <c r="I38" s="61">
        <f>H38*(1+I37)</f>
        <v/>
      </c>
      <c r="J38" s="61">
        <f>I38*(1+J37)</f>
        <v/>
      </c>
      <c r="K38" s="61">
        <f>J38*(1+K37)</f>
        <v/>
      </c>
      <c r="L38" s="61">
        <f>K38*(1+L37)</f>
        <v/>
      </c>
      <c r="M38" s="61">
        <f>L38*(1+M37)</f>
        <v/>
      </c>
      <c r="N38" s="61">
        <f>M38*(1+N37)</f>
        <v/>
      </c>
      <c r="O38" s="61">
        <f>N38*(1+O37)</f>
        <v/>
      </c>
      <c r="P38" s="61">
        <f>O38*(1+P37)</f>
        <v/>
      </c>
      <c r="Q38" s="61">
        <f>P38*(1+Q37)</f>
        <v/>
      </c>
      <c r="R38" s="61">
        <f>Q38*(1+R37)</f>
        <v/>
      </c>
      <c r="S38" s="61">
        <f>R38*(1+S37)</f>
        <v/>
      </c>
      <c r="T38" s="61">
        <f>S38*(1+T37)</f>
        <v/>
      </c>
      <c r="U38" s="61">
        <f>T38*(1+U37)</f>
        <v/>
      </c>
      <c r="V38" s="61">
        <f>U38*(1+V37)</f>
        <v/>
      </c>
      <c r="W38" s="61">
        <f>V38*(1+W37)</f>
        <v/>
      </c>
      <c r="X38" s="61">
        <f>W38*(1+X37)</f>
        <v/>
      </c>
      <c r="Y38" s="61">
        <f>X38*(1+Y37)</f>
        <v/>
      </c>
      <c r="Z38" s="61">
        <f>Y38*(1+Z37)</f>
        <v/>
      </c>
      <c r="AA38" s="61">
        <f>Z38*(1+AA37)</f>
        <v/>
      </c>
      <c r="AB38" s="61">
        <f>AA38*(1+AB37)</f>
        <v/>
      </c>
      <c r="AC38" s="61">
        <f>AB38*(1+AC37)</f>
        <v/>
      </c>
      <c r="AD38" s="61">
        <f>AC38*(1+AD37)</f>
        <v/>
      </c>
      <c r="AE38" s="61">
        <f>AD38*(1+AE37)</f>
        <v/>
      </c>
      <c r="AF38" s="61">
        <f>AE38*(1+AF37)</f>
        <v/>
      </c>
      <c r="AG38" s="61">
        <f>AF38*(1+AG37)</f>
        <v/>
      </c>
      <c r="AH38" s="61">
        <f>AG38*(1+AH37)</f>
        <v/>
      </c>
      <c r="AI38" s="61">
        <f>AH38*(1+AI37)</f>
        <v/>
      </c>
      <c r="AJ38" s="61">
        <f>AI38*(1+AJ37)</f>
        <v/>
      </c>
    </row>
    <row r="39">
      <c r="A39" s="61" t="inlineStr">
        <is>
          <t xml:space="preserve">  NOMINAL D&amp;A (economic depreciation)  &lt;STAGE A&gt;</t>
        </is>
      </c>
      <c r="G39" s="61">
        <f>G13*G38</f>
        <v/>
      </c>
      <c r="H39" s="61">
        <f>H13*H38</f>
        <v/>
      </c>
      <c r="I39" s="61">
        <f>I13*I38</f>
        <v/>
      </c>
      <c r="J39" s="61">
        <f>J13*J38</f>
        <v/>
      </c>
      <c r="K39" s="61">
        <f>K13*K38</f>
        <v/>
      </c>
      <c r="L39" s="61">
        <f>L13*L38</f>
        <v/>
      </c>
      <c r="M39" s="61">
        <f>M13*M38</f>
        <v/>
      </c>
      <c r="N39" s="61">
        <f>N13*N38</f>
        <v/>
      </c>
      <c r="O39" s="61">
        <f>O13*O38</f>
        <v/>
      </c>
      <c r="P39" s="61">
        <f>P13*P38</f>
        <v/>
      </c>
      <c r="Q39" s="61">
        <f>Q13*Q38</f>
        <v/>
      </c>
      <c r="R39" s="61">
        <f>R13*R38</f>
        <v/>
      </c>
      <c r="S39" s="61">
        <f>S13*S38</f>
        <v/>
      </c>
      <c r="T39" s="61">
        <f>T13*T38</f>
        <v/>
      </c>
      <c r="U39" s="61">
        <f>U13*U38</f>
        <v/>
      </c>
      <c r="V39" s="61">
        <f>V13*V38</f>
        <v/>
      </c>
      <c r="W39" s="61">
        <f>W13*W38</f>
        <v/>
      </c>
      <c r="X39" s="61">
        <f>X13*X38</f>
        <v/>
      </c>
      <c r="Y39" s="61">
        <f>Y13*Y38</f>
        <v/>
      </c>
      <c r="Z39" s="61">
        <f>Z13*Z38</f>
        <v/>
      </c>
      <c r="AA39" s="61">
        <f>AA13*AA38</f>
        <v/>
      </c>
      <c r="AB39" s="61">
        <f>AB13*AB38</f>
        <v/>
      </c>
      <c r="AC39" s="61">
        <f>AC13*AC38</f>
        <v/>
      </c>
      <c r="AD39" s="61">
        <f>AD13*AD38</f>
        <v/>
      </c>
      <c r="AE39" s="61">
        <f>AE13*AE38</f>
        <v/>
      </c>
      <c r="AF39" s="61">
        <f>AF13*AF38</f>
        <v/>
      </c>
      <c r="AG39" s="61">
        <f>AG13*AG38</f>
        <v/>
      </c>
      <c r="AH39" s="61">
        <f>AH13*AH38</f>
        <v/>
      </c>
      <c r="AI39" s="61">
        <f>AI13*AI38</f>
        <v/>
      </c>
      <c r="AJ39" s="61">
        <f>AJ13*AJ38</f>
        <v/>
      </c>
    </row>
    <row r="40">
      <c r="A40" s="61" t="inlineStr">
        <is>
          <t xml:space="preserve">  NOMINAL Operating income, after tax (OI)  &lt;STAGE A&gt;</t>
        </is>
      </c>
      <c r="G40" s="61">
        <f>G16*G38</f>
        <v/>
      </c>
      <c r="H40" s="61">
        <f>H16*H38</f>
        <v/>
      </c>
      <c r="I40" s="61">
        <f>I16*I38</f>
        <v/>
      </c>
      <c r="J40" s="61">
        <f>J16*J38</f>
        <v/>
      </c>
      <c r="K40" s="61">
        <f>K16*K38</f>
        <v/>
      </c>
      <c r="L40" s="61">
        <f>L16*L38</f>
        <v/>
      </c>
      <c r="M40" s="61">
        <f>M16*M38</f>
        <v/>
      </c>
      <c r="N40" s="61">
        <f>N16*N38</f>
        <v/>
      </c>
      <c r="O40" s="61">
        <f>O16*O38</f>
        <v/>
      </c>
      <c r="P40" s="61">
        <f>P16*P38</f>
        <v/>
      </c>
      <c r="Q40" s="61">
        <f>Q16*Q38</f>
        <v/>
      </c>
      <c r="R40" s="61">
        <f>R16*R38</f>
        <v/>
      </c>
      <c r="S40" s="61">
        <f>S16*S38</f>
        <v/>
      </c>
      <c r="T40" s="61">
        <f>T16*T38</f>
        <v/>
      </c>
      <c r="U40" s="61">
        <f>U16*U38</f>
        <v/>
      </c>
      <c r="V40" s="61">
        <f>V16*V38</f>
        <v/>
      </c>
      <c r="W40" s="61">
        <f>W16*W38</f>
        <v/>
      </c>
      <c r="X40" s="61">
        <f>X16*X38</f>
        <v/>
      </c>
      <c r="Y40" s="61">
        <f>Y16*Y38</f>
        <v/>
      </c>
      <c r="Z40" s="61">
        <f>Z16*Z38</f>
        <v/>
      </c>
      <c r="AA40" s="61">
        <f>AA16*AA38</f>
        <v/>
      </c>
      <c r="AB40" s="61">
        <f>AB16*AB38</f>
        <v/>
      </c>
      <c r="AC40" s="61">
        <f>AC16*AC38</f>
        <v/>
      </c>
      <c r="AD40" s="61">
        <f>AD16*AD38</f>
        <v/>
      </c>
      <c r="AE40" s="61">
        <f>AE16*AE38</f>
        <v/>
      </c>
      <c r="AF40" s="61">
        <f>AF16*AF38</f>
        <v/>
      </c>
      <c r="AG40" s="61">
        <f>AG16*AG38</f>
        <v/>
      </c>
      <c r="AH40" s="61">
        <f>AH16*AH38</f>
        <v/>
      </c>
      <c r="AI40" s="61">
        <f>AI16*AI38</f>
        <v/>
      </c>
      <c r="AJ40" s="61">
        <f>AJ16*AJ38</f>
        <v/>
      </c>
    </row>
    <row r="41">
      <c r="A41" s="61" t="inlineStr">
        <is>
          <t xml:space="preserve">  NOMINAL Net income (comprehensive)  &lt;STAGE A&gt;</t>
        </is>
      </c>
      <c r="G41" s="61">
        <f>G19*G38</f>
        <v/>
      </c>
      <c r="H41" s="61">
        <f>H19*H38</f>
        <v/>
      </c>
      <c r="I41" s="61">
        <f>I19*I38</f>
        <v/>
      </c>
      <c r="J41" s="61">
        <f>J19*J38</f>
        <v/>
      </c>
      <c r="K41" s="61">
        <f>K19*K38</f>
        <v/>
      </c>
      <c r="L41" s="61">
        <f>L19*L38</f>
        <v/>
      </c>
      <c r="M41" s="61">
        <f>M19*M38</f>
        <v/>
      </c>
      <c r="N41" s="61">
        <f>N19*N38</f>
        <v/>
      </c>
      <c r="O41" s="61">
        <f>O19*O38</f>
        <v/>
      </c>
      <c r="P41" s="61">
        <f>P19*P38</f>
        <v/>
      </c>
      <c r="Q41" s="61">
        <f>Q19*Q38</f>
        <v/>
      </c>
      <c r="R41" s="61">
        <f>R19*R38</f>
        <v/>
      </c>
      <c r="S41" s="61">
        <f>S19*S38</f>
        <v/>
      </c>
      <c r="T41" s="61">
        <f>T19*T38</f>
        <v/>
      </c>
      <c r="U41" s="61">
        <f>U19*U38</f>
        <v/>
      </c>
      <c r="V41" s="61">
        <f>V19*V38</f>
        <v/>
      </c>
      <c r="W41" s="61">
        <f>W19*W38</f>
        <v/>
      </c>
      <c r="X41" s="61">
        <f>X19*X38</f>
        <v/>
      </c>
      <c r="Y41" s="61">
        <f>Y19*Y38</f>
        <v/>
      </c>
      <c r="Z41" s="61">
        <f>Z19*Z38</f>
        <v/>
      </c>
      <c r="AA41" s="61">
        <f>AA19*AA38</f>
        <v/>
      </c>
      <c r="AB41" s="61">
        <f>AB19*AB38</f>
        <v/>
      </c>
      <c r="AC41" s="61">
        <f>AC19*AC38</f>
        <v/>
      </c>
      <c r="AD41" s="61">
        <f>AD19*AD38</f>
        <v/>
      </c>
      <c r="AE41" s="61">
        <f>AE19*AE38</f>
        <v/>
      </c>
      <c r="AF41" s="61">
        <f>AF19*AF38</f>
        <v/>
      </c>
      <c r="AG41" s="61">
        <f>AG19*AG38</f>
        <v/>
      </c>
      <c r="AH41" s="61">
        <f>AH19*AH38</f>
        <v/>
      </c>
      <c r="AI41" s="61">
        <f>AI19*AI38</f>
        <v/>
      </c>
      <c r="AJ41" s="61">
        <f>AJ19*AJ38</f>
        <v/>
      </c>
    </row>
    <row r="42">
      <c r="A42" s="61" t="inlineStr">
        <is>
          <t xml:space="preserve">  NOMINAL   capital expenditure  &lt;STAGE A&gt;</t>
        </is>
      </c>
      <c r="G42" s="61">
        <f>G23*G38</f>
        <v/>
      </c>
      <c r="H42" s="61">
        <f>H23*H38</f>
        <v/>
      </c>
      <c r="I42" s="61">
        <f>I23*I38</f>
        <v/>
      </c>
      <c r="J42" s="61">
        <f>J23*J38</f>
        <v/>
      </c>
      <c r="K42" s="61">
        <f>K23*K38</f>
        <v/>
      </c>
      <c r="L42" s="61">
        <f>L23*L38</f>
        <v/>
      </c>
      <c r="M42" s="61">
        <f>M23*M38</f>
        <v/>
      </c>
      <c r="N42" s="61">
        <f>N23*N38</f>
        <v/>
      </c>
      <c r="O42" s="61">
        <f>O23*O38</f>
        <v/>
      </c>
      <c r="P42" s="61">
        <f>P23*P38</f>
        <v/>
      </c>
      <c r="Q42" s="61">
        <f>Q23*Q38</f>
        <v/>
      </c>
      <c r="R42" s="61">
        <f>R23*R38</f>
        <v/>
      </c>
      <c r="S42" s="61">
        <f>S23*S38</f>
        <v/>
      </c>
      <c r="T42" s="61">
        <f>T23*T38</f>
        <v/>
      </c>
      <c r="U42" s="61">
        <f>U23*U38</f>
        <v/>
      </c>
      <c r="V42" s="61">
        <f>V23*V38</f>
        <v/>
      </c>
      <c r="W42" s="61">
        <f>W23*W38</f>
        <v/>
      </c>
      <c r="X42" s="61">
        <f>X23*X38</f>
        <v/>
      </c>
      <c r="Y42" s="61">
        <f>Y23*Y38</f>
        <v/>
      </c>
      <c r="Z42" s="61">
        <f>Z23*Z38</f>
        <v/>
      </c>
      <c r="AA42" s="61">
        <f>AA23*AA38</f>
        <v/>
      </c>
      <c r="AB42" s="61">
        <f>AB23*AB38</f>
        <v/>
      </c>
      <c r="AC42" s="61">
        <f>AC23*AC38</f>
        <v/>
      </c>
      <c r="AD42" s="61">
        <f>AD23*AD38</f>
        <v/>
      </c>
      <c r="AE42" s="61">
        <f>AE23*AE38</f>
        <v/>
      </c>
      <c r="AF42" s="61">
        <f>AF23*AF38</f>
        <v/>
      </c>
      <c r="AG42" s="61">
        <f>AG23*AG38</f>
        <v/>
      </c>
      <c r="AH42" s="61">
        <f>AH23*AH38</f>
        <v/>
      </c>
      <c r="AI42" s="61">
        <f>AI23*AI38</f>
        <v/>
      </c>
      <c r="AJ42" s="61">
        <f>AJ23*AJ38</f>
        <v/>
      </c>
    </row>
    <row r="43">
      <c r="A43" s="61" t="inlineStr">
        <is>
          <t xml:space="preserve">  NOMINAL Net operating assets (NOA)  &lt;STAGE A&gt;</t>
        </is>
      </c>
      <c r="G43" s="61">
        <f>G24*G38</f>
        <v/>
      </c>
      <c r="H43" s="61">
        <f>H24*H38</f>
        <v/>
      </c>
      <c r="I43" s="61">
        <f>I24*I38</f>
        <v/>
      </c>
      <c r="J43" s="61">
        <f>J24*J38</f>
        <v/>
      </c>
      <c r="K43" s="61">
        <f>K24*K38</f>
        <v/>
      </c>
      <c r="L43" s="61">
        <f>L24*L38</f>
        <v/>
      </c>
      <c r="M43" s="61">
        <f>M24*M38</f>
        <v/>
      </c>
      <c r="N43" s="61">
        <f>N24*N38</f>
        <v/>
      </c>
      <c r="O43" s="61">
        <f>O24*O38</f>
        <v/>
      </c>
      <c r="P43" s="61">
        <f>P24*P38</f>
        <v/>
      </c>
      <c r="Q43" s="61">
        <f>Q24*Q38</f>
        <v/>
      </c>
      <c r="R43" s="61">
        <f>R24*R38</f>
        <v/>
      </c>
      <c r="S43" s="61">
        <f>S24*S38</f>
        <v/>
      </c>
      <c r="T43" s="61">
        <f>T24*T38</f>
        <v/>
      </c>
      <c r="U43" s="61">
        <f>U24*U38</f>
        <v/>
      </c>
      <c r="V43" s="61">
        <f>V24*V38</f>
        <v/>
      </c>
      <c r="W43" s="61">
        <f>W24*W38</f>
        <v/>
      </c>
      <c r="X43" s="61">
        <f>X24*X38</f>
        <v/>
      </c>
      <c r="Y43" s="61">
        <f>Y24*Y38</f>
        <v/>
      </c>
      <c r="Z43" s="61">
        <f>Z24*Z38</f>
        <v/>
      </c>
      <c r="AA43" s="61">
        <f>AA24*AA38</f>
        <v/>
      </c>
      <c r="AB43" s="61">
        <f>AB24*AB38</f>
        <v/>
      </c>
      <c r="AC43" s="61">
        <f>AC24*AC38</f>
        <v/>
      </c>
      <c r="AD43" s="61">
        <f>AD24*AD38</f>
        <v/>
      </c>
      <c r="AE43" s="61">
        <f>AE24*AE38</f>
        <v/>
      </c>
      <c r="AF43" s="61">
        <f>AF24*AF38</f>
        <v/>
      </c>
      <c r="AG43" s="61">
        <f>AG24*AG38</f>
        <v/>
      </c>
      <c r="AH43" s="61">
        <f>AH24*AH38</f>
        <v/>
      </c>
      <c r="AI43" s="61">
        <f>AI24*AI38</f>
        <v/>
      </c>
      <c r="AJ43" s="61">
        <f>AJ24*AJ38</f>
        <v/>
      </c>
    </row>
    <row r="44">
      <c r="A44" s="61" t="inlineStr">
        <is>
          <t xml:space="preserve">  NOMINAL   NFO  (financed by)  &lt;STAGE A&gt;</t>
        </is>
      </c>
      <c r="G44" s="61">
        <f>G25*G38</f>
        <v/>
      </c>
      <c r="H44" s="61">
        <f>H25*H38</f>
        <v/>
      </c>
      <c r="I44" s="61">
        <f>I25*I38</f>
        <v/>
      </c>
      <c r="J44" s="61">
        <f>J25*J38</f>
        <v/>
      </c>
      <c r="K44" s="61">
        <f>K25*K38</f>
        <v/>
      </c>
      <c r="L44" s="61">
        <f>L25*L38</f>
        <v/>
      </c>
      <c r="M44" s="61">
        <f>M25*M38</f>
        <v/>
      </c>
      <c r="N44" s="61">
        <f>N25*N38</f>
        <v/>
      </c>
      <c r="O44" s="61">
        <f>O25*O38</f>
        <v/>
      </c>
      <c r="P44" s="61">
        <f>P25*P38</f>
        <v/>
      </c>
      <c r="Q44" s="61">
        <f>Q25*Q38</f>
        <v/>
      </c>
      <c r="R44" s="61">
        <f>R25*R38</f>
        <v/>
      </c>
      <c r="S44" s="61">
        <f>S25*S38</f>
        <v/>
      </c>
      <c r="T44" s="61">
        <f>T25*T38</f>
        <v/>
      </c>
      <c r="U44" s="61">
        <f>U25*U38</f>
        <v/>
      </c>
      <c r="V44" s="61">
        <f>V25*V38</f>
        <v/>
      </c>
      <c r="W44" s="61">
        <f>W25*W38</f>
        <v/>
      </c>
      <c r="X44" s="61">
        <f>X25*X38</f>
        <v/>
      </c>
      <c r="Y44" s="61">
        <f>Y25*Y38</f>
        <v/>
      </c>
      <c r="Z44" s="61">
        <f>Z25*Z38</f>
        <v/>
      </c>
      <c r="AA44" s="61">
        <f>AA25*AA38</f>
        <v/>
      </c>
      <c r="AB44" s="61">
        <f>AB25*AB38</f>
        <v/>
      </c>
      <c r="AC44" s="61">
        <f>AC25*AC38</f>
        <v/>
      </c>
      <c r="AD44" s="61">
        <f>AD25*AD38</f>
        <v/>
      </c>
      <c r="AE44" s="61">
        <f>AE25*AE38</f>
        <v/>
      </c>
      <c r="AF44" s="61">
        <f>AF25*AF38</f>
        <v/>
      </c>
      <c r="AG44" s="61">
        <f>AG25*AG38</f>
        <v/>
      </c>
      <c r="AH44" s="61">
        <f>AH25*AH38</f>
        <v/>
      </c>
      <c r="AI44" s="61">
        <f>AI25*AI38</f>
        <v/>
      </c>
      <c r="AJ44" s="61">
        <f>AJ25*AJ38</f>
        <v/>
      </c>
    </row>
    <row r="45">
      <c r="A45" s="61" t="inlineStr">
        <is>
          <t xml:space="preserve">  NOMINAL   CSE = NOA − NFO  (equity: clean-surplus roll)  &lt;STAGE A&gt;</t>
        </is>
      </c>
      <c r="G45" s="61">
        <f>G27*G38</f>
        <v/>
      </c>
      <c r="H45" s="61">
        <f>H27*H38</f>
        <v/>
      </c>
      <c r="I45" s="61">
        <f>I27*I38</f>
        <v/>
      </c>
      <c r="J45" s="61">
        <f>J27*J38</f>
        <v/>
      </c>
      <c r="K45" s="61">
        <f>K27*K38</f>
        <v/>
      </c>
      <c r="L45" s="61">
        <f>L27*L38</f>
        <v/>
      </c>
      <c r="M45" s="61">
        <f>M27*M38</f>
        <v/>
      </c>
      <c r="N45" s="61">
        <f>N27*N38</f>
        <v/>
      </c>
      <c r="O45" s="61">
        <f>O27*O38</f>
        <v/>
      </c>
      <c r="P45" s="61">
        <f>P27*P38</f>
        <v/>
      </c>
      <c r="Q45" s="61">
        <f>Q27*Q38</f>
        <v/>
      </c>
      <c r="R45" s="61">
        <f>R27*R38</f>
        <v/>
      </c>
      <c r="S45" s="61">
        <f>S27*S38</f>
        <v/>
      </c>
      <c r="T45" s="61">
        <f>T27*T38</f>
        <v/>
      </c>
      <c r="U45" s="61">
        <f>U27*U38</f>
        <v/>
      </c>
      <c r="V45" s="61">
        <f>V27*V38</f>
        <v/>
      </c>
      <c r="W45" s="61">
        <f>W27*W38</f>
        <v/>
      </c>
      <c r="X45" s="61">
        <f>X27*X38</f>
        <v/>
      </c>
      <c r="Y45" s="61">
        <f>Y27*Y38</f>
        <v/>
      </c>
      <c r="Z45" s="61">
        <f>Z27*Z38</f>
        <v/>
      </c>
      <c r="AA45" s="61">
        <f>AA27*AA38</f>
        <v/>
      </c>
      <c r="AB45" s="61">
        <f>AB27*AB38</f>
        <v/>
      </c>
      <c r="AC45" s="61">
        <f>AC27*AC38</f>
        <v/>
      </c>
      <c r="AD45" s="61">
        <f>AD27*AD38</f>
        <v/>
      </c>
      <c r="AE45" s="61">
        <f>AE27*AE38</f>
        <v/>
      </c>
      <c r="AF45" s="61">
        <f>AF27*AF38</f>
        <v/>
      </c>
      <c r="AG45" s="61">
        <f>AG27*AG38</f>
        <v/>
      </c>
      <c r="AH45" s="61">
        <f>AH27*AH38</f>
        <v/>
      </c>
      <c r="AI45" s="61">
        <f>AI27*AI38</f>
        <v/>
      </c>
      <c r="AJ45" s="61">
        <f>AJ27*AJ38</f>
        <v/>
      </c>
    </row>
    <row r="46">
      <c r="A46" s="61" t="inlineStr">
        <is>
          <t xml:space="preserve">  NOMINAL Dividends per share (DPS)  &lt;STAGE A&gt;</t>
        </is>
      </c>
      <c r="G46" s="61">
        <f>G29*G38</f>
        <v/>
      </c>
      <c r="H46" s="61">
        <f>H29*H38</f>
        <v/>
      </c>
      <c r="I46" s="61">
        <f>I29*I38</f>
        <v/>
      </c>
      <c r="J46" s="61">
        <f>J29*J38</f>
        <v/>
      </c>
      <c r="K46" s="61">
        <f>K29*K38</f>
        <v/>
      </c>
      <c r="L46" s="61">
        <f>L29*L38</f>
        <v/>
      </c>
      <c r="M46" s="61">
        <f>M29*M38</f>
        <v/>
      </c>
      <c r="N46" s="61">
        <f>N29*N38</f>
        <v/>
      </c>
      <c r="O46" s="61">
        <f>O29*O38</f>
        <v/>
      </c>
      <c r="P46" s="61">
        <f>P29*P38</f>
        <v/>
      </c>
      <c r="Q46" s="61">
        <f>Q29*Q38</f>
        <v/>
      </c>
      <c r="R46" s="61">
        <f>R29*R38</f>
        <v/>
      </c>
      <c r="S46" s="61">
        <f>S29*S38</f>
        <v/>
      </c>
      <c r="T46" s="61">
        <f>T29*T38</f>
        <v/>
      </c>
      <c r="U46" s="61">
        <f>U29*U38</f>
        <v/>
      </c>
      <c r="V46" s="61">
        <f>V29*V38</f>
        <v/>
      </c>
      <c r="W46" s="61">
        <f>W29*W38</f>
        <v/>
      </c>
      <c r="X46" s="61">
        <f>X29*X38</f>
        <v/>
      </c>
      <c r="Y46" s="61">
        <f>Y29*Y38</f>
        <v/>
      </c>
      <c r="Z46" s="61">
        <f>Z29*Z38</f>
        <v/>
      </c>
      <c r="AA46" s="61">
        <f>AA29*AA38</f>
        <v/>
      </c>
      <c r="AB46" s="61">
        <f>AB29*AB38</f>
        <v/>
      </c>
      <c r="AC46" s="61">
        <f>AC29*AC38</f>
        <v/>
      </c>
      <c r="AD46" s="61">
        <f>AD29*AD38</f>
        <v/>
      </c>
      <c r="AE46" s="61">
        <f>AE29*AE38</f>
        <v/>
      </c>
      <c r="AF46" s="61">
        <f>AF29*AF38</f>
        <v/>
      </c>
      <c r="AG46" s="61">
        <f>AG29*AG38</f>
        <v/>
      </c>
      <c r="AH46" s="61">
        <f>AH29*AH38</f>
        <v/>
      </c>
      <c r="AI46" s="61">
        <f>AI29*AI38</f>
        <v/>
      </c>
      <c r="AJ46" s="61">
        <f>AJ29*AJ38</f>
        <v/>
      </c>
    </row>
    <row r="47">
      <c r="A47" s="61" t="inlineStr">
        <is>
          <t xml:space="preserve">  NOMINAL Earnings per share (EPS = NI ÷ shares)  &lt;STAGE A&gt;</t>
        </is>
      </c>
      <c r="G47" s="61">
        <f>G30*G38</f>
        <v/>
      </c>
      <c r="H47" s="61">
        <f>H30*H38</f>
        <v/>
      </c>
      <c r="I47" s="61">
        <f>I30*I38</f>
        <v/>
      </c>
      <c r="J47" s="61">
        <f>J30*J38</f>
        <v/>
      </c>
      <c r="K47" s="61">
        <f>K30*K38</f>
        <v/>
      </c>
      <c r="L47" s="61">
        <f>L30*L38</f>
        <v/>
      </c>
      <c r="M47" s="61">
        <f>M30*M38</f>
        <v/>
      </c>
      <c r="N47" s="61">
        <f>N30*N38</f>
        <v/>
      </c>
      <c r="O47" s="61">
        <f>O30*O38</f>
        <v/>
      </c>
      <c r="P47" s="61">
        <f>P30*P38</f>
        <v/>
      </c>
      <c r="Q47" s="61">
        <f>Q30*Q38</f>
        <v/>
      </c>
      <c r="R47" s="61">
        <f>R30*R38</f>
        <v/>
      </c>
      <c r="S47" s="61">
        <f>S30*S38</f>
        <v/>
      </c>
      <c r="T47" s="61">
        <f>T30*T38</f>
        <v/>
      </c>
      <c r="U47" s="61">
        <f>U30*U38</f>
        <v/>
      </c>
      <c r="V47" s="61">
        <f>V30*V38</f>
        <v/>
      </c>
      <c r="W47" s="61">
        <f>W30*W38</f>
        <v/>
      </c>
      <c r="X47" s="61">
        <f>X30*X38</f>
        <v/>
      </c>
      <c r="Y47" s="61">
        <f>Y30*Y38</f>
        <v/>
      </c>
      <c r="Z47" s="61">
        <f>Z30*Z38</f>
        <v/>
      </c>
      <c r="AA47" s="61">
        <f>AA30*AA38</f>
        <v/>
      </c>
      <c r="AB47" s="61">
        <f>AB30*AB38</f>
        <v/>
      </c>
      <c r="AC47" s="61">
        <f>AC30*AC38</f>
        <v/>
      </c>
      <c r="AD47" s="61">
        <f>AD30*AD38</f>
        <v/>
      </c>
      <c r="AE47" s="61">
        <f>AE30*AE38</f>
        <v/>
      </c>
      <c r="AF47" s="61">
        <f>AF30*AF38</f>
        <v/>
      </c>
      <c r="AG47" s="61">
        <f>AG30*AG38</f>
        <v/>
      </c>
      <c r="AH47" s="61">
        <f>AH30*AH38</f>
        <v/>
      </c>
      <c r="AI47" s="61">
        <f>AI30*AI38</f>
        <v/>
      </c>
      <c r="AJ47" s="61">
        <f>AJ30*AJ38</f>
        <v/>
      </c>
    </row>
    <row r="48">
      <c r="A48" s="61" t="inlineStr">
        <is>
          <t xml:space="preserve">  legacy nominal live gross PP&amp;E(t)  [tax basis, pre-anchor vintages]   &lt;STAGE B1&gt;</t>
        </is>
      </c>
      <c r="G48" s="61">
        <f>SUMPRODUCT('Cap Engine'!$B$7:$B$43*('Cap Engine'!$J$7:$J$43&lt;=(in_anchor_year+G4))*(((in_anchor_year+G4)-'Cap Engine'!$J$7:$J$43)&lt;in_ppe_life))</f>
        <v/>
      </c>
      <c r="H48" s="61">
        <f>SUMPRODUCT('Cap Engine'!$B$7:$B$43*('Cap Engine'!$J$7:$J$43&lt;=(in_anchor_year+H4))*(((in_anchor_year+H4)-'Cap Engine'!$J$7:$J$43)&lt;in_ppe_life))</f>
        <v/>
      </c>
      <c r="I48" s="61">
        <f>SUMPRODUCT('Cap Engine'!$B$7:$B$43*('Cap Engine'!$J$7:$J$43&lt;=(in_anchor_year+I4))*(((in_anchor_year+I4)-'Cap Engine'!$J$7:$J$43)&lt;in_ppe_life))</f>
        <v/>
      </c>
      <c r="J48" s="61">
        <f>SUMPRODUCT('Cap Engine'!$B$7:$B$43*('Cap Engine'!$J$7:$J$43&lt;=(in_anchor_year+J4))*(((in_anchor_year+J4)-'Cap Engine'!$J$7:$J$43)&lt;in_ppe_life))</f>
        <v/>
      </c>
      <c r="K48" s="61">
        <f>SUMPRODUCT('Cap Engine'!$B$7:$B$43*('Cap Engine'!$J$7:$J$43&lt;=(in_anchor_year+K4))*(((in_anchor_year+K4)-'Cap Engine'!$J$7:$J$43)&lt;in_ppe_life))</f>
        <v/>
      </c>
      <c r="L48" s="61">
        <f>SUMPRODUCT('Cap Engine'!$B$7:$B$43*('Cap Engine'!$J$7:$J$43&lt;=(in_anchor_year+L4))*(((in_anchor_year+L4)-'Cap Engine'!$J$7:$J$43)&lt;in_ppe_life))</f>
        <v/>
      </c>
      <c r="M48" s="61">
        <f>SUMPRODUCT('Cap Engine'!$B$7:$B$43*('Cap Engine'!$J$7:$J$43&lt;=(in_anchor_year+M4))*(((in_anchor_year+M4)-'Cap Engine'!$J$7:$J$43)&lt;in_ppe_life))</f>
        <v/>
      </c>
      <c r="N48" s="61">
        <f>SUMPRODUCT('Cap Engine'!$B$7:$B$43*('Cap Engine'!$J$7:$J$43&lt;=(in_anchor_year+N4))*(((in_anchor_year+N4)-'Cap Engine'!$J$7:$J$43)&lt;in_ppe_life))</f>
        <v/>
      </c>
      <c r="O48" s="61">
        <f>SUMPRODUCT('Cap Engine'!$B$7:$B$43*('Cap Engine'!$J$7:$J$43&lt;=(in_anchor_year+O4))*(((in_anchor_year+O4)-'Cap Engine'!$J$7:$J$43)&lt;in_ppe_life))</f>
        <v/>
      </c>
      <c r="P48" s="61">
        <f>SUMPRODUCT('Cap Engine'!$B$7:$B$43*('Cap Engine'!$J$7:$J$43&lt;=(in_anchor_year+P4))*(((in_anchor_year+P4)-'Cap Engine'!$J$7:$J$43)&lt;in_ppe_life))</f>
        <v/>
      </c>
      <c r="Q48" s="61">
        <f>SUMPRODUCT('Cap Engine'!$B$7:$B$43*('Cap Engine'!$J$7:$J$43&lt;=(in_anchor_year+Q4))*(((in_anchor_year+Q4)-'Cap Engine'!$J$7:$J$43)&lt;in_ppe_life))</f>
        <v/>
      </c>
      <c r="R48" s="61">
        <f>SUMPRODUCT('Cap Engine'!$B$7:$B$43*('Cap Engine'!$J$7:$J$43&lt;=(in_anchor_year+R4))*(((in_anchor_year+R4)-'Cap Engine'!$J$7:$J$43)&lt;in_ppe_life))</f>
        <v/>
      </c>
      <c r="S48" s="61">
        <f>SUMPRODUCT('Cap Engine'!$B$7:$B$43*('Cap Engine'!$J$7:$J$43&lt;=(in_anchor_year+S4))*(((in_anchor_year+S4)-'Cap Engine'!$J$7:$J$43)&lt;in_ppe_life))</f>
        <v/>
      </c>
      <c r="T48" s="61">
        <f>SUMPRODUCT('Cap Engine'!$B$7:$B$43*('Cap Engine'!$J$7:$J$43&lt;=(in_anchor_year+T4))*(((in_anchor_year+T4)-'Cap Engine'!$J$7:$J$43)&lt;in_ppe_life))</f>
        <v/>
      </c>
      <c r="U48" s="61">
        <f>SUMPRODUCT('Cap Engine'!$B$7:$B$43*('Cap Engine'!$J$7:$J$43&lt;=(in_anchor_year+U4))*(((in_anchor_year+U4)-'Cap Engine'!$J$7:$J$43)&lt;in_ppe_life))</f>
        <v/>
      </c>
      <c r="V48" s="61">
        <f>SUMPRODUCT('Cap Engine'!$B$7:$B$43*('Cap Engine'!$J$7:$J$43&lt;=(in_anchor_year+V4))*(((in_anchor_year+V4)-'Cap Engine'!$J$7:$J$43)&lt;in_ppe_life))</f>
        <v/>
      </c>
      <c r="W48" s="61">
        <f>SUMPRODUCT('Cap Engine'!$B$7:$B$43*('Cap Engine'!$J$7:$J$43&lt;=(in_anchor_year+W4))*(((in_anchor_year+W4)-'Cap Engine'!$J$7:$J$43)&lt;in_ppe_life))</f>
        <v/>
      </c>
      <c r="X48" s="61">
        <f>SUMPRODUCT('Cap Engine'!$B$7:$B$43*('Cap Engine'!$J$7:$J$43&lt;=(in_anchor_year+X4))*(((in_anchor_year+X4)-'Cap Engine'!$J$7:$J$43)&lt;in_ppe_life))</f>
        <v/>
      </c>
      <c r="Y48" s="61">
        <f>SUMPRODUCT('Cap Engine'!$B$7:$B$43*('Cap Engine'!$J$7:$J$43&lt;=(in_anchor_year+Y4))*(((in_anchor_year+Y4)-'Cap Engine'!$J$7:$J$43)&lt;in_ppe_life))</f>
        <v/>
      </c>
      <c r="Z48" s="61">
        <f>SUMPRODUCT('Cap Engine'!$B$7:$B$43*('Cap Engine'!$J$7:$J$43&lt;=(in_anchor_year+Z4))*(((in_anchor_year+Z4)-'Cap Engine'!$J$7:$J$43)&lt;in_ppe_life))</f>
        <v/>
      </c>
      <c r="AA48" s="61">
        <f>SUMPRODUCT('Cap Engine'!$B$7:$B$43*('Cap Engine'!$J$7:$J$43&lt;=(in_anchor_year+AA4))*(((in_anchor_year+AA4)-'Cap Engine'!$J$7:$J$43)&lt;in_ppe_life))</f>
        <v/>
      </c>
      <c r="AB48" s="61">
        <f>SUMPRODUCT('Cap Engine'!$B$7:$B$43*('Cap Engine'!$J$7:$J$43&lt;=(in_anchor_year+AB4))*(((in_anchor_year+AB4)-'Cap Engine'!$J$7:$J$43)&lt;in_ppe_life))</f>
        <v/>
      </c>
      <c r="AC48" s="61">
        <f>SUMPRODUCT('Cap Engine'!$B$7:$B$43*('Cap Engine'!$J$7:$J$43&lt;=(in_anchor_year+AC4))*(((in_anchor_year+AC4)-'Cap Engine'!$J$7:$J$43)&lt;in_ppe_life))</f>
        <v/>
      </c>
      <c r="AD48" s="61">
        <f>SUMPRODUCT('Cap Engine'!$B$7:$B$43*('Cap Engine'!$J$7:$J$43&lt;=(in_anchor_year+AD4))*(((in_anchor_year+AD4)-'Cap Engine'!$J$7:$J$43)&lt;in_ppe_life))</f>
        <v/>
      </c>
      <c r="AE48" s="61">
        <f>SUMPRODUCT('Cap Engine'!$B$7:$B$43*('Cap Engine'!$J$7:$J$43&lt;=(in_anchor_year+AE4))*(((in_anchor_year+AE4)-'Cap Engine'!$J$7:$J$43)&lt;in_ppe_life))</f>
        <v/>
      </c>
      <c r="AF48" s="61">
        <f>SUMPRODUCT('Cap Engine'!$B$7:$B$43*('Cap Engine'!$J$7:$J$43&lt;=(in_anchor_year+AF4))*(((in_anchor_year+AF4)-'Cap Engine'!$J$7:$J$43)&lt;in_ppe_life))</f>
        <v/>
      </c>
      <c r="AG48" s="61">
        <f>SUMPRODUCT('Cap Engine'!$B$7:$B$43*('Cap Engine'!$J$7:$J$43&lt;=(in_anchor_year+AG4))*(((in_anchor_year+AG4)-'Cap Engine'!$J$7:$J$43)&lt;in_ppe_life))</f>
        <v/>
      </c>
      <c r="AH48" s="61">
        <f>SUMPRODUCT('Cap Engine'!$B$7:$B$43*('Cap Engine'!$J$7:$J$43&lt;=(in_anchor_year+AH4))*(((in_anchor_year+AH4)-'Cap Engine'!$J$7:$J$43)&lt;in_ppe_life))</f>
        <v/>
      </c>
      <c r="AI48" s="61">
        <f>SUMPRODUCT('Cap Engine'!$B$7:$B$43*('Cap Engine'!$J$7:$J$43&lt;=(in_anchor_year+AI4))*(((in_anchor_year+AI4)-'Cap Engine'!$J$7:$J$43)&lt;in_ppe_life))</f>
        <v/>
      </c>
      <c r="AJ48" s="61">
        <f>SUMPRODUCT('Cap Engine'!$B$7:$B$43*('Cap Engine'!$J$7:$J$43&lt;=(in_anchor_year+AJ4))*(((in_anchor_year+AJ4)-'Cap Engine'!$J$7:$J$43)&lt;in_ppe_life))</f>
        <v/>
      </c>
    </row>
    <row r="49">
      <c r="A49" s="61" t="inlineStr">
        <is>
          <t xml:space="preserve">  TAX depreciation (nominal, historical cost)   &lt;STAGE B1&gt;</t>
        </is>
      </c>
      <c r="G49" s="61">
        <f>G48/in_ppe_life+SUMPRODUCT(($G$4:G4&gt;G4-in_ppe_life)*$G$23:G23*$G$38:G38)/in_ppe_life</f>
        <v/>
      </c>
      <c r="H49" s="61">
        <f>H48/in_ppe_life+SUMPRODUCT(($G$4:H4&gt;H4-in_ppe_life)*$G$23:H23*$G$38:H38)/in_ppe_life</f>
        <v/>
      </c>
      <c r="I49" s="61">
        <f>I48/in_ppe_life+SUMPRODUCT(($G$4:I4&gt;I4-in_ppe_life)*$G$23:I23*$G$38:I38)/in_ppe_life</f>
        <v/>
      </c>
      <c r="J49" s="61">
        <f>J48/in_ppe_life+SUMPRODUCT(($G$4:J4&gt;J4-in_ppe_life)*$G$23:J23*$G$38:J38)/in_ppe_life</f>
        <v/>
      </c>
      <c r="K49" s="61">
        <f>K48/in_ppe_life+SUMPRODUCT(($G$4:K4&gt;K4-in_ppe_life)*$G$23:K23*$G$38:K38)/in_ppe_life</f>
        <v/>
      </c>
      <c r="L49" s="61">
        <f>L48/in_ppe_life+SUMPRODUCT(($G$4:L4&gt;L4-in_ppe_life)*$G$23:L23*$G$38:L38)/in_ppe_life</f>
        <v/>
      </c>
      <c r="M49" s="61">
        <f>M48/in_ppe_life+SUMPRODUCT(($G$4:M4&gt;M4-in_ppe_life)*$G$23:M23*$G$38:M38)/in_ppe_life</f>
        <v/>
      </c>
      <c r="N49" s="61">
        <f>N48/in_ppe_life+SUMPRODUCT(($G$4:N4&gt;N4-in_ppe_life)*$G$23:N23*$G$38:N38)/in_ppe_life</f>
        <v/>
      </c>
      <c r="O49" s="61">
        <f>O48/in_ppe_life+SUMPRODUCT(($G$4:O4&gt;O4-in_ppe_life)*$G$23:O23*$G$38:O38)/in_ppe_life</f>
        <v/>
      </c>
      <c r="P49" s="61">
        <f>P48/in_ppe_life+SUMPRODUCT(($G$4:P4&gt;P4-in_ppe_life)*$G$23:P23*$G$38:P38)/in_ppe_life</f>
        <v/>
      </c>
      <c r="Q49" s="61">
        <f>Q48/in_ppe_life+SUMPRODUCT(($G$4:Q4&gt;Q4-in_ppe_life)*$G$23:Q23*$G$38:Q38)/in_ppe_life</f>
        <v/>
      </c>
      <c r="R49" s="61">
        <f>R48/in_ppe_life+SUMPRODUCT(($G$4:R4&gt;R4-in_ppe_life)*$G$23:R23*$G$38:R38)/in_ppe_life</f>
        <v/>
      </c>
      <c r="S49" s="61">
        <f>S48/in_ppe_life+SUMPRODUCT(($G$4:S4&gt;S4-in_ppe_life)*$G$23:S23*$G$38:S38)/in_ppe_life</f>
        <v/>
      </c>
      <c r="T49" s="61">
        <f>T48/in_ppe_life+SUMPRODUCT(($G$4:T4&gt;T4-in_ppe_life)*$G$23:T23*$G$38:T38)/in_ppe_life</f>
        <v/>
      </c>
      <c r="U49" s="61">
        <f>U48/in_ppe_life+SUMPRODUCT(($G$4:U4&gt;U4-in_ppe_life)*$G$23:U23*$G$38:U38)/in_ppe_life</f>
        <v/>
      </c>
      <c r="V49" s="61">
        <f>V48/in_ppe_life+SUMPRODUCT(($G$4:V4&gt;V4-in_ppe_life)*$G$23:V23*$G$38:V38)/in_ppe_life</f>
        <v/>
      </c>
      <c r="W49" s="61">
        <f>W48/in_ppe_life+SUMPRODUCT(($G$4:W4&gt;W4-in_ppe_life)*$G$23:W23*$G$38:W38)/in_ppe_life</f>
        <v/>
      </c>
      <c r="X49" s="61">
        <f>X48/in_ppe_life+SUMPRODUCT(($G$4:X4&gt;X4-in_ppe_life)*$G$23:X23*$G$38:X38)/in_ppe_life</f>
        <v/>
      </c>
      <c r="Y49" s="61">
        <f>Y48/in_ppe_life+SUMPRODUCT(($G$4:Y4&gt;Y4-in_ppe_life)*$G$23:Y23*$G$38:Y38)/in_ppe_life</f>
        <v/>
      </c>
      <c r="Z49" s="61">
        <f>Z48/in_ppe_life+SUMPRODUCT(($G$4:Z4&gt;Z4-in_ppe_life)*$G$23:Z23*$G$38:Z38)/in_ppe_life</f>
        <v/>
      </c>
      <c r="AA49" s="61">
        <f>AA48/in_ppe_life+SUMPRODUCT(($G$4:AA4&gt;AA4-in_ppe_life)*$G$23:AA23*$G$38:AA38)/in_ppe_life</f>
        <v/>
      </c>
      <c r="AB49" s="61">
        <f>AB48/in_ppe_life+SUMPRODUCT(($G$4:AB4&gt;AB4-in_ppe_life)*$G$23:AB23*$G$38:AB38)/in_ppe_life</f>
        <v/>
      </c>
      <c r="AC49" s="61">
        <f>AC48/in_ppe_life+SUMPRODUCT(($G$4:AC4&gt;AC4-in_ppe_life)*$G$23:AC23*$G$38:AC38)/in_ppe_life</f>
        <v/>
      </c>
      <c r="AD49" s="61">
        <f>AD48/in_ppe_life+SUMPRODUCT(($G$4:AD4&gt;AD4-in_ppe_life)*$G$23:AD23*$G$38:AD38)/in_ppe_life</f>
        <v/>
      </c>
      <c r="AE49" s="61">
        <f>AE48/in_ppe_life+SUMPRODUCT(($G$4:AE4&gt;AE4-in_ppe_life)*$G$23:AE23*$G$38:AE38)/in_ppe_life</f>
        <v/>
      </c>
      <c r="AF49" s="61">
        <f>AF48/in_ppe_life+SUMPRODUCT(($G$4:AF4&gt;AF4-in_ppe_life)*$G$23:AF23*$G$38:AF38)/in_ppe_life</f>
        <v/>
      </c>
      <c r="AG49" s="61">
        <f>AG48/in_ppe_life+SUMPRODUCT(($G$4:AG4&gt;AG4-in_ppe_life)*$G$23:AG23*$G$38:AG38)/in_ppe_life</f>
        <v/>
      </c>
      <c r="AH49" s="61">
        <f>AH48/in_ppe_life+SUMPRODUCT(($G$4:AH4&gt;AH4-in_ppe_life)*$G$23:AH23*$G$38:AH38)/in_ppe_life</f>
        <v/>
      </c>
      <c r="AI49" s="61">
        <f>AI48/in_ppe_life+SUMPRODUCT(($G$4:AI4&gt;AI4-in_ppe_life)*$G$23:AI23*$G$38:AI38)/in_ppe_life</f>
        <v/>
      </c>
      <c r="AJ49" s="61">
        <f>AJ48/in_ppe_life+SUMPRODUCT(($G$4:AJ4&gt;AJ4-in_ppe_life)*$G$23:AJ23*$G$38:AJ38)/in_ppe_life</f>
        <v/>
      </c>
    </row>
    <row r="50" ht="15" customHeight="1" s="62">
      <c r="A50" s="86" t="inlineStr">
        <is>
          <t xml:space="preserve">  NOA growth (real)  [E-driver]</t>
        </is>
      </c>
      <c r="G50" s="89">
        <f>INDEX(scen_noagrowth,MATCH(cfg_scenario,scen_cols,0))</f>
        <v/>
      </c>
      <c r="H50" s="89">
        <f>INDEX(scen_noagrowth,MATCH(cfg_scenario,scen_cols,0))</f>
        <v/>
      </c>
      <c r="I50" s="89">
        <f>INDEX(scen_noagrowth,MATCH(cfg_scenario,scen_cols,0))</f>
        <v/>
      </c>
      <c r="J50" s="89">
        <f>INDEX(scen_noagrowth,MATCH(cfg_scenario,scen_cols,0))</f>
        <v/>
      </c>
      <c r="K50" s="89">
        <f>INDEX(scen_noagrowth,MATCH(cfg_scenario,scen_cols,0))</f>
        <v/>
      </c>
      <c r="L50" s="89">
        <f>INDEX(scen_noagrowth,MATCH(cfg_scenario,scen_cols,0))</f>
        <v/>
      </c>
      <c r="M50" s="89">
        <f>INDEX(scen_noagrowth,MATCH(cfg_scenario,scen_cols,0))</f>
        <v/>
      </c>
      <c r="N50" s="89">
        <f>INDEX(scen_noagrowth,MATCH(cfg_scenario,scen_cols,0))</f>
        <v/>
      </c>
      <c r="O50" s="89">
        <f>INDEX(scen_noagrowth,MATCH(cfg_scenario,scen_cols,0))</f>
        <v/>
      </c>
      <c r="P50" s="89">
        <f>INDEX(scen_noagrowth,MATCH(cfg_scenario,scen_cols,0))</f>
        <v/>
      </c>
      <c r="Q50" s="89">
        <f>INDEX(scen_noagrowth,MATCH(cfg_scenario,scen_cols,0))</f>
        <v/>
      </c>
      <c r="R50" s="89">
        <f>INDEX(scen_noagrowth,MATCH(cfg_scenario,scen_cols,0))</f>
        <v/>
      </c>
      <c r="S50" s="89">
        <f>INDEX(scen_noagrowth,MATCH(cfg_scenario,scen_cols,0))</f>
        <v/>
      </c>
      <c r="T50" s="89">
        <f>INDEX(scen_noagrowth,MATCH(cfg_scenario,scen_cols,0))</f>
        <v/>
      </c>
      <c r="U50" s="89">
        <f>INDEX(scen_noagrowth,MATCH(cfg_scenario,scen_cols,0))</f>
        <v/>
      </c>
      <c r="V50" s="89">
        <f>INDEX(scen_noagrowth,MATCH(cfg_scenario,scen_cols,0))</f>
        <v/>
      </c>
      <c r="W50" s="89">
        <f>INDEX(scen_noagrowth,MATCH(cfg_scenario,scen_cols,0))</f>
        <v/>
      </c>
      <c r="X50" s="89">
        <f>INDEX(scen_noagrowth,MATCH(cfg_scenario,scen_cols,0))</f>
        <v/>
      </c>
      <c r="Y50" s="89">
        <f>INDEX(scen_noagrowth,MATCH(cfg_scenario,scen_cols,0))</f>
        <v/>
      </c>
      <c r="Z50" s="89">
        <f>INDEX(scen_noagrowth,MATCH(cfg_scenario,scen_cols,0))</f>
        <v/>
      </c>
      <c r="AA50" s="89">
        <f>INDEX(scen_noagrowth,MATCH(cfg_scenario,scen_cols,0))</f>
        <v/>
      </c>
      <c r="AB50" s="89">
        <f>INDEX(scen_noagrowth,MATCH(cfg_scenario,scen_cols,0))</f>
        <v/>
      </c>
      <c r="AC50" s="89">
        <f>INDEX(scen_noagrowth,MATCH(cfg_scenario,scen_cols,0))</f>
        <v/>
      </c>
      <c r="AD50" s="89">
        <f>INDEX(scen_noagrowth,MATCH(cfg_scenario,scen_cols,0))</f>
        <v/>
      </c>
      <c r="AE50" s="89">
        <f>INDEX(scen_noagrowth,MATCH(cfg_scenario,scen_cols,0))</f>
        <v/>
      </c>
      <c r="AF50" s="89">
        <f>INDEX(scen_noagrowth,MATCH(cfg_scenario,scen_cols,0))</f>
        <v/>
      </c>
      <c r="AG50" s="89">
        <f>INDEX(scen_noagrowth,MATCH(cfg_scenario,scen_cols,0))</f>
        <v/>
      </c>
      <c r="AH50" s="89">
        <f>INDEX(scen_noagrowth,MATCH(cfg_scenario,scen_cols,0))</f>
        <v/>
      </c>
      <c r="AI50" s="89">
        <f>INDEX(scen_noagrowth,MATCH(cfg_scenario,scen_cols,0))</f>
        <v/>
      </c>
      <c r="AJ50" s="89">
        <f>INDEX(scen_noagrowth,MATCH(cfg_scenario,scen_cols,0))</f>
        <v/>
      </c>
    </row>
    <row r="51" ht="15" customHeight="1" s="62">
      <c r="A51" s="86" t="inlineStr">
        <is>
          <t xml:space="preserve">  FLEV target (or δ)  [driver]</t>
        </is>
      </c>
      <c r="F51" s="111">
        <f>anchor_real_nfo0/anchor_real_cse0</f>
        <v/>
      </c>
      <c r="G51" s="111">
        <f>$F$51</f>
        <v/>
      </c>
      <c r="H51" s="111">
        <f>$F$51</f>
        <v/>
      </c>
      <c r="I51" s="111">
        <f>$F$51</f>
        <v/>
      </c>
      <c r="J51" s="111">
        <f>$F$51</f>
        <v/>
      </c>
      <c r="K51" s="111">
        <f>$F$51</f>
        <v/>
      </c>
      <c r="L51" s="111">
        <f>$F$51</f>
        <v/>
      </c>
      <c r="M51" s="111">
        <f>$F$51</f>
        <v/>
      </c>
      <c r="N51" s="111">
        <f>$F$51</f>
        <v/>
      </c>
      <c r="O51" s="111">
        <f>$F$51</f>
        <v/>
      </c>
      <c r="P51" s="111">
        <f>$F$51</f>
        <v/>
      </c>
      <c r="Q51" s="111">
        <f>$F$51</f>
        <v/>
      </c>
      <c r="R51" s="111">
        <f>$F$51</f>
        <v/>
      </c>
      <c r="S51" s="111">
        <f>$F$51</f>
        <v/>
      </c>
      <c r="T51" s="111">
        <f>$F$51</f>
        <v/>
      </c>
      <c r="U51" s="111">
        <f>$F$51</f>
        <v/>
      </c>
      <c r="V51" s="111">
        <f>$F$51</f>
        <v/>
      </c>
      <c r="W51" s="111">
        <f>$F$51</f>
        <v/>
      </c>
      <c r="X51" s="111">
        <f>$F$51</f>
        <v/>
      </c>
      <c r="Y51" s="111">
        <f>$F$51</f>
        <v/>
      </c>
      <c r="Z51" s="111">
        <f>$F$51</f>
        <v/>
      </c>
      <c r="AA51" s="111">
        <f>$F$51</f>
        <v/>
      </c>
      <c r="AB51" s="111">
        <f>$F$51</f>
        <v/>
      </c>
      <c r="AC51" s="111">
        <f>$F$51</f>
        <v/>
      </c>
      <c r="AD51" s="111">
        <f>$F$51</f>
        <v/>
      </c>
      <c r="AE51" s="111">
        <f>$F$51</f>
        <v/>
      </c>
      <c r="AF51" s="111">
        <f>$F$51</f>
        <v/>
      </c>
      <c r="AG51" s="111">
        <f>$F$51</f>
        <v/>
      </c>
      <c r="AH51" s="111">
        <f>$F$51</f>
        <v/>
      </c>
      <c r="AI51" s="111">
        <f>$F$51</f>
        <v/>
      </c>
      <c r="AJ51" s="111">
        <f>$F$51</f>
        <v/>
      </c>
    </row>
    <row r="52">
      <c r="A52" s="61" t="inlineStr">
        <is>
          <t xml:space="preserve">  economic depreciation (nominal, current cost)   &lt;STAGE B1&gt;</t>
        </is>
      </c>
      <c r="G52" s="61">
        <f>G13*G38</f>
        <v/>
      </c>
      <c r="H52" s="61">
        <f>H13*H38</f>
        <v/>
      </c>
      <c r="I52" s="61">
        <f>I13*I38</f>
        <v/>
      </c>
      <c r="J52" s="61">
        <f>J13*J38</f>
        <v/>
      </c>
      <c r="K52" s="61">
        <f>K13*K38</f>
        <v/>
      </c>
      <c r="L52" s="61">
        <f>L13*L38</f>
        <v/>
      </c>
      <c r="M52" s="61">
        <f>M13*M38</f>
        <v/>
      </c>
      <c r="N52" s="61">
        <f>N13*N38</f>
        <v/>
      </c>
      <c r="O52" s="61">
        <f>O13*O38</f>
        <v/>
      </c>
      <c r="P52" s="61">
        <f>P13*P38</f>
        <v/>
      </c>
      <c r="Q52" s="61">
        <f>Q13*Q38</f>
        <v/>
      </c>
      <c r="R52" s="61">
        <f>R13*R38</f>
        <v/>
      </c>
      <c r="S52" s="61">
        <f>S13*S38</f>
        <v/>
      </c>
      <c r="T52" s="61">
        <f>T13*T38</f>
        <v/>
      </c>
      <c r="U52" s="61">
        <f>U13*U38</f>
        <v/>
      </c>
      <c r="V52" s="61">
        <f>V13*V38</f>
        <v/>
      </c>
      <c r="W52" s="61">
        <f>W13*W38</f>
        <v/>
      </c>
      <c r="X52" s="61">
        <f>X13*X38</f>
        <v/>
      </c>
      <c r="Y52" s="61">
        <f>Y13*Y38</f>
        <v/>
      </c>
      <c r="Z52" s="61">
        <f>Z13*Z38</f>
        <v/>
      </c>
      <c r="AA52" s="61">
        <f>AA13*AA38</f>
        <v/>
      </c>
      <c r="AB52" s="61">
        <f>AB13*AB38</f>
        <v/>
      </c>
      <c r="AC52" s="61">
        <f>AC13*AC38</f>
        <v/>
      </c>
      <c r="AD52" s="61">
        <f>AD13*AD38</f>
        <v/>
      </c>
      <c r="AE52" s="61">
        <f>AE13*AE38</f>
        <v/>
      </c>
      <c r="AF52" s="61">
        <f>AF13*AF38</f>
        <v/>
      </c>
      <c r="AG52" s="61">
        <f>AG13*AG38</f>
        <v/>
      </c>
      <c r="AH52" s="61">
        <f>AH13*AH38</f>
        <v/>
      </c>
      <c r="AI52" s="61">
        <f>AI13*AI38</f>
        <v/>
      </c>
      <c r="AJ52" s="61">
        <f>AJ13*AJ38</f>
        <v/>
      </c>
    </row>
    <row r="53" ht="15" customHeight="1" s="62">
      <c r="A53" s="83" t="inlineStr">
        <is>
          <t>DuPont &amp; Identity checks</t>
        </is>
      </c>
    </row>
    <row r="54" ht="15" customHeight="1" s="62">
      <c r="A54" s="86" t="inlineStr">
        <is>
          <t>RNOA = OI ÷ prior NOA</t>
        </is>
      </c>
      <c r="G54" s="103">
        <f>IF(F24=0,"",G16/F24)</f>
        <v/>
      </c>
      <c r="H54" s="103">
        <f>IF(G24=0,"",H16/G24)</f>
        <v/>
      </c>
      <c r="I54" s="103">
        <f>IF(H24=0,"",I16/H24)</f>
        <v/>
      </c>
      <c r="J54" s="103">
        <f>IF(I24=0,"",J16/I24)</f>
        <v/>
      </c>
      <c r="K54" s="103">
        <f>IF(J24=0,"",K16/J24)</f>
        <v/>
      </c>
      <c r="L54" s="103">
        <f>IF(K24=0,"",L16/K24)</f>
        <v/>
      </c>
      <c r="M54" s="103">
        <f>IF(L24=0,"",M16/L24)</f>
        <v/>
      </c>
      <c r="N54" s="103">
        <f>IF(M24=0,"",N16/M24)</f>
        <v/>
      </c>
      <c r="O54" s="103">
        <f>IF(N24=0,"",O16/N24)</f>
        <v/>
      </c>
      <c r="P54" s="103">
        <f>IF(O24=0,"",P16/O24)</f>
        <v/>
      </c>
      <c r="Q54" s="103">
        <f>IF(P24=0,"",Q16/P24)</f>
        <v/>
      </c>
      <c r="R54" s="103">
        <f>IF(Q24=0,"",R16/Q24)</f>
        <v/>
      </c>
      <c r="S54" s="103">
        <f>IF(R24=0,"",S16/R24)</f>
        <v/>
      </c>
      <c r="T54" s="86">
        <f>IF(S24=0,"",T16/S24)</f>
        <v/>
      </c>
      <c r="U54" s="86">
        <f>IF(T24=0,"",U16/T24)</f>
        <v/>
      </c>
      <c r="V54" s="86">
        <f>IF(U24=0,"",V16/U24)</f>
        <v/>
      </c>
      <c r="W54" s="86">
        <f>IF(V24=0,"",W16/V24)</f>
        <v/>
      </c>
      <c r="X54" s="86">
        <f>IF(W24=0,"",X16/W24)</f>
        <v/>
      </c>
      <c r="Y54" s="86">
        <f>IF(X24=0,"",Y16/X24)</f>
        <v/>
      </c>
      <c r="Z54" s="86">
        <f>IF(Y24=0,"",Z16/Y24)</f>
        <v/>
      </c>
      <c r="AA54" s="86">
        <f>IF(Z24=0,"",AA16/Z24)</f>
        <v/>
      </c>
      <c r="AB54" s="86">
        <f>IF(AA24=0,"",AB16/AA24)</f>
        <v/>
      </c>
      <c r="AC54" s="86">
        <f>IF(AB24=0,"",AC16/AB24)</f>
        <v/>
      </c>
      <c r="AD54" s="86">
        <f>IF(AC24=0,"",AD16/AC24)</f>
        <v/>
      </c>
      <c r="AE54" s="86">
        <f>IF(AD24=0,"",AE16/AD24)</f>
        <v/>
      </c>
      <c r="AF54" s="86">
        <f>IF(AE24=0,"",AF16/AE24)</f>
        <v/>
      </c>
      <c r="AG54" s="86">
        <f>IF(AF24=0,"",AG16/AF24)</f>
        <v/>
      </c>
      <c r="AH54" s="86">
        <f>IF(AG24=0,"",AH16/AG24)</f>
        <v/>
      </c>
      <c r="AI54" s="86">
        <f>IF(AH24=0,"",AI16/AH24)</f>
        <v/>
      </c>
      <c r="AJ54" s="86">
        <f>IF(AI24=0,"",AJ16/AI24)</f>
        <v/>
      </c>
    </row>
    <row r="55" ht="15" customHeight="1" s="62">
      <c r="A55" s="86" t="inlineStr">
        <is>
          <t>FLEV = NFO ÷ CSE</t>
        </is>
      </c>
      <c r="F55" s="105">
        <f>IF(F27=0,"",F25/F27)</f>
        <v/>
      </c>
      <c r="G55" s="105">
        <f>IF(G27=0,"",G25/G27)</f>
        <v/>
      </c>
      <c r="H55" s="105">
        <f>IF(H27=0,"",H25/H27)</f>
        <v/>
      </c>
      <c r="I55" s="105">
        <f>IF(I27=0,"",I25/I27)</f>
        <v/>
      </c>
      <c r="J55" s="105">
        <f>IF(J27=0,"",J25/J27)</f>
        <v/>
      </c>
      <c r="K55" s="105">
        <f>IF(K27=0,"",K25/K27)</f>
        <v/>
      </c>
      <c r="L55" s="105">
        <f>IF(L27=0,"",L25/L27)</f>
        <v/>
      </c>
      <c r="M55" s="105">
        <f>IF(M27=0,"",M25/M27)</f>
        <v/>
      </c>
      <c r="N55" s="105">
        <f>IF(N27=0,"",N25/N27)</f>
        <v/>
      </c>
      <c r="O55" s="105">
        <f>IF(O27=0,"",O25/O27)</f>
        <v/>
      </c>
      <c r="P55" s="105">
        <f>IF(P27=0,"",P25/P27)</f>
        <v/>
      </c>
      <c r="Q55" s="105">
        <f>IF(Q27=0,"",Q25/Q27)</f>
        <v/>
      </c>
      <c r="R55" s="105">
        <f>IF(R27=0,"",R25/R27)</f>
        <v/>
      </c>
      <c r="S55" s="105">
        <f>IF(S27=0,"",S25/S27)</f>
        <v/>
      </c>
      <c r="T55" s="86">
        <f>IF(T27=0,"",T25/T27)</f>
        <v/>
      </c>
      <c r="U55" s="86">
        <f>IF(U27=0,"",U25/U27)</f>
        <v/>
      </c>
      <c r="V55" s="86">
        <f>IF(V27=0,"",V25/V27)</f>
        <v/>
      </c>
      <c r="W55" s="86">
        <f>IF(W27=0,"",W25/W27)</f>
        <v/>
      </c>
      <c r="X55" s="86">
        <f>IF(X27=0,"",X25/X27)</f>
        <v/>
      </c>
      <c r="Y55" s="86">
        <f>IF(Y27=0,"",Y25/Y27)</f>
        <v/>
      </c>
      <c r="Z55" s="86">
        <f>IF(Z27=0,"",Z25/Z27)</f>
        <v/>
      </c>
      <c r="AA55" s="86">
        <f>IF(AA27=0,"",AA25/AA27)</f>
        <v/>
      </c>
      <c r="AB55" s="86">
        <f>IF(AB27=0,"",AB25/AB27)</f>
        <v/>
      </c>
      <c r="AC55" s="86">
        <f>IF(AC27=0,"",AC25/AC27)</f>
        <v/>
      </c>
      <c r="AD55" s="86">
        <f>IF(AD27=0,"",AD25/AD27)</f>
        <v/>
      </c>
      <c r="AE55" s="86">
        <f>IF(AE27=0,"",AE25/AE27)</f>
        <v/>
      </c>
      <c r="AF55" s="86">
        <f>IF(AF27=0,"",AF25/AF27)</f>
        <v/>
      </c>
      <c r="AG55" s="86">
        <f>IF(AG27=0,"",AG25/AG27)</f>
        <v/>
      </c>
      <c r="AH55" s="86">
        <f>IF(AH27=0,"",AH25/AH27)</f>
        <v/>
      </c>
      <c r="AI55" s="86">
        <f>IF(AI27=0,"",AI25/AI27)</f>
        <v/>
      </c>
      <c r="AJ55" s="86">
        <f>IF(AJ27=0,"",AJ25/AJ27)</f>
        <v/>
      </c>
    </row>
    <row r="56" ht="15" customHeight="1" s="62">
      <c r="A56" s="86" t="inlineStr">
        <is>
          <t>tie: NOA − NFO − CSE</t>
        </is>
      </c>
      <c r="F56" s="104">
        <f>F24-F25-F27</f>
        <v/>
      </c>
      <c r="G56" s="104">
        <f>G24-G25-G27</f>
        <v/>
      </c>
      <c r="H56" s="104">
        <f>H24-H25-H27</f>
        <v/>
      </c>
      <c r="I56" s="104">
        <f>I24-I25-I27</f>
        <v/>
      </c>
      <c r="J56" s="104">
        <f>J24-J25-J27</f>
        <v/>
      </c>
      <c r="K56" s="104">
        <f>K24-K25-K27</f>
        <v/>
      </c>
      <c r="L56" s="104">
        <f>L24-L25-L27</f>
        <v/>
      </c>
      <c r="M56" s="104">
        <f>M24-M25-M27</f>
        <v/>
      </c>
      <c r="N56" s="104">
        <f>N24-N25-N27</f>
        <v/>
      </c>
      <c r="O56" s="104">
        <f>O24-O25-O27</f>
        <v/>
      </c>
      <c r="P56" s="104">
        <f>P24-P25-P27</f>
        <v/>
      </c>
      <c r="Q56" s="104">
        <f>Q24-Q25-Q27</f>
        <v/>
      </c>
      <c r="R56" s="104">
        <f>R24-R25-R27</f>
        <v/>
      </c>
      <c r="S56" s="104">
        <f>S24-S25-S27</f>
        <v/>
      </c>
      <c r="T56" s="86">
        <f>T24-T25-T27</f>
        <v/>
      </c>
      <c r="U56" s="86">
        <f>U24-U25-U27</f>
        <v/>
      </c>
      <c r="V56" s="86">
        <f>V24-V25-V27</f>
        <v/>
      </c>
      <c r="W56" s="86">
        <f>W24-W25-W27</f>
        <v/>
      </c>
      <c r="X56" s="86">
        <f>X24-X25-X27</f>
        <v/>
      </c>
      <c r="Y56" s="86">
        <f>Y24-Y25-Y27</f>
        <v/>
      </c>
      <c r="Z56" s="86">
        <f>Z24-Z25-Z27</f>
        <v/>
      </c>
      <c r="AA56" s="86">
        <f>AA24-AA25-AA27</f>
        <v/>
      </c>
      <c r="AB56" s="86">
        <f>AB24-AB25-AB27</f>
        <v/>
      </c>
      <c r="AC56" s="86">
        <f>AC24-AC25-AC27</f>
        <v/>
      </c>
      <c r="AD56" s="86">
        <f>AD24-AD25-AD27</f>
        <v/>
      </c>
      <c r="AE56" s="86">
        <f>AE24-AE25-AE27</f>
        <v/>
      </c>
      <c r="AF56" s="86">
        <f>AF24-AF25-AF27</f>
        <v/>
      </c>
      <c r="AG56" s="86">
        <f>AG24-AG25-AG27</f>
        <v/>
      </c>
      <c r="AH56" s="86">
        <f>AH24-AH25-AH27</f>
        <v/>
      </c>
      <c r="AI56" s="86">
        <f>AI24-AI25-AI27</f>
        <v/>
      </c>
      <c r="AJ56" s="86">
        <f>AJ24-AJ25-AJ27</f>
        <v/>
      </c>
    </row>
    <row r="57" ht="15" customHeight="1" s="62">
      <c r="A57" s="86" t="inlineStr">
        <is>
          <t>tie: EPS×shares − NI</t>
        </is>
      </c>
      <c r="G57" s="104">
        <f>G30*G20-G19</f>
        <v/>
      </c>
      <c r="H57" s="104">
        <f>H30*H20-H19</f>
        <v/>
      </c>
      <c r="I57" s="104">
        <f>I30*I20-I19</f>
        <v/>
      </c>
      <c r="J57" s="104">
        <f>J30*J20-J19</f>
        <v/>
      </c>
      <c r="K57" s="104">
        <f>K30*K20-K19</f>
        <v/>
      </c>
      <c r="L57" s="104">
        <f>L30*L20-L19</f>
        <v/>
      </c>
      <c r="M57" s="104">
        <f>M30*M20-M19</f>
        <v/>
      </c>
      <c r="N57" s="104">
        <f>N30*N20-N19</f>
        <v/>
      </c>
      <c r="O57" s="104">
        <f>O30*O20-O19</f>
        <v/>
      </c>
      <c r="P57" s="104">
        <f>P30*P20-P19</f>
        <v/>
      </c>
      <c r="Q57" s="104">
        <f>Q30*Q20-Q19</f>
        <v/>
      </c>
      <c r="R57" s="104">
        <f>R30*R20-R19</f>
        <v/>
      </c>
      <c r="S57" s="104">
        <f>S30*S20-S19</f>
        <v/>
      </c>
      <c r="T57" s="86">
        <f>T30*T20-T19</f>
        <v/>
      </c>
      <c r="U57" s="86">
        <f>U30*U20-U19</f>
        <v/>
      </c>
      <c r="V57" s="86">
        <f>V30*V20-V19</f>
        <v/>
      </c>
      <c r="W57" s="86">
        <f>W30*W20-W19</f>
        <v/>
      </c>
      <c r="X57" s="86">
        <f>X30*X20-X19</f>
        <v/>
      </c>
      <c r="Y57" s="86">
        <f>Y30*Y20-Y19</f>
        <v/>
      </c>
      <c r="Z57" s="86">
        <f>Z30*Z20-Z19</f>
        <v/>
      </c>
      <c r="AA57" s="86">
        <f>AA30*AA20-AA19</f>
        <v/>
      </c>
      <c r="AB57" s="86">
        <f>AB30*AB20-AB19</f>
        <v/>
      </c>
      <c r="AC57" s="86">
        <f>AC30*AC20-AC19</f>
        <v/>
      </c>
      <c r="AD57" s="86">
        <f>AD30*AD20-AD19</f>
        <v/>
      </c>
      <c r="AE57" s="86">
        <f>AE30*AE20-AE19</f>
        <v/>
      </c>
      <c r="AF57" s="86">
        <f>AF30*AF20-AF19</f>
        <v/>
      </c>
      <c r="AG57" s="86">
        <f>AG30*AG20-AG19</f>
        <v/>
      </c>
      <c r="AH57" s="86">
        <f>AH30*AH20-AH19</f>
        <v/>
      </c>
      <c r="AI57" s="86">
        <f>AI30*AI20-AI19</f>
        <v/>
      </c>
      <c r="AJ57" s="86">
        <f>AJ30*AJ20-AJ19</f>
        <v/>
      </c>
    </row>
    <row r="58" ht="15" customHeight="1" s="62">
      <c r="A58" s="86" t="inlineStr">
        <is>
          <t>tie: FCFE − total distribution</t>
        </is>
      </c>
      <c r="G58" s="104">
        <f>(G16-(G24-F24)-G18+(G25-F25))-(G29*G20+G31)</f>
        <v/>
      </c>
      <c r="H58" s="104">
        <f>(H16-(H24-G24)-H18+(H25-G25))-(H29*H20+H31)</f>
        <v/>
      </c>
      <c r="I58" s="104">
        <f>(I16-(I24-H24)-I18+(I25-H25))-(I29*I20+I31)</f>
        <v/>
      </c>
      <c r="J58" s="104">
        <f>(J16-(J24-I24)-J18+(J25-I25))-(J29*J20+J31)</f>
        <v/>
      </c>
      <c r="K58" s="104">
        <f>(K16-(K24-J24)-K18+(K25-J25))-(K29*K20+K31)</f>
        <v/>
      </c>
      <c r="L58" s="104">
        <f>(L16-(L24-K24)-L18+(L25-K25))-(L29*L20+L31)</f>
        <v/>
      </c>
      <c r="M58" s="104">
        <f>(M16-(M24-L24)-M18+(M25-L25))-(M29*M20+M31)</f>
        <v/>
      </c>
      <c r="N58" s="104">
        <f>(N16-(N24-M24)-N18+(N25-M25))-(N29*N20+N31)</f>
        <v/>
      </c>
      <c r="O58" s="104">
        <f>(O16-(O24-N24)-O18+(O25-N25))-(O29*O20+O31)</f>
        <v/>
      </c>
      <c r="P58" s="104">
        <f>(P16-(P24-O24)-P18+(P25-O25))-(P29*P20+P31)</f>
        <v/>
      </c>
      <c r="Q58" s="104">
        <f>(Q16-(Q24-P24)-Q18+(Q25-P25))-(Q29*Q20+Q31)</f>
        <v/>
      </c>
      <c r="R58" s="104">
        <f>(R16-(R24-Q24)-R18+(R25-Q25))-(R29*R20+R31)</f>
        <v/>
      </c>
      <c r="S58" s="104">
        <f>(S16-(S24-R24)-S18+(S25-R25))-(S29*S20+S31)</f>
        <v/>
      </c>
      <c r="T58" s="86">
        <f>(T16-(T24-S24)-T18+(T25-S25))-(T29*T20+T31)</f>
        <v/>
      </c>
      <c r="U58" s="86">
        <f>(U16-(U24-T24)-U18+(U25-T25))-(U29*U20+U31)</f>
        <v/>
      </c>
      <c r="V58" s="86">
        <f>(V16-(V24-U24)-V18+(V25-U25))-(V29*V20+V31)</f>
        <v/>
      </c>
      <c r="W58" s="86">
        <f>(W16-(W24-V24)-W18+(W25-V25))-(W29*W20+W31)</f>
        <v/>
      </c>
      <c r="X58" s="86">
        <f>(X16-(X24-W24)-X18+(X25-W25))-(X29*X20+X31)</f>
        <v/>
      </c>
      <c r="Y58" s="86">
        <f>(Y16-(Y24-X24)-Y18+(Y25-X25))-(Y29*Y20+Y31)</f>
        <v/>
      </c>
      <c r="Z58" s="86">
        <f>(Z16-(Z24-Y24)-Z18+(Z25-Y25))-(Z29*Z20+Z31)</f>
        <v/>
      </c>
      <c r="AA58" s="86">
        <f>(AA16-(AA24-Z24)-AA18+(AA25-Z25))-(AA29*AA20+AA31)</f>
        <v/>
      </c>
      <c r="AB58" s="86">
        <f>(AB16-(AB24-AA24)-AB18+(AB25-AA25))-(AB29*AB20+AB31)</f>
        <v/>
      </c>
      <c r="AC58" s="86">
        <f>(AC16-(AC24-AB24)-AC18+(AC25-AB25))-(AC29*AC20+AC31)</f>
        <v/>
      </c>
      <c r="AD58" s="86">
        <f>(AD16-(AD24-AC24)-AD18+(AD25-AC25))-(AD29*AD20+AD31)</f>
        <v/>
      </c>
      <c r="AE58" s="86">
        <f>(AE16-(AE24-AD24)-AE18+(AE25-AD25))-(AE29*AE20+AE31)</f>
        <v/>
      </c>
      <c r="AF58" s="86">
        <f>(AF16-(AF24-AE24)-AF18+(AF25-AE25))-(AF29*AF20+AF31)</f>
        <v/>
      </c>
      <c r="AG58" s="86">
        <f>(AG16-(AG24-AF24)-AG18+(AG25-AF25))-(AG29*AG20+AG31)</f>
        <v/>
      </c>
      <c r="AH58" s="86">
        <f>(AH16-(AH24-AG24)-AH18+(AH25-AG25))-(AH29*AH20+AH31)</f>
        <v/>
      </c>
      <c r="AI58" s="86">
        <f>(AI16-(AI24-AH24)-AI18+(AI25-AH25))-(AI29*AI20+AI31)</f>
        <v/>
      </c>
      <c r="AJ58" s="86">
        <f>(AJ16-(AJ24-AI24)-AJ18+(AJ25-AI25))-(AJ29*AJ20+AJ31)</f>
        <v/>
      </c>
    </row>
    <row r="60" ht="15" customHeight="1" s="62">
      <c r="B60" s="61" t="inlineStr">
        <is>
          <t>rF_t (leverage-implied, normal-fill charge)</t>
        </is>
      </c>
      <c r="G60" s="61">
        <f>(INDEX(finrate_coe,G4)+F55*INDEX(finrate_cod,G4))/(1+F55)</f>
        <v/>
      </c>
      <c r="H60" s="61">
        <f>(INDEX(finrate_coe,H4)+G55*INDEX(finrate_cod,H4))/(1+G55)</f>
        <v/>
      </c>
      <c r="I60" s="61">
        <f>(INDEX(finrate_coe,I4)+H55*INDEX(finrate_cod,I4))/(1+H55)</f>
        <v/>
      </c>
      <c r="J60" s="61">
        <f>(INDEX(finrate_coe,J4)+I55*INDEX(finrate_cod,J4))/(1+I55)</f>
        <v/>
      </c>
      <c r="K60" s="61">
        <f>(INDEX(finrate_coe,K4)+J55*INDEX(finrate_cod,K4))/(1+J55)</f>
        <v/>
      </c>
      <c r="L60" s="61">
        <f>(INDEX(finrate_coe,L4)+K55*INDEX(finrate_cod,L4))/(1+K55)</f>
        <v/>
      </c>
      <c r="M60" s="61">
        <f>(INDEX(finrate_coe,M4)+L55*INDEX(finrate_cod,M4))/(1+L55)</f>
        <v/>
      </c>
      <c r="N60" s="61">
        <f>(INDEX(finrate_coe,N4)+M55*INDEX(finrate_cod,N4))/(1+M55)</f>
        <v/>
      </c>
      <c r="O60" s="61">
        <f>(INDEX(finrate_coe,O4)+N55*INDEX(finrate_cod,O4))/(1+N55)</f>
        <v/>
      </c>
      <c r="P60" s="61">
        <f>(INDEX(finrate_coe,P4)+O55*INDEX(finrate_cod,P4))/(1+O55)</f>
        <v/>
      </c>
      <c r="Q60" s="61">
        <f>(INDEX(finrate_coe,Q4)+P55*INDEX(finrate_cod,Q4))/(1+P55)</f>
        <v/>
      </c>
      <c r="R60" s="61">
        <f>(INDEX(finrate_coe,R4)+Q55*INDEX(finrate_cod,R4))/(1+Q55)</f>
        <v/>
      </c>
      <c r="S60" s="61">
        <f>(INDEX(finrate_coe,S4)+R55*INDEX(finrate_cod,S4))/(1+R55)</f>
        <v/>
      </c>
      <c r="T60" s="61">
        <f>(INDEX(finrate_coe,T4)+S55*INDEX(finrate_cod,T4))/(1+S55)</f>
        <v/>
      </c>
      <c r="U60" s="61">
        <f>(INDEX(finrate_coe,U4)+T55*INDEX(finrate_cod,U4))/(1+T55)</f>
        <v/>
      </c>
      <c r="V60" s="61">
        <f>(INDEX(finrate_coe,V4)+U55*INDEX(finrate_cod,V4))/(1+U55)</f>
        <v/>
      </c>
      <c r="W60" s="61">
        <f>(INDEX(finrate_coe,W4)+V55*INDEX(finrate_cod,W4))/(1+V55)</f>
        <v/>
      </c>
      <c r="X60" s="61">
        <f>(INDEX(finrate_coe,X4)+W55*INDEX(finrate_cod,X4))/(1+W55)</f>
        <v/>
      </c>
      <c r="Y60" s="61">
        <f>(INDEX(finrate_coe,Y4)+X55*INDEX(finrate_cod,Y4))/(1+X55)</f>
        <v/>
      </c>
      <c r="Z60" s="61">
        <f>(INDEX(finrate_coe,Z4)+Y55*INDEX(finrate_cod,Z4))/(1+Y55)</f>
        <v/>
      </c>
      <c r="AA60" s="61">
        <f>(INDEX(finrate_coe,AA4)+Z55*INDEX(finrate_cod,AA4))/(1+Z55)</f>
        <v/>
      </c>
      <c r="AB60" s="61">
        <f>(INDEX(finrate_coe,AB4)+AA55*INDEX(finrate_cod,AB4))/(1+AA55)</f>
        <v/>
      </c>
      <c r="AC60" s="61">
        <f>(INDEX(finrate_coe,AC4)+AB55*INDEX(finrate_cod,AC4))/(1+AB55)</f>
        <v/>
      </c>
      <c r="AD60" s="61">
        <f>(INDEX(finrate_coe,AD4)+AC55*INDEX(finrate_cod,AD4))/(1+AC55)</f>
        <v/>
      </c>
      <c r="AE60" s="61">
        <f>(INDEX(finrate_coe,AE4)+AD55*INDEX(finrate_cod,AE4))/(1+AD55)</f>
        <v/>
      </c>
      <c r="AF60" s="61">
        <f>(INDEX(finrate_coe,AF4)+AE55*INDEX(finrate_cod,AF4))/(1+AE55)</f>
        <v/>
      </c>
      <c r="AG60" s="61">
        <f>(INDEX(finrate_coe,AG4)+AF55*INDEX(finrate_cod,AG4))/(1+AF55)</f>
        <v/>
      </c>
      <c r="AH60" s="61">
        <f>(INDEX(finrate_coe,AH4)+AG55*INDEX(finrate_cod,AH4))/(1+AG55)</f>
        <v/>
      </c>
      <c r="AI60" s="61">
        <f>(INDEX(finrate_coe,AI4)+AH55*INDEX(finrate_cod,AI4))/(1+AH55)</f>
        <v/>
      </c>
      <c r="AJ60" s="61">
        <f>(INDEX(finrate_coe,AJ4)+AI55*INDEX(finrate_cod,AJ4))/(1+AI55)</f>
        <v/>
      </c>
    </row>
    <row r="61" ht="15" customHeight="1" s="62">
      <c r="B61" s="61" t="inlineStr">
        <is>
          <t>R&amp;D econ charge (real; reconciles fwd EBIT to OI anchor)</t>
        </is>
      </c>
      <c r="F61" s="61">
        <f>(F9-F11-F13)-F15</f>
        <v/>
      </c>
      <c r="G61" s="61">
        <f>$F$61*G7/$F$7</f>
        <v/>
      </c>
      <c r="H61" s="61">
        <f>$F$61*H7/$F$7</f>
        <v/>
      </c>
      <c r="I61" s="61">
        <f>$F$61*I7/$F$7</f>
        <v/>
      </c>
      <c r="J61" s="61">
        <f>$F$61*J7/$F$7</f>
        <v/>
      </c>
      <c r="K61" s="61">
        <f>$F$61*K7/$F$7</f>
        <v/>
      </c>
      <c r="L61" s="61">
        <f>$F$61*L7/$F$7</f>
        <v/>
      </c>
      <c r="M61" s="61">
        <f>$F$61*M7/$F$7</f>
        <v/>
      </c>
      <c r="N61" s="61">
        <f>$F$61*N7/$F$7</f>
        <v/>
      </c>
      <c r="O61" s="61">
        <f>$F$61*O7/$F$7</f>
        <v/>
      </c>
      <c r="P61" s="61">
        <f>$F$61*P7/$F$7</f>
        <v/>
      </c>
      <c r="Q61" s="61">
        <f>$F$61*Q7/$F$7</f>
        <v/>
      </c>
      <c r="R61" s="61">
        <f>$F$61*R7/$F$7</f>
        <v/>
      </c>
      <c r="S61" s="61">
        <f>$F$61*S7/$F$7</f>
        <v/>
      </c>
      <c r="T61" s="61">
        <f>$F$61*T7/$F$7</f>
        <v/>
      </c>
      <c r="U61" s="61">
        <f>$F$61*U7/$F$7</f>
        <v/>
      </c>
      <c r="V61" s="61">
        <f>$F$61*V7/$F$7</f>
        <v/>
      </c>
      <c r="W61" s="61">
        <f>$F$61*W7/$F$7</f>
        <v/>
      </c>
      <c r="X61" s="61">
        <f>$F$61*X7/$F$7</f>
        <v/>
      </c>
      <c r="Y61" s="61">
        <f>$F$61*Y7/$F$7</f>
        <v/>
      </c>
      <c r="Z61" s="61">
        <f>$F$61*Z7/$F$7</f>
        <v/>
      </c>
      <c r="AA61" s="61">
        <f>$F$61*AA7/$F$7</f>
        <v/>
      </c>
      <c r="AB61" s="61">
        <f>$F$61*AB7/$F$7</f>
        <v/>
      </c>
      <c r="AC61" s="61">
        <f>$F$61*AC7/$F$7</f>
        <v/>
      </c>
      <c r="AD61" s="61">
        <f>$F$61*AD7/$F$7</f>
        <v/>
      </c>
      <c r="AE61" s="61">
        <f>$F$61*AE7/$F$7</f>
        <v/>
      </c>
      <c r="AF61" s="61">
        <f>$F$61*AF7/$F$7</f>
        <v/>
      </c>
      <c r="AG61" s="61">
        <f>$F$61*AG7/$F$7</f>
        <v/>
      </c>
      <c r="AH61" s="61">
        <f>$F$61*AH7/$F$7</f>
        <v/>
      </c>
      <c r="AI61" s="61">
        <f>$F$61*AI7/$F$7</f>
        <v/>
      </c>
      <c r="AJ61" s="61">
        <f>$F$61*AJ7/$F$7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F7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61" min="1" max="1"/>
    <col width="9" customWidth="1" style="61" min="2" max="15"/>
  </cols>
  <sheetData>
    <row r="1" ht="15" customHeight="1" s="62">
      <c r="A1" s="63" t="inlineStr">
        <is>
          <t>VALUATION — AEG equity decomposition · NOMINAL forecast, nominal discounting, real-rate capitalisation, curve-implied annuity factors (value in 2026$/sh)</t>
        </is>
      </c>
    </row>
    <row r="2" ht="15" customHeight="1" s="62">
      <c r="A2" s="64" t="inlineStr">
        <is>
          <t>Equity: AEG on forecast EPS/DPS at ρE (finrate_coe). Financing at ρD (finrate_cod), constant structure. ρF leverage-implied → V(OI)−V(NFE)=V(EPS) as an identity. cfg_valread picks the read; tie proves agreement.</t>
        </is>
      </c>
    </row>
    <row r="4" ht="15" customHeight="1" s="62">
      <c r="A4" s="83" t="inlineStr">
        <is>
          <t>Period t  (0 = anchor)</t>
        </is>
      </c>
      <c r="B4" s="109" t="n">
        <v>0</v>
      </c>
      <c r="C4" s="109" t="n">
        <v>1</v>
      </c>
      <c r="D4" s="109" t="n">
        <v>2</v>
      </c>
      <c r="E4" s="109" t="n">
        <v>3</v>
      </c>
      <c r="F4" s="109" t="n">
        <v>4</v>
      </c>
      <c r="G4" s="109" t="n">
        <v>5</v>
      </c>
      <c r="H4" s="109" t="n">
        <v>6</v>
      </c>
      <c r="I4" s="109" t="n">
        <v>7</v>
      </c>
      <c r="J4" s="109" t="n">
        <v>8</v>
      </c>
      <c r="K4" s="109" t="n">
        <v>9</v>
      </c>
      <c r="L4" s="109" t="n">
        <v>10</v>
      </c>
      <c r="M4" s="109" t="n">
        <v>11</v>
      </c>
      <c r="N4" s="109" t="n">
        <v>12</v>
      </c>
      <c r="O4" s="109" t="n">
        <v>13</v>
      </c>
      <c r="P4" s="61" t="n">
        <v>14</v>
      </c>
      <c r="Q4" s="61" t="n">
        <v>15</v>
      </c>
      <c r="R4" s="61" t="n">
        <v>16</v>
      </c>
      <c r="S4" s="61" t="n">
        <v>17</v>
      </c>
      <c r="T4" s="61" t="n">
        <v>18</v>
      </c>
      <c r="U4" s="61" t="n">
        <v>19</v>
      </c>
      <c r="V4" s="61" t="n">
        <v>20</v>
      </c>
      <c r="W4" s="61" t="n">
        <v>21</v>
      </c>
      <c r="X4" s="61" t="n">
        <v>22</v>
      </c>
      <c r="Y4" s="61" t="n">
        <v>23</v>
      </c>
      <c r="Z4" s="61" t="n">
        <v>24</v>
      </c>
      <c r="AA4" s="61" t="n">
        <v>25</v>
      </c>
      <c r="AB4" s="61" t="n">
        <v>26</v>
      </c>
      <c r="AC4" s="61" t="n">
        <v>27</v>
      </c>
      <c r="AD4" s="61" t="n">
        <v>28</v>
      </c>
      <c r="AE4" s="61" t="n">
        <v>29</v>
      </c>
      <c r="AF4" s="61" t="n">
        <v>30</v>
      </c>
    </row>
    <row r="5" ht="15" customHeight="1" s="62">
      <c r="A5" s="86" t="inlineStr">
        <is>
          <t>rhoE  (NOMINAL per-year = Fisher(finrate_coe, finrate_infl))</t>
        </is>
      </c>
      <c r="C5" s="112">
        <f>(1+INDEX(finrate_coe,C4))*(1+C56)-1</f>
        <v/>
      </c>
      <c r="D5" s="112">
        <f>(1+INDEX(finrate_coe,D4))*(1+D56)-1</f>
        <v/>
      </c>
      <c r="E5" s="112">
        <f>(1+INDEX(finrate_coe,E4))*(1+E56)-1</f>
        <v/>
      </c>
      <c r="F5" s="112">
        <f>(1+INDEX(finrate_coe,F4))*(1+F56)-1</f>
        <v/>
      </c>
      <c r="G5" s="112">
        <f>(1+INDEX(finrate_coe,G4))*(1+G56)-1</f>
        <v/>
      </c>
      <c r="H5" s="112">
        <f>(1+INDEX(finrate_coe,H4))*(1+H56)-1</f>
        <v/>
      </c>
      <c r="I5" s="112">
        <f>(1+INDEX(finrate_coe,I4))*(1+I56)-1</f>
        <v/>
      </c>
      <c r="J5" s="112">
        <f>(1+INDEX(finrate_coe,J4))*(1+J56)-1</f>
        <v/>
      </c>
      <c r="K5" s="112">
        <f>(1+INDEX(finrate_coe,K4))*(1+K56)-1</f>
        <v/>
      </c>
      <c r="L5" s="112">
        <f>(1+INDEX(finrate_coe,L4))*(1+L56)-1</f>
        <v/>
      </c>
      <c r="M5" s="112">
        <f>(1+INDEX(finrate_coe,M4))*(1+M56)-1</f>
        <v/>
      </c>
      <c r="N5" s="112">
        <f>(1+INDEX(finrate_coe,N4))*(1+N56)-1</f>
        <v/>
      </c>
      <c r="O5" s="112">
        <f>(1+INDEX(finrate_coe,O4))*(1+O56)-1</f>
        <v/>
      </c>
      <c r="P5" s="95">
        <f>(1+INDEX(finrate_coe,P4))*(1+P56)-1</f>
        <v/>
      </c>
      <c r="Q5" s="95">
        <f>(1+INDEX(finrate_coe,Q4))*(1+Q56)-1</f>
        <v/>
      </c>
      <c r="R5" s="95">
        <f>(1+INDEX(finrate_coe,R4))*(1+R56)-1</f>
        <v/>
      </c>
      <c r="S5" s="95">
        <f>(1+INDEX(finrate_coe,S4))*(1+S56)-1</f>
        <v/>
      </c>
      <c r="T5" s="95">
        <f>(1+INDEX(finrate_coe,T4))*(1+T56)-1</f>
        <v/>
      </c>
      <c r="U5" s="95">
        <f>(1+INDEX(finrate_coe,U4))*(1+U56)-1</f>
        <v/>
      </c>
      <c r="V5" s="95">
        <f>(1+INDEX(finrate_coe,V4))*(1+V56)-1</f>
        <v/>
      </c>
      <c r="W5" s="95">
        <f>(1+INDEX(finrate_coe,W4))*(1+W56)-1</f>
        <v/>
      </c>
      <c r="X5" s="95">
        <f>(1+INDEX(finrate_coe,X4))*(1+X56)-1</f>
        <v/>
      </c>
      <c r="Y5" s="95">
        <f>(1+INDEX(finrate_coe,Y4))*(1+Y56)-1</f>
        <v/>
      </c>
      <c r="Z5" s="95">
        <f>(1+INDEX(finrate_coe,Z4))*(1+Z56)-1</f>
        <v/>
      </c>
      <c r="AA5" s="95">
        <f>(1+INDEX(finrate_coe,AA4))*(1+AA56)-1</f>
        <v/>
      </c>
      <c r="AB5" s="95">
        <f>(1+INDEX(finrate_coe,AB4))*(1+AB56)-1</f>
        <v/>
      </c>
      <c r="AC5" s="95">
        <f>(1+INDEX(finrate_coe,AC4))*(1+AC56)-1</f>
        <v/>
      </c>
      <c r="AD5" s="95">
        <f>(1+INDEX(finrate_coe,AD4))*(1+AD56)-1</f>
        <v/>
      </c>
      <c r="AE5" s="95">
        <f>(1+INDEX(finrate_coe,AE4))*(1+AE56)-1</f>
        <v/>
      </c>
      <c r="AF5" s="95">
        <f>(1+INDEX(finrate_coe,AF4))*(1+AF56)-1</f>
        <v/>
      </c>
    </row>
    <row r="6" ht="15" customHeight="1" s="62">
      <c r="A6" s="86" t="inlineStr">
        <is>
          <t>rhoD  (NOMINAL per-year = Fisher(finrate_cod, finrate_infl))</t>
        </is>
      </c>
      <c r="C6" s="112">
        <f>(1+INDEX(finrate_cod,C4))*(1+C56)-1</f>
        <v/>
      </c>
      <c r="D6" s="112">
        <f>(1+INDEX(finrate_cod,D4))*(1+D56)-1</f>
        <v/>
      </c>
      <c r="E6" s="112">
        <f>(1+INDEX(finrate_cod,E4))*(1+E56)-1</f>
        <v/>
      </c>
      <c r="F6" s="112">
        <f>(1+INDEX(finrate_cod,F4))*(1+F56)-1</f>
        <v/>
      </c>
      <c r="G6" s="112">
        <f>(1+INDEX(finrate_cod,G4))*(1+G56)-1</f>
        <v/>
      </c>
      <c r="H6" s="112">
        <f>(1+INDEX(finrate_cod,H4))*(1+H56)-1</f>
        <v/>
      </c>
      <c r="I6" s="112">
        <f>(1+INDEX(finrate_cod,I4))*(1+I56)-1</f>
        <v/>
      </c>
      <c r="J6" s="112">
        <f>(1+INDEX(finrate_cod,J4))*(1+J56)-1</f>
        <v/>
      </c>
      <c r="K6" s="112">
        <f>(1+INDEX(finrate_cod,K4))*(1+K56)-1</f>
        <v/>
      </c>
      <c r="L6" s="112">
        <f>(1+INDEX(finrate_cod,L4))*(1+L56)-1</f>
        <v/>
      </c>
      <c r="M6" s="112">
        <f>(1+INDEX(finrate_cod,M4))*(1+M56)-1</f>
        <v/>
      </c>
      <c r="N6" s="112">
        <f>(1+INDEX(finrate_cod,N4))*(1+N56)-1</f>
        <v/>
      </c>
      <c r="O6" s="112">
        <f>(1+INDEX(finrate_cod,O4))*(1+O56)-1</f>
        <v/>
      </c>
      <c r="P6" s="95">
        <f>(1+INDEX(finrate_cod,P4))*(1+P56)-1</f>
        <v/>
      </c>
      <c r="Q6" s="95">
        <f>(1+INDEX(finrate_cod,Q4))*(1+Q56)-1</f>
        <v/>
      </c>
      <c r="R6" s="95">
        <f>(1+INDEX(finrate_cod,R4))*(1+R56)-1</f>
        <v/>
      </c>
      <c r="S6" s="95">
        <f>(1+INDEX(finrate_cod,S4))*(1+S56)-1</f>
        <v/>
      </c>
      <c r="T6" s="95">
        <f>(1+INDEX(finrate_cod,T4))*(1+T56)-1</f>
        <v/>
      </c>
      <c r="U6" s="95">
        <f>(1+INDEX(finrate_cod,U4))*(1+U56)-1</f>
        <v/>
      </c>
      <c r="V6" s="95">
        <f>(1+INDEX(finrate_cod,V4))*(1+V56)-1</f>
        <v/>
      </c>
      <c r="W6" s="95">
        <f>(1+INDEX(finrate_cod,W4))*(1+W56)-1</f>
        <v/>
      </c>
      <c r="X6" s="95">
        <f>(1+INDEX(finrate_cod,X4))*(1+X56)-1</f>
        <v/>
      </c>
      <c r="Y6" s="95">
        <f>(1+INDEX(finrate_cod,Y4))*(1+Y56)-1</f>
        <v/>
      </c>
      <c r="Z6" s="95">
        <f>(1+INDEX(finrate_cod,Z4))*(1+Z56)-1</f>
        <v/>
      </c>
      <c r="AA6" s="95">
        <f>(1+INDEX(finrate_cod,AA4))*(1+AA56)-1</f>
        <v/>
      </c>
      <c r="AB6" s="95">
        <f>(1+INDEX(finrate_cod,AB4))*(1+AB56)-1</f>
        <v/>
      </c>
      <c r="AC6" s="95">
        <f>(1+INDEX(finrate_cod,AC4))*(1+AC56)-1</f>
        <v/>
      </c>
      <c r="AD6" s="95">
        <f>(1+INDEX(finrate_cod,AD4))*(1+AD56)-1</f>
        <v/>
      </c>
      <c r="AE6" s="95">
        <f>(1+INDEX(finrate_cod,AE4))*(1+AE56)-1</f>
        <v/>
      </c>
      <c r="AF6" s="95">
        <f>(1+INDEX(finrate_cod,AF4))*(1+AF56)-1</f>
        <v/>
      </c>
    </row>
    <row r="7" ht="15" customHeight="1" s="62">
      <c r="A7" s="86" t="inlineStr">
        <is>
          <t>EPS/sh (real) — per ANCHOR share in Enterprise mode</t>
        </is>
      </c>
      <c r="B7" s="106">
        <f>anchor_ni0/anchor_shares0</f>
        <v/>
      </c>
      <c r="C7" s="106">
        <f>IF(cfg_mode="Enterprise",INDEX(fc_ni,C4)/anchor_shares0,INDEX(fc_eps,C4))</f>
        <v/>
      </c>
      <c r="D7" s="106">
        <f>IF(cfg_mode="Enterprise",INDEX(fc_ni,D4)/anchor_shares0,INDEX(fc_eps,D4))</f>
        <v/>
      </c>
      <c r="E7" s="106">
        <f>IF(cfg_mode="Enterprise",INDEX(fc_ni,E4)/anchor_shares0,INDEX(fc_eps,E4))</f>
        <v/>
      </c>
      <c r="F7" s="106">
        <f>IF(cfg_mode="Enterprise",INDEX(fc_ni,F4)/anchor_shares0,INDEX(fc_eps,F4))</f>
        <v/>
      </c>
      <c r="G7" s="106">
        <f>IF(cfg_mode="Enterprise",INDEX(fc_ni,G4)/anchor_shares0,INDEX(fc_eps,G4))</f>
        <v/>
      </c>
      <c r="H7" s="106">
        <f>IF(cfg_mode="Enterprise",INDEX(fc_ni,H4)/anchor_shares0,INDEX(fc_eps,H4))</f>
        <v/>
      </c>
      <c r="I7" s="106">
        <f>IF(cfg_mode="Enterprise",INDEX(fc_ni,I4)/anchor_shares0,INDEX(fc_eps,I4))</f>
        <v/>
      </c>
      <c r="J7" s="106">
        <f>IF(cfg_mode="Enterprise",INDEX(fc_ni,J4)/anchor_shares0,INDEX(fc_eps,J4))</f>
        <v/>
      </c>
      <c r="K7" s="106">
        <f>IF(cfg_mode="Enterprise",INDEX(fc_ni,K4)/anchor_shares0,INDEX(fc_eps,K4))</f>
        <v/>
      </c>
      <c r="L7" s="106">
        <f>IF(cfg_mode="Enterprise",INDEX(fc_ni,L4)/anchor_shares0,INDEX(fc_eps,L4))</f>
        <v/>
      </c>
      <c r="M7" s="106">
        <f>IF(cfg_mode="Enterprise",INDEX(fc_ni,M4)/anchor_shares0,INDEX(fc_eps,M4))</f>
        <v/>
      </c>
      <c r="N7" s="106">
        <f>IF(cfg_mode="Enterprise",INDEX(fc_ni,N4)/anchor_shares0,INDEX(fc_eps,N4))</f>
        <v/>
      </c>
      <c r="O7" s="106">
        <f>IF(cfg_mode="Enterprise",INDEX(fc_ni,O4)/anchor_shares0,INDEX(fc_eps,O4))</f>
        <v/>
      </c>
      <c r="P7" s="86">
        <f>IF(cfg_mode="Enterprise",INDEX(fc_ni,P4)/anchor_shares0,INDEX(fc_eps,P4))</f>
        <v/>
      </c>
      <c r="Q7" s="86">
        <f>IF(cfg_mode="Enterprise",INDEX(fc_ni,Q4)/anchor_shares0,INDEX(fc_eps,Q4))</f>
        <v/>
      </c>
      <c r="R7" s="86">
        <f>IF(cfg_mode="Enterprise",INDEX(fc_ni,R4)/anchor_shares0,INDEX(fc_eps,R4))</f>
        <v/>
      </c>
      <c r="S7" s="86">
        <f>IF(cfg_mode="Enterprise",INDEX(fc_ni,S4)/anchor_shares0,INDEX(fc_eps,S4))</f>
        <v/>
      </c>
      <c r="T7" s="86">
        <f>IF(cfg_mode="Enterprise",INDEX(fc_ni,T4)/anchor_shares0,INDEX(fc_eps,T4))</f>
        <v/>
      </c>
      <c r="U7" s="86">
        <f>IF(cfg_mode="Enterprise",INDEX(fc_ni,U4)/anchor_shares0,INDEX(fc_eps,U4))</f>
        <v/>
      </c>
      <c r="V7" s="86">
        <f>IF(cfg_mode="Enterprise",INDEX(fc_ni,V4)/anchor_shares0,INDEX(fc_eps,V4))</f>
        <v/>
      </c>
      <c r="W7" s="86">
        <f>IF(cfg_mode="Enterprise",INDEX(fc_ni,W4)/anchor_shares0,INDEX(fc_eps,W4))</f>
        <v/>
      </c>
      <c r="X7" s="86">
        <f>IF(cfg_mode="Enterprise",INDEX(fc_ni,X4)/anchor_shares0,INDEX(fc_eps,X4))</f>
        <v/>
      </c>
      <c r="Y7" s="86">
        <f>IF(cfg_mode="Enterprise",INDEX(fc_ni,Y4)/anchor_shares0,INDEX(fc_eps,Y4))</f>
        <v/>
      </c>
      <c r="Z7" s="86">
        <f>IF(cfg_mode="Enterprise",INDEX(fc_ni,Z4)/anchor_shares0,INDEX(fc_eps,Z4))</f>
        <v/>
      </c>
      <c r="AA7" s="86">
        <f>IF(cfg_mode="Enterprise",INDEX(fc_ni,AA4)/anchor_shares0,INDEX(fc_eps,AA4))</f>
        <v/>
      </c>
      <c r="AB7" s="86">
        <f>IF(cfg_mode="Enterprise",INDEX(fc_ni,AB4)/anchor_shares0,INDEX(fc_eps,AB4))</f>
        <v/>
      </c>
      <c r="AC7" s="86">
        <f>IF(cfg_mode="Enterprise",INDEX(fc_ni,AC4)/anchor_shares0,INDEX(fc_eps,AC4))</f>
        <v/>
      </c>
      <c r="AD7" s="86">
        <f>IF(cfg_mode="Enterprise",INDEX(fc_ni,AD4)/anchor_shares0,INDEX(fc_eps,AD4))</f>
        <v/>
      </c>
      <c r="AE7" s="86">
        <f>IF(cfg_mode="Enterprise",INDEX(fc_ni,AE4)/anchor_shares0,INDEX(fc_eps,AE4))</f>
        <v/>
      </c>
      <c r="AF7" s="86">
        <f>IF(cfg_mode="Enterprise",INDEX(fc_ni,AF4)/anchor_shares0,INDEX(fc_eps,AF4))</f>
        <v/>
      </c>
    </row>
    <row r="8" ht="15" customHeight="1" s="62">
      <c r="A8" s="86" t="inlineStr">
        <is>
          <t>DPS/sh (real) — TOTAL distribution (divs+buybacks) per ANCHOR share in Enterprise mode</t>
        </is>
      </c>
      <c r="B8" s="106">
        <f>anchor_dps0*INDEX(md_deflator,MATCH(in_anchor_year&amp;"",md_years,0))</f>
        <v/>
      </c>
      <c r="C8" s="106">
        <f>IF(cfg_mode="Enterprise",C7-(C71-(1+C56)*B71),INDEX(fc_dps,C4))</f>
        <v/>
      </c>
      <c r="D8" s="106">
        <f>IF(cfg_mode="Enterprise",D7-(D71-(1+D56)*C71),INDEX(fc_dps,D4))</f>
        <v/>
      </c>
      <c r="E8" s="106">
        <f>IF(cfg_mode="Enterprise",E7-(E71-(1+E56)*D71),INDEX(fc_dps,E4))</f>
        <v/>
      </c>
      <c r="F8" s="106">
        <f>IF(cfg_mode="Enterprise",F7-(F71-(1+F56)*E71),INDEX(fc_dps,F4))</f>
        <v/>
      </c>
      <c r="G8" s="106">
        <f>IF(cfg_mode="Enterprise",G7-(G71-(1+G56)*F71),INDEX(fc_dps,G4))</f>
        <v/>
      </c>
      <c r="H8" s="106">
        <f>IF(cfg_mode="Enterprise",H7-(H71-(1+H56)*G71),INDEX(fc_dps,H4))</f>
        <v/>
      </c>
      <c r="I8" s="106">
        <f>IF(cfg_mode="Enterprise",I7-(I71-(1+I56)*H71),INDEX(fc_dps,I4))</f>
        <v/>
      </c>
      <c r="J8" s="106">
        <f>IF(cfg_mode="Enterprise",J7-(J71-(1+J56)*I71),INDEX(fc_dps,J4))</f>
        <v/>
      </c>
      <c r="K8" s="106">
        <f>IF(cfg_mode="Enterprise",K7-(K71-(1+K56)*J71),INDEX(fc_dps,K4))</f>
        <v/>
      </c>
      <c r="L8" s="106">
        <f>IF(cfg_mode="Enterprise",L7-(L71-(1+L56)*K71),INDEX(fc_dps,L4))</f>
        <v/>
      </c>
      <c r="M8" s="106">
        <f>IF(cfg_mode="Enterprise",M7-(M71-(1+M56)*L71),INDEX(fc_dps,M4))</f>
        <v/>
      </c>
      <c r="N8" s="106">
        <f>IF(cfg_mode="Enterprise",N7-(N71-(1+N56)*M71),INDEX(fc_dps,N4))</f>
        <v/>
      </c>
      <c r="O8" s="106">
        <f>IF(cfg_mode="Enterprise",O7-(O71-(1+O56)*N71),INDEX(fc_dps,O4))</f>
        <v/>
      </c>
      <c r="P8" s="86">
        <f>IF(cfg_mode="Enterprise",P7-(P71-(1+P56)*O71),INDEX(fc_dps,P4))</f>
        <v/>
      </c>
      <c r="Q8" s="86">
        <f>IF(cfg_mode="Enterprise",Q7-(Q71-(1+Q56)*P71),INDEX(fc_dps,Q4))</f>
        <v/>
      </c>
      <c r="R8" s="86">
        <f>IF(cfg_mode="Enterprise",R7-(R71-(1+R56)*Q71),INDEX(fc_dps,R4))</f>
        <v/>
      </c>
      <c r="S8" s="86">
        <f>IF(cfg_mode="Enterprise",S7-(S71-(1+S56)*R71),INDEX(fc_dps,S4))</f>
        <v/>
      </c>
      <c r="T8" s="86">
        <f>IF(cfg_mode="Enterprise",T7-(T71-(1+T56)*S71),INDEX(fc_dps,T4))</f>
        <v/>
      </c>
      <c r="U8" s="86">
        <f>IF(cfg_mode="Enterprise",U7-(U71-(1+U56)*T71),INDEX(fc_dps,U4))</f>
        <v/>
      </c>
      <c r="V8" s="86">
        <f>IF(cfg_mode="Enterprise",V7-(V71-(1+V56)*U71),INDEX(fc_dps,V4))</f>
        <v/>
      </c>
      <c r="W8" s="86">
        <f>IF(cfg_mode="Enterprise",W7-(W71-(1+W56)*V71),INDEX(fc_dps,W4))</f>
        <v/>
      </c>
      <c r="X8" s="86">
        <f>IF(cfg_mode="Enterprise",X7-(X71-(1+X56)*W71),INDEX(fc_dps,X4))</f>
        <v/>
      </c>
      <c r="Y8" s="86">
        <f>IF(cfg_mode="Enterprise",Y7-(Y71-(1+Y56)*X71),INDEX(fc_dps,Y4))</f>
        <v/>
      </c>
      <c r="Z8" s="86">
        <f>IF(cfg_mode="Enterprise",Z7-(Z71-(1+Z56)*Y71),INDEX(fc_dps,Z4))</f>
        <v/>
      </c>
      <c r="AA8" s="86">
        <f>IF(cfg_mode="Enterprise",AA7-(AA71-(1+AA56)*Z71),INDEX(fc_dps,AA4))</f>
        <v/>
      </c>
      <c r="AB8" s="86">
        <f>IF(cfg_mode="Enterprise",AB7-(AB71-(1+AB56)*AA71),INDEX(fc_dps,AB4))</f>
        <v/>
      </c>
      <c r="AC8" s="86">
        <f>IF(cfg_mode="Enterprise",AC7-(AC71-(1+AC56)*AB71),INDEX(fc_dps,AC4))</f>
        <v/>
      </c>
      <c r="AD8" s="86">
        <f>IF(cfg_mode="Enterprise",AD7-(AD71-(1+AD56)*AC71),INDEX(fc_dps,AD4))</f>
        <v/>
      </c>
      <c r="AE8" s="86">
        <f>IF(cfg_mode="Enterprise",AE7-(AE71-(1+AE56)*AD71),INDEX(fc_dps,AE4))</f>
        <v/>
      </c>
      <c r="AF8" s="86">
        <f>IF(cfg_mode="Enterprise",AF7-(AF71-(1+AF56)*AE71),INDEX(fc_dps,AF4))</f>
        <v/>
      </c>
    </row>
    <row r="9" ht="15" customHeight="1" s="62">
      <c r="A9" s="86" t="inlineStr">
        <is>
          <t>retained/sh = EPS − DPS</t>
        </is>
      </c>
      <c r="B9" s="106">
        <f>B7-B8</f>
        <v/>
      </c>
      <c r="C9" s="106">
        <f>C7-C8</f>
        <v/>
      </c>
      <c r="D9" s="106">
        <f>D7-D8</f>
        <v/>
      </c>
      <c r="E9" s="106">
        <f>E7-E8</f>
        <v/>
      </c>
      <c r="F9" s="106">
        <f>F7-F8</f>
        <v/>
      </c>
      <c r="G9" s="106">
        <f>G7-G8</f>
        <v/>
      </c>
      <c r="H9" s="106">
        <f>H7-H8</f>
        <v/>
      </c>
      <c r="I9" s="106">
        <f>I7-I8</f>
        <v/>
      </c>
      <c r="J9" s="106">
        <f>J7-J8</f>
        <v/>
      </c>
      <c r="K9" s="106">
        <f>K7-K8</f>
        <v/>
      </c>
      <c r="L9" s="106">
        <f>L7-L8</f>
        <v/>
      </c>
      <c r="M9" s="106">
        <f>M7-M8</f>
        <v/>
      </c>
      <c r="N9" s="106">
        <f>N7-N8</f>
        <v/>
      </c>
      <c r="O9" s="106">
        <f>O7-O8</f>
        <v/>
      </c>
      <c r="P9" s="86">
        <f>P7-P8</f>
        <v/>
      </c>
      <c r="Q9" s="86">
        <f>Q7-Q8</f>
        <v/>
      </c>
      <c r="R9" s="86">
        <f>R7-R8</f>
        <v/>
      </c>
      <c r="S9" s="86">
        <f>S7-S8</f>
        <v/>
      </c>
      <c r="T9" s="86">
        <f>T7-T8</f>
        <v/>
      </c>
      <c r="U9" s="86">
        <f>U7-U8</f>
        <v/>
      </c>
      <c r="V9" s="86">
        <f>V7-V8</f>
        <v/>
      </c>
      <c r="W9" s="86">
        <f>W7-W8</f>
        <v/>
      </c>
      <c r="X9" s="86">
        <f>X7-X8</f>
        <v/>
      </c>
      <c r="Y9" s="86">
        <f>Y7-Y8</f>
        <v/>
      </c>
      <c r="Z9" s="86">
        <f>Z7-Z8</f>
        <v/>
      </c>
      <c r="AA9" s="86">
        <f>AA7-AA8</f>
        <v/>
      </c>
      <c r="AB9" s="86">
        <f>AB7-AB8</f>
        <v/>
      </c>
      <c r="AC9" s="86">
        <f>AC7-AC8</f>
        <v/>
      </c>
      <c r="AD9" s="86">
        <f>AD7-AD8</f>
        <v/>
      </c>
      <c r="AE9" s="86">
        <f>AE7-AE8</f>
        <v/>
      </c>
      <c r="AF9" s="86">
        <f>AF7-AF8</f>
        <v/>
      </c>
    </row>
    <row r="10" ht="15" customHeight="1" s="62">
      <c r="A10" s="86" t="inlineStr">
        <is>
          <t>BPS/sh (book, clean surplus) — per ANCHOR share in Enterprise mode</t>
        </is>
      </c>
      <c r="B10" s="106">
        <f>anchor_real_cse0/anchor_shares0</f>
        <v/>
      </c>
      <c r="C10" s="106">
        <f>IF(cfg_mode="Enterprise",C71,(1+C56)*B10+C9)</f>
        <v/>
      </c>
      <c r="D10" s="106">
        <f>IF(cfg_mode="Enterprise",D71,(1+D56)*C10+D9)</f>
        <v/>
      </c>
      <c r="E10" s="106">
        <f>IF(cfg_mode="Enterprise",E71,(1+E56)*D10+E9)</f>
        <v/>
      </c>
      <c r="F10" s="106">
        <f>IF(cfg_mode="Enterprise",F71,(1+F56)*E10+F9)</f>
        <v/>
      </c>
      <c r="G10" s="106">
        <f>IF(cfg_mode="Enterprise",G71,(1+G56)*F10+G9)</f>
        <v/>
      </c>
      <c r="H10" s="106">
        <f>IF(cfg_mode="Enterprise",H71,(1+H56)*G10+H9)</f>
        <v/>
      </c>
      <c r="I10" s="106">
        <f>IF(cfg_mode="Enterprise",I71,(1+I56)*H10+I9)</f>
        <v/>
      </c>
      <c r="J10" s="106">
        <f>IF(cfg_mode="Enterprise",J71,(1+J56)*I10+J9)</f>
        <v/>
      </c>
      <c r="K10" s="106">
        <f>IF(cfg_mode="Enterprise",K71,(1+K56)*J10+K9)</f>
        <v/>
      </c>
      <c r="L10" s="106">
        <f>IF(cfg_mode="Enterprise",L71,(1+L56)*K10+L9)</f>
        <v/>
      </c>
      <c r="M10" s="106">
        <f>IF(cfg_mode="Enterprise",M71,(1+M56)*L10+M9)</f>
        <v/>
      </c>
      <c r="N10" s="106">
        <f>IF(cfg_mode="Enterprise",N71,(1+N56)*M10+N9)</f>
        <v/>
      </c>
      <c r="O10" s="106">
        <f>IF(cfg_mode="Enterprise",O71,(1+O56)*N10+O9)</f>
        <v/>
      </c>
      <c r="P10" s="86">
        <f>IF(cfg_mode="Enterprise",P71,(1+P56)*O10+P9)</f>
        <v/>
      </c>
      <c r="Q10" s="86">
        <f>IF(cfg_mode="Enterprise",Q71,(1+Q56)*P10+Q9)</f>
        <v/>
      </c>
      <c r="R10" s="86">
        <f>IF(cfg_mode="Enterprise",R71,(1+R56)*Q10+R9)</f>
        <v/>
      </c>
      <c r="S10" s="86">
        <f>IF(cfg_mode="Enterprise",S71,(1+S56)*R10+S9)</f>
        <v/>
      </c>
      <c r="T10" s="86">
        <f>IF(cfg_mode="Enterprise",T71,(1+T56)*S10+T9)</f>
        <v/>
      </c>
      <c r="U10" s="86">
        <f>IF(cfg_mode="Enterprise",U71,(1+U56)*T10+U9)</f>
        <v/>
      </c>
      <c r="V10" s="86">
        <f>IF(cfg_mode="Enterprise",V71,(1+V56)*U10+V9)</f>
        <v/>
      </c>
      <c r="W10" s="86">
        <f>IF(cfg_mode="Enterprise",W71,(1+W56)*V10+W9)</f>
        <v/>
      </c>
      <c r="X10" s="86">
        <f>IF(cfg_mode="Enterprise",X71,(1+X56)*W10+X9)</f>
        <v/>
      </c>
      <c r="Y10" s="86">
        <f>IF(cfg_mode="Enterprise",Y71,(1+Y56)*X10+Y9)</f>
        <v/>
      </c>
      <c r="Z10" s="86">
        <f>IF(cfg_mode="Enterprise",Z71,(1+Z56)*Y10+Z9)</f>
        <v/>
      </c>
      <c r="AA10" s="86">
        <f>IF(cfg_mode="Enterprise",AA71,(1+AA56)*Z10+AA9)</f>
        <v/>
      </c>
      <c r="AB10" s="86">
        <f>IF(cfg_mode="Enterprise",AB71,(1+AB56)*AA10+AB9)</f>
        <v/>
      </c>
      <c r="AC10" s="86">
        <f>IF(cfg_mode="Enterprise",AC71,(1+AC56)*AB10+AC9)</f>
        <v/>
      </c>
      <c r="AD10" s="86">
        <f>IF(cfg_mode="Enterprise",AD71,(1+AD56)*AC10+AD9)</f>
        <v/>
      </c>
      <c r="AE10" s="86">
        <f>IF(cfg_mode="Enterprise",AE71,(1+AE56)*AD10+AE9)</f>
        <v/>
      </c>
      <c r="AF10" s="86">
        <f>IF(cfg_mode="Enterprise",AF71,(1+AF56)*AE10+AF9)</f>
        <v/>
      </c>
    </row>
    <row r="11" ht="15" customHeight="1" s="62">
      <c r="A11" s="86" t="inlineStr">
        <is>
          <t>NFO/sh — live forecast financing path (per ANCHOR share in Enterprise mode)  &lt;P4&gt;</t>
        </is>
      </c>
      <c r="B11" s="106">
        <f>anchor_real_nfo0/anchor_shares0</f>
        <v/>
      </c>
      <c r="C11" s="106">
        <f>IF(cfg_mode="Enterprise",INDEX(fc_nfo,C4)/anchor_shares0,INDEX(fc_nfo,C4)/INDEX(fc_shares,C4))</f>
        <v/>
      </c>
      <c r="D11" s="106">
        <f>IF(cfg_mode="Enterprise",INDEX(fc_nfo,D4)/anchor_shares0,INDEX(fc_nfo,D4)/INDEX(fc_shares,D4))</f>
        <v/>
      </c>
      <c r="E11" s="106">
        <f>IF(cfg_mode="Enterprise",INDEX(fc_nfo,E4)/anchor_shares0,INDEX(fc_nfo,E4)/INDEX(fc_shares,E4))</f>
        <v/>
      </c>
      <c r="F11" s="106">
        <f>IF(cfg_mode="Enterprise",INDEX(fc_nfo,F4)/anchor_shares0,INDEX(fc_nfo,F4)/INDEX(fc_shares,F4))</f>
        <v/>
      </c>
      <c r="G11" s="106">
        <f>IF(cfg_mode="Enterprise",INDEX(fc_nfo,G4)/anchor_shares0,INDEX(fc_nfo,G4)/INDEX(fc_shares,G4))</f>
        <v/>
      </c>
      <c r="H11" s="106">
        <f>IF(cfg_mode="Enterprise",INDEX(fc_nfo,H4)/anchor_shares0,INDEX(fc_nfo,H4)/INDEX(fc_shares,H4))</f>
        <v/>
      </c>
      <c r="I11" s="106">
        <f>IF(cfg_mode="Enterprise",INDEX(fc_nfo,I4)/anchor_shares0,INDEX(fc_nfo,I4)/INDEX(fc_shares,I4))</f>
        <v/>
      </c>
      <c r="J11" s="106">
        <f>IF(cfg_mode="Enterprise",INDEX(fc_nfo,J4)/anchor_shares0,INDEX(fc_nfo,J4)/INDEX(fc_shares,J4))</f>
        <v/>
      </c>
      <c r="K11" s="106">
        <f>IF(cfg_mode="Enterprise",INDEX(fc_nfo,K4)/anchor_shares0,INDEX(fc_nfo,K4)/INDEX(fc_shares,K4))</f>
        <v/>
      </c>
      <c r="L11" s="106">
        <f>IF(cfg_mode="Enterprise",INDEX(fc_nfo,L4)/anchor_shares0,INDEX(fc_nfo,L4)/INDEX(fc_shares,L4))</f>
        <v/>
      </c>
      <c r="M11" s="106">
        <f>IF(cfg_mode="Enterprise",INDEX(fc_nfo,M4)/anchor_shares0,INDEX(fc_nfo,M4)/INDEX(fc_shares,M4))</f>
        <v/>
      </c>
      <c r="N11" s="106">
        <f>IF(cfg_mode="Enterprise",INDEX(fc_nfo,N4)/anchor_shares0,INDEX(fc_nfo,N4)/INDEX(fc_shares,N4))</f>
        <v/>
      </c>
      <c r="O11" s="106">
        <f>IF(cfg_mode="Enterprise",INDEX(fc_nfo,O4)/anchor_shares0,INDEX(fc_nfo,O4)/INDEX(fc_shares,O4))</f>
        <v/>
      </c>
      <c r="P11" s="86">
        <f>IF(cfg_mode="Enterprise",INDEX(fc_nfo,P4)/anchor_shares0,INDEX(fc_nfo,P4)/INDEX(fc_shares,P4))</f>
        <v/>
      </c>
      <c r="Q11" s="86">
        <f>IF(cfg_mode="Enterprise",INDEX(fc_nfo,Q4)/anchor_shares0,INDEX(fc_nfo,Q4)/INDEX(fc_shares,Q4))</f>
        <v/>
      </c>
      <c r="R11" s="86">
        <f>IF(cfg_mode="Enterprise",INDEX(fc_nfo,R4)/anchor_shares0,INDEX(fc_nfo,R4)/INDEX(fc_shares,R4))</f>
        <v/>
      </c>
      <c r="S11" s="86">
        <f>IF(cfg_mode="Enterprise",INDEX(fc_nfo,S4)/anchor_shares0,INDEX(fc_nfo,S4)/INDEX(fc_shares,S4))</f>
        <v/>
      </c>
      <c r="T11" s="86">
        <f>IF(cfg_mode="Enterprise",INDEX(fc_nfo,T4)/anchor_shares0,INDEX(fc_nfo,T4)/INDEX(fc_shares,T4))</f>
        <v/>
      </c>
      <c r="U11" s="86">
        <f>IF(cfg_mode="Enterprise",INDEX(fc_nfo,U4)/anchor_shares0,INDEX(fc_nfo,U4)/INDEX(fc_shares,U4))</f>
        <v/>
      </c>
      <c r="V11" s="86">
        <f>IF(cfg_mode="Enterprise",INDEX(fc_nfo,V4)/anchor_shares0,INDEX(fc_nfo,V4)/INDEX(fc_shares,V4))</f>
        <v/>
      </c>
      <c r="W11" s="86">
        <f>IF(cfg_mode="Enterprise",INDEX(fc_nfo,W4)/anchor_shares0,INDEX(fc_nfo,W4)/INDEX(fc_shares,W4))</f>
        <v/>
      </c>
      <c r="X11" s="86">
        <f>IF(cfg_mode="Enterprise",INDEX(fc_nfo,X4)/anchor_shares0,INDEX(fc_nfo,X4)/INDEX(fc_shares,X4))</f>
        <v/>
      </c>
      <c r="Y11" s="86">
        <f>IF(cfg_mode="Enterprise",INDEX(fc_nfo,Y4)/anchor_shares0,INDEX(fc_nfo,Y4)/INDEX(fc_shares,Y4))</f>
        <v/>
      </c>
      <c r="Z11" s="86">
        <f>IF(cfg_mode="Enterprise",INDEX(fc_nfo,Z4)/anchor_shares0,INDEX(fc_nfo,Z4)/INDEX(fc_shares,Z4))</f>
        <v/>
      </c>
      <c r="AA11" s="86">
        <f>IF(cfg_mode="Enterprise",INDEX(fc_nfo,AA4)/anchor_shares0,INDEX(fc_nfo,AA4)/INDEX(fc_shares,AA4))</f>
        <v/>
      </c>
      <c r="AB11" s="86">
        <f>IF(cfg_mode="Enterprise",INDEX(fc_nfo,AB4)/anchor_shares0,INDEX(fc_nfo,AB4)/INDEX(fc_shares,AB4))</f>
        <v/>
      </c>
      <c r="AC11" s="86">
        <f>IF(cfg_mode="Enterprise",INDEX(fc_nfo,AC4)/anchor_shares0,INDEX(fc_nfo,AC4)/INDEX(fc_shares,AC4))</f>
        <v/>
      </c>
      <c r="AD11" s="86">
        <f>IF(cfg_mode="Enterprise",INDEX(fc_nfo,AD4)/anchor_shares0,INDEX(fc_nfo,AD4)/INDEX(fc_shares,AD4))</f>
        <v/>
      </c>
      <c r="AE11" s="86">
        <f>IF(cfg_mode="Enterprise",INDEX(fc_nfo,AE4)/anchor_shares0,INDEX(fc_nfo,AE4)/INDEX(fc_shares,AE4))</f>
        <v/>
      </c>
      <c r="AF11" s="86">
        <f>IF(cfg_mode="Enterprise",INDEX(fc_nfo,AF4)/anchor_shares0,INDEX(fc_nfo,AF4)/INDEX(fc_shares,AF4))</f>
        <v/>
      </c>
    </row>
    <row r="12" ht="15" customHeight="1" s="62">
      <c r="A12" s="86" t="inlineStr">
        <is>
          <t>NFE/sh = ρD × NFO/sh</t>
        </is>
      </c>
      <c r="B12" s="106" t="n">
        <v>0</v>
      </c>
      <c r="C12" s="106">
        <f>C6*C11</f>
        <v/>
      </c>
      <c r="D12" s="106">
        <f>D6*D11</f>
        <v/>
      </c>
      <c r="E12" s="106">
        <f>E6*E11</f>
        <v/>
      </c>
      <c r="F12" s="106">
        <f>F6*F11</f>
        <v/>
      </c>
      <c r="G12" s="106">
        <f>G6*G11</f>
        <v/>
      </c>
      <c r="H12" s="106">
        <f>H6*H11</f>
        <v/>
      </c>
      <c r="I12" s="106">
        <f>I6*I11</f>
        <v/>
      </c>
      <c r="J12" s="106">
        <f>J6*J11</f>
        <v/>
      </c>
      <c r="K12" s="106">
        <f>K6*K11</f>
        <v/>
      </c>
      <c r="L12" s="106">
        <f>L6*L11</f>
        <v/>
      </c>
      <c r="M12" s="106">
        <f>M6*M11</f>
        <v/>
      </c>
      <c r="N12" s="106">
        <f>N6*N11</f>
        <v/>
      </c>
      <c r="O12" s="106">
        <f>O6*O11</f>
        <v/>
      </c>
      <c r="P12" s="86">
        <f>P6*P11</f>
        <v/>
      </c>
      <c r="Q12" s="86">
        <f>Q6*Q11</f>
        <v/>
      </c>
      <c r="R12" s="86">
        <f>R6*R11</f>
        <v/>
      </c>
      <c r="S12" s="86">
        <f>S6*S11</f>
        <v/>
      </c>
      <c r="T12" s="86">
        <f>T6*T11</f>
        <v/>
      </c>
      <c r="U12" s="86">
        <f>U6*U11</f>
        <v/>
      </c>
      <c r="V12" s="86">
        <f>V6*V11</f>
        <v/>
      </c>
      <c r="W12" s="86">
        <f>W6*W11</f>
        <v/>
      </c>
      <c r="X12" s="86">
        <f>X6*X11</f>
        <v/>
      </c>
      <c r="Y12" s="86">
        <f>Y6*Y11</f>
        <v/>
      </c>
      <c r="Z12" s="86">
        <f>Z6*Z11</f>
        <v/>
      </c>
      <c r="AA12" s="86">
        <f>AA6*AA11</f>
        <v/>
      </c>
      <c r="AB12" s="86">
        <f>AB6*AB11</f>
        <v/>
      </c>
      <c r="AC12" s="86">
        <f>AC6*AC11</f>
        <v/>
      </c>
      <c r="AD12" s="86">
        <f>AD6*AD11</f>
        <v/>
      </c>
      <c r="AE12" s="86">
        <f>AE6*AE11</f>
        <v/>
      </c>
      <c r="AF12" s="86">
        <f>AF6*AF11</f>
        <v/>
      </c>
    </row>
    <row r="13" ht="15" customHeight="1" s="62">
      <c r="A13" s="86" t="inlineStr">
        <is>
          <t>OI/sh = EPS + NFE</t>
        </is>
      </c>
      <c r="B13" s="106">
        <f>B7+B12</f>
        <v/>
      </c>
      <c r="C13" s="106">
        <f>C7+C12</f>
        <v/>
      </c>
      <c r="D13" s="106">
        <f>D7+D12</f>
        <v/>
      </c>
      <c r="E13" s="106">
        <f>E7+E12</f>
        <v/>
      </c>
      <c r="F13" s="106">
        <f>F7+F12</f>
        <v/>
      </c>
      <c r="G13" s="106">
        <f>G7+G12</f>
        <v/>
      </c>
      <c r="H13" s="106">
        <f>H7+H12</f>
        <v/>
      </c>
      <c r="I13" s="106">
        <f>I7+I12</f>
        <v/>
      </c>
      <c r="J13" s="106">
        <f>J7+J12</f>
        <v/>
      </c>
      <c r="K13" s="106">
        <f>K7+K12</f>
        <v/>
      </c>
      <c r="L13" s="106">
        <f>L7+L12</f>
        <v/>
      </c>
      <c r="M13" s="106">
        <f>M7+M12</f>
        <v/>
      </c>
      <c r="N13" s="106">
        <f>N7+N12</f>
        <v/>
      </c>
      <c r="O13" s="106">
        <f>O7+O12</f>
        <v/>
      </c>
      <c r="P13" s="86">
        <f>P7+P12</f>
        <v/>
      </c>
      <c r="Q13" s="86">
        <f>Q7+Q12</f>
        <v/>
      </c>
      <c r="R13" s="86">
        <f>R7+R12</f>
        <v/>
      </c>
      <c r="S13" s="86">
        <f>S7+S12</f>
        <v/>
      </c>
      <c r="T13" s="86">
        <f>T7+T12</f>
        <v/>
      </c>
      <c r="U13" s="86">
        <f>U7+U12</f>
        <v/>
      </c>
      <c r="V13" s="86">
        <f>V7+V12</f>
        <v/>
      </c>
      <c r="W13" s="86">
        <f>W7+W12</f>
        <v/>
      </c>
      <c r="X13" s="86">
        <f>X7+X12</f>
        <v/>
      </c>
      <c r="Y13" s="86">
        <f>Y7+Y12</f>
        <v/>
      </c>
      <c r="Z13" s="86">
        <f>Z7+Z12</f>
        <v/>
      </c>
      <c r="AA13" s="86">
        <f>AA7+AA12</f>
        <v/>
      </c>
      <c r="AB13" s="86">
        <f>AB7+AB12</f>
        <v/>
      </c>
      <c r="AC13" s="86">
        <f>AC7+AC12</f>
        <v/>
      </c>
      <c r="AD13" s="86">
        <f>AD7+AD12</f>
        <v/>
      </c>
      <c r="AE13" s="86">
        <f>AE7+AE12</f>
        <v/>
      </c>
      <c r="AF13" s="86">
        <f>AF7+AF12</f>
        <v/>
      </c>
    </row>
    <row r="14" ht="15" customHeight="1" s="62">
      <c r="A14" s="86" t="inlineStr">
        <is>
          <t>FLEV = NFO/sh ÷ BPS</t>
        </is>
      </c>
      <c r="B14" s="105">
        <f>IF(B10=0,"",B11/B10)</f>
        <v/>
      </c>
      <c r="C14" s="105">
        <f>IF(C10=0,"",C11/C10)</f>
        <v/>
      </c>
      <c r="D14" s="105">
        <f>IF(D10=0,"",D11/D10)</f>
        <v/>
      </c>
      <c r="E14" s="105">
        <f>IF(E10=0,"",E11/E10)</f>
        <v/>
      </c>
      <c r="F14" s="105">
        <f>IF(F10=0,"",F11/F10)</f>
        <v/>
      </c>
      <c r="G14" s="105">
        <f>IF(G10=0,"",G11/G10)</f>
        <v/>
      </c>
      <c r="H14" s="105">
        <f>IF(H10=0,"",H11/H10)</f>
        <v/>
      </c>
      <c r="I14" s="105">
        <f>IF(I10=0,"",I11/I10)</f>
        <v/>
      </c>
      <c r="J14" s="105">
        <f>IF(J10=0,"",J11/J10)</f>
        <v/>
      </c>
      <c r="K14" s="105">
        <f>IF(K10=0,"",K11/K10)</f>
        <v/>
      </c>
      <c r="L14" s="105">
        <f>IF(L10=0,"",L11/L10)</f>
        <v/>
      </c>
      <c r="M14" s="105">
        <f>IF(M10=0,"",M11/M10)</f>
        <v/>
      </c>
      <c r="N14" s="105">
        <f>IF(N10=0,"",N11/N10)</f>
        <v/>
      </c>
      <c r="O14" s="105">
        <f>IF(O10=0,"",O11/O10)</f>
        <v/>
      </c>
      <c r="P14" s="86">
        <f>IF(P10=0,"",P11/P10)</f>
        <v/>
      </c>
      <c r="Q14" s="86">
        <f>IF(Q10=0,"",Q11/Q10)</f>
        <v/>
      </c>
      <c r="R14" s="86">
        <f>IF(R10=0,"",R11/R10)</f>
        <v/>
      </c>
      <c r="S14" s="86">
        <f>IF(S10=0,"",S11/S10)</f>
        <v/>
      </c>
      <c r="T14" s="86">
        <f>IF(T10=0,"",T11/T10)</f>
        <v/>
      </c>
      <c r="U14" s="86">
        <f>IF(U10=0,"",U11/U10)</f>
        <v/>
      </c>
      <c r="V14" s="86">
        <f>IF(V10=0,"",V11/V10)</f>
        <v/>
      </c>
      <c r="W14" s="86">
        <f>IF(W10=0,"",W11/W10)</f>
        <v/>
      </c>
      <c r="X14" s="86">
        <f>IF(X10=0,"",X11/X10)</f>
        <v/>
      </c>
      <c r="Y14" s="86">
        <f>IF(Y10=0,"",Y11/Y10)</f>
        <v/>
      </c>
      <c r="Z14" s="86">
        <f>IF(Z10=0,"",Z11/Z10)</f>
        <v/>
      </c>
      <c r="AA14" s="86">
        <f>IF(AA10=0,"",AA11/AA10)</f>
        <v/>
      </c>
      <c r="AB14" s="86">
        <f>IF(AB10=0,"",AB11/AB10)</f>
        <v/>
      </c>
      <c r="AC14" s="86">
        <f>IF(AC10=0,"",AC11/AC10)</f>
        <v/>
      </c>
      <c r="AD14" s="86">
        <f>IF(AD10=0,"",AD11/AD10)</f>
        <v/>
      </c>
      <c r="AE14" s="86">
        <f>IF(AE10=0,"",AE11/AE10)</f>
        <v/>
      </c>
      <c r="AF14" s="86">
        <f>IF(AF10=0,"",AF11/AF10)</f>
        <v/>
      </c>
    </row>
    <row r="15" ht="15" customHeight="1" s="62">
      <c r="A15" s="86" t="inlineStr">
        <is>
          <t>ρF = (ρE + FLEV·ρD)/(1+FLEV)  [levering identity]</t>
        </is>
      </c>
      <c r="C15" s="112">
        <f>IF(cfg_rf_mode="Single",(1+in_rf_single)*(1+C56)-1,(C5+C14*C6)/(1+C14))</f>
        <v/>
      </c>
      <c r="D15" s="112">
        <f>IF(cfg_rf_mode="Single",(1+in_rf_single)*(1+D56)-1,(D5+D14*D6)/(1+D14))</f>
        <v/>
      </c>
      <c r="E15" s="112">
        <f>IF(cfg_rf_mode="Single",(1+in_rf_single)*(1+E56)-1,(E5+E14*E6)/(1+E14))</f>
        <v/>
      </c>
      <c r="F15" s="112">
        <f>IF(cfg_rf_mode="Single",(1+in_rf_single)*(1+F56)-1,(F5+F14*F6)/(1+F14))</f>
        <v/>
      </c>
      <c r="G15" s="112">
        <f>IF(cfg_rf_mode="Single",(1+in_rf_single)*(1+G56)-1,(G5+G14*G6)/(1+G14))</f>
        <v/>
      </c>
      <c r="H15" s="112">
        <f>IF(cfg_rf_mode="Single",(1+in_rf_single)*(1+H56)-1,(H5+H14*H6)/(1+H14))</f>
        <v/>
      </c>
      <c r="I15" s="112">
        <f>IF(cfg_rf_mode="Single",(1+in_rf_single)*(1+I56)-1,(I5+I14*I6)/(1+I14))</f>
        <v/>
      </c>
      <c r="J15" s="112">
        <f>IF(cfg_rf_mode="Single",(1+in_rf_single)*(1+J56)-1,(J5+J14*J6)/(1+J14))</f>
        <v/>
      </c>
      <c r="K15" s="112">
        <f>IF(cfg_rf_mode="Single",(1+in_rf_single)*(1+K56)-1,(K5+K14*K6)/(1+K14))</f>
        <v/>
      </c>
      <c r="L15" s="112">
        <f>IF(cfg_rf_mode="Single",(1+in_rf_single)*(1+L56)-1,(L5+L14*L6)/(1+L14))</f>
        <v/>
      </c>
      <c r="M15" s="112">
        <f>IF(cfg_rf_mode="Single",(1+in_rf_single)*(1+M56)-1,(M5+M14*M6)/(1+M14))</f>
        <v/>
      </c>
      <c r="N15" s="112">
        <f>IF(cfg_rf_mode="Single",(1+in_rf_single)*(1+N56)-1,(N5+N14*N6)/(1+N14))</f>
        <v/>
      </c>
      <c r="O15" s="112">
        <f>IF(cfg_rf_mode="Single",(1+in_rf_single)*(1+O56)-1,(O5+O14*O6)/(1+O14))</f>
        <v/>
      </c>
      <c r="P15" s="86">
        <f>IF(cfg_rf_mode="Single",(1+in_rf_single)*(1+P56)-1,(P5+P14*P6)/(1+P14))</f>
        <v/>
      </c>
      <c r="Q15" s="86">
        <f>IF(cfg_rf_mode="Single",(1+in_rf_single)*(1+Q56)-1,(Q5+Q14*Q6)/(1+Q14))</f>
        <v/>
      </c>
      <c r="R15" s="86">
        <f>IF(cfg_rf_mode="Single",(1+in_rf_single)*(1+R56)-1,(R5+R14*R6)/(1+R14))</f>
        <v/>
      </c>
      <c r="S15" s="86">
        <f>IF(cfg_rf_mode="Single",(1+in_rf_single)*(1+S56)-1,(S5+S14*S6)/(1+S14))</f>
        <v/>
      </c>
      <c r="T15" s="86">
        <f>IF(cfg_rf_mode="Single",(1+in_rf_single)*(1+T56)-1,(T5+T14*T6)/(1+T14))</f>
        <v/>
      </c>
      <c r="U15" s="86">
        <f>IF(cfg_rf_mode="Single",(1+in_rf_single)*(1+U56)-1,(U5+U14*U6)/(1+U14))</f>
        <v/>
      </c>
      <c r="V15" s="86">
        <f>IF(cfg_rf_mode="Single",(1+in_rf_single)*(1+V56)-1,(V5+V14*V6)/(1+V14))</f>
        <v/>
      </c>
      <c r="W15" s="86">
        <f>IF(cfg_rf_mode="Single",(1+in_rf_single)*(1+W56)-1,(W5+W14*W6)/(1+W14))</f>
        <v/>
      </c>
      <c r="X15" s="86">
        <f>IF(cfg_rf_mode="Single",(1+in_rf_single)*(1+X56)-1,(X5+X14*X6)/(1+X14))</f>
        <v/>
      </c>
      <c r="Y15" s="86">
        <f>IF(cfg_rf_mode="Single",(1+in_rf_single)*(1+Y56)-1,(Y5+Y14*Y6)/(1+Y14))</f>
        <v/>
      </c>
      <c r="Z15" s="86">
        <f>IF(cfg_rf_mode="Single",(1+in_rf_single)*(1+Z56)-1,(Z5+Z14*Z6)/(1+Z14))</f>
        <v/>
      </c>
      <c r="AA15" s="86">
        <f>IF(cfg_rf_mode="Single",(1+in_rf_single)*(1+AA56)-1,(AA5+AA14*AA6)/(1+AA14))</f>
        <v/>
      </c>
      <c r="AB15" s="86">
        <f>IF(cfg_rf_mode="Single",(1+in_rf_single)*(1+AB56)-1,(AB5+AB14*AB6)/(1+AB14))</f>
        <v/>
      </c>
      <c r="AC15" s="86">
        <f>IF(cfg_rf_mode="Single",(1+in_rf_single)*(1+AC56)-1,(AC5+AC14*AC6)/(1+AC14))</f>
        <v/>
      </c>
      <c r="AD15" s="86">
        <f>IF(cfg_rf_mode="Single",(1+in_rf_single)*(1+AD56)-1,(AD5+AD14*AD6)/(1+AD14))</f>
        <v/>
      </c>
      <c r="AE15" s="86">
        <f>IF(cfg_rf_mode="Single",(1+in_rf_single)*(1+AE56)-1,(AE5+AE14*AE6)/(1+AE14))</f>
        <v/>
      </c>
      <c r="AF15" s="86">
        <f>IF(cfg_rf_mode="Single",(1+in_rf_single)*(1+AF56)-1,(AF5+AF14*AF6)/(1+AF14))</f>
        <v/>
      </c>
    </row>
    <row r="16" ht="15" customHeight="1" s="62">
      <c r="A16" s="86" t="inlineStr">
        <is>
          <t>DF^E cumulative</t>
        </is>
      </c>
      <c r="B16" s="100" t="n">
        <v>1</v>
      </c>
      <c r="C16" s="100">
        <f>B16/(1+C5)</f>
        <v/>
      </c>
      <c r="D16" s="100">
        <f>C16/(1+D5)</f>
        <v/>
      </c>
      <c r="E16" s="100">
        <f>D16/(1+E5)</f>
        <v/>
      </c>
      <c r="F16" s="100">
        <f>E16/(1+F5)</f>
        <v/>
      </c>
      <c r="G16" s="100">
        <f>F16/(1+G5)</f>
        <v/>
      </c>
      <c r="H16" s="100">
        <f>G16/(1+H5)</f>
        <v/>
      </c>
      <c r="I16" s="100">
        <f>H16/(1+I5)</f>
        <v/>
      </c>
      <c r="J16" s="100">
        <f>I16/(1+J5)</f>
        <v/>
      </c>
      <c r="K16" s="100">
        <f>J16/(1+K5)</f>
        <v/>
      </c>
      <c r="L16" s="100">
        <f>K16/(1+L5)</f>
        <v/>
      </c>
      <c r="M16" s="100">
        <f>L16/(1+M5)</f>
        <v/>
      </c>
      <c r="N16" s="100">
        <f>M16/(1+N5)</f>
        <v/>
      </c>
      <c r="O16" s="100">
        <f>N16/(1+O5)</f>
        <v/>
      </c>
      <c r="P16" s="86">
        <f>O16/(1+P5)</f>
        <v/>
      </c>
      <c r="Q16" s="86">
        <f>P16/(1+Q5)</f>
        <v/>
      </c>
      <c r="R16" s="86">
        <f>Q16/(1+R5)</f>
        <v/>
      </c>
      <c r="S16" s="86">
        <f>R16/(1+S5)</f>
        <v/>
      </c>
      <c r="T16" s="86">
        <f>S16/(1+T5)</f>
        <v/>
      </c>
      <c r="U16" s="86">
        <f>T16/(1+U5)</f>
        <v/>
      </c>
      <c r="V16" s="86">
        <f>U16/(1+V5)</f>
        <v/>
      </c>
      <c r="W16" s="86">
        <f>V16/(1+W5)</f>
        <v/>
      </c>
      <c r="X16" s="86">
        <f>W16/(1+X5)</f>
        <v/>
      </c>
      <c r="Y16" s="86">
        <f>X16/(1+Y5)</f>
        <v/>
      </c>
      <c r="Z16" s="86">
        <f>Y16/(1+Z5)</f>
        <v/>
      </c>
      <c r="AA16" s="86">
        <f>Z16/(1+AA5)</f>
        <v/>
      </c>
      <c r="AB16" s="86">
        <f>AA16/(1+AB5)</f>
        <v/>
      </c>
      <c r="AC16" s="86">
        <f>AB16/(1+AC5)</f>
        <v/>
      </c>
      <c r="AD16" s="86">
        <f>AC16/(1+AD5)</f>
        <v/>
      </c>
      <c r="AE16" s="86">
        <f>AD16/(1+AE5)</f>
        <v/>
      </c>
      <c r="AF16" s="86">
        <f>AE16/(1+AF5)</f>
        <v/>
      </c>
    </row>
    <row r="17" ht="15" customHeight="1" s="62">
      <c r="A17" s="86" t="inlineStr">
        <is>
          <t>DF^D cumulative</t>
        </is>
      </c>
      <c r="B17" s="100" t="n">
        <v>1</v>
      </c>
      <c r="C17" s="100">
        <f>B17/(1+C6)</f>
        <v/>
      </c>
      <c r="D17" s="100">
        <f>C17/(1+D6)</f>
        <v/>
      </c>
      <c r="E17" s="100">
        <f>D17/(1+E6)</f>
        <v/>
      </c>
      <c r="F17" s="100">
        <f>E17/(1+F6)</f>
        <v/>
      </c>
      <c r="G17" s="100">
        <f>F17/(1+G6)</f>
        <v/>
      </c>
      <c r="H17" s="100">
        <f>G17/(1+H6)</f>
        <v/>
      </c>
      <c r="I17" s="100">
        <f>H17/(1+I6)</f>
        <v/>
      </c>
      <c r="J17" s="100">
        <f>I17/(1+J6)</f>
        <v/>
      </c>
      <c r="K17" s="100">
        <f>J17/(1+K6)</f>
        <v/>
      </c>
      <c r="L17" s="100">
        <f>K17/(1+L6)</f>
        <v/>
      </c>
      <c r="M17" s="100">
        <f>L17/(1+M6)</f>
        <v/>
      </c>
      <c r="N17" s="100">
        <f>M17/(1+N6)</f>
        <v/>
      </c>
      <c r="O17" s="100">
        <f>N17/(1+O6)</f>
        <v/>
      </c>
      <c r="P17" s="86">
        <f>O17/(1+P6)</f>
        <v/>
      </c>
      <c r="Q17" s="86">
        <f>P17/(1+Q6)</f>
        <v/>
      </c>
      <c r="R17" s="86">
        <f>Q17/(1+R6)</f>
        <v/>
      </c>
      <c r="S17" s="86">
        <f>R17/(1+S6)</f>
        <v/>
      </c>
      <c r="T17" s="86">
        <f>S17/(1+T6)</f>
        <v/>
      </c>
      <c r="U17" s="86">
        <f>T17/(1+U6)</f>
        <v/>
      </c>
      <c r="V17" s="86">
        <f>U17/(1+V6)</f>
        <v/>
      </c>
      <c r="W17" s="86">
        <f>V17/(1+W6)</f>
        <v/>
      </c>
      <c r="X17" s="86">
        <f>W17/(1+X6)</f>
        <v/>
      </c>
      <c r="Y17" s="86">
        <f>X17/(1+Y6)</f>
        <v/>
      </c>
      <c r="Z17" s="86">
        <f>Y17/(1+Z6)</f>
        <v/>
      </c>
      <c r="AA17" s="86">
        <f>Z17/(1+AA6)</f>
        <v/>
      </c>
      <c r="AB17" s="86">
        <f>AA17/(1+AB6)</f>
        <v/>
      </c>
      <c r="AC17" s="86">
        <f>AB17/(1+AC6)</f>
        <v/>
      </c>
      <c r="AD17" s="86">
        <f>AC17/(1+AD6)</f>
        <v/>
      </c>
      <c r="AE17" s="86">
        <f>AD17/(1+AE6)</f>
        <v/>
      </c>
      <c r="AF17" s="86">
        <f>AE17/(1+AF6)</f>
        <v/>
      </c>
    </row>
    <row r="18" ht="15" customHeight="1" s="62">
      <c r="A18" s="86" t="inlineStr">
        <is>
          <t>DF^F cumulative</t>
        </is>
      </c>
      <c r="B18" s="100" t="n">
        <v>1</v>
      </c>
      <c r="C18" s="100">
        <f>B18/(1+C15)</f>
        <v/>
      </c>
      <c r="D18" s="100">
        <f>C18/(1+D15)</f>
        <v/>
      </c>
      <c r="E18" s="100">
        <f>D18/(1+E15)</f>
        <v/>
      </c>
      <c r="F18" s="100">
        <f>E18/(1+F15)</f>
        <v/>
      </c>
      <c r="G18" s="100">
        <f>F18/(1+G15)</f>
        <v/>
      </c>
      <c r="H18" s="100">
        <f>G18/(1+H15)</f>
        <v/>
      </c>
      <c r="I18" s="100">
        <f>H18/(1+I15)</f>
        <v/>
      </c>
      <c r="J18" s="100">
        <f>I18/(1+J15)</f>
        <v/>
      </c>
      <c r="K18" s="100">
        <f>J18/(1+K15)</f>
        <v/>
      </c>
      <c r="L18" s="100">
        <f>K18/(1+L15)</f>
        <v/>
      </c>
      <c r="M18" s="100">
        <f>L18/(1+M15)</f>
        <v/>
      </c>
      <c r="N18" s="100">
        <f>M18/(1+N15)</f>
        <v/>
      </c>
      <c r="O18" s="100">
        <f>N18/(1+O15)</f>
        <v/>
      </c>
      <c r="P18" s="86">
        <f>O18/(1+P15)</f>
        <v/>
      </c>
      <c r="Q18" s="86">
        <f>P18/(1+Q15)</f>
        <v/>
      </c>
      <c r="R18" s="86">
        <f>Q18/(1+R15)</f>
        <v/>
      </c>
      <c r="S18" s="86">
        <f>R18/(1+S15)</f>
        <v/>
      </c>
      <c r="T18" s="86">
        <f>S18/(1+T15)</f>
        <v/>
      </c>
      <c r="U18" s="86">
        <f>T18/(1+U15)</f>
        <v/>
      </c>
      <c r="V18" s="86">
        <f>U18/(1+V15)</f>
        <v/>
      </c>
      <c r="W18" s="86">
        <f>V18/(1+W15)</f>
        <v/>
      </c>
      <c r="X18" s="86">
        <f>W18/(1+X15)</f>
        <v/>
      </c>
      <c r="Y18" s="86">
        <f>X18/(1+Y15)</f>
        <v/>
      </c>
      <c r="Z18" s="86">
        <f>Y18/(1+Z15)</f>
        <v/>
      </c>
      <c r="AA18" s="86">
        <f>Z18/(1+AA15)</f>
        <v/>
      </c>
      <c r="AB18" s="86">
        <f>AA18/(1+AB15)</f>
        <v/>
      </c>
      <c r="AC18" s="86">
        <f>AB18/(1+AC15)</f>
        <v/>
      </c>
      <c r="AD18" s="86">
        <f>AC18/(1+AD15)</f>
        <v/>
      </c>
      <c r="AE18" s="86">
        <f>AD18/(1+AE15)</f>
        <v/>
      </c>
      <c r="AF18" s="86">
        <f>AE18/(1+AF15)</f>
        <v/>
      </c>
    </row>
    <row r="20" ht="15" customHeight="1" s="62">
      <c r="A20" s="83" t="inlineStr">
        <is>
          <t>Long-run REAL rates (last tenor) — capitalisation BASE; cap rows 58-60 apply (1+pi_t)</t>
        </is>
      </c>
      <c r="B20" s="112">
        <f>INDEX(finrate_coe,COLUMNS(finrate_coe))</f>
        <v/>
      </c>
      <c r="C20" s="112">
        <f>INDEX(finrate_cod,COLUMNS(finrate_cod))</f>
        <v/>
      </c>
      <c r="D20" s="112">
        <f>IF(cfg_rf_mode="Single",in_rf_lr,($B$20+O14*$C$20)/(1+O14))</f>
        <v/>
      </c>
      <c r="E20" s="68" t="inlineStr">
        <is>
          <t>← ρE_LR | ρD_LR | ρF_LR</t>
        </is>
      </c>
    </row>
    <row r="22" ht="15" customHeight="1" s="62">
      <c r="A22" s="86" t="inlineStr">
        <is>
          <t>normal EPS = (1+pi)*EPS(t-1) + (rhoE_nom - pi)*retained(t-1)</t>
        </is>
      </c>
      <c r="C22" s="106">
        <f>(1+C56)*B7+(C5-C56)*B9</f>
        <v/>
      </c>
      <c r="D22" s="106">
        <f>(1+D56)*C7+(D5-D56)*C9</f>
        <v/>
      </c>
      <c r="E22" s="106">
        <f>(1+E56)*D7+(E5-E56)*D9</f>
        <v/>
      </c>
      <c r="F22" s="106">
        <f>(1+F56)*E7+(F5-F56)*E9</f>
        <v/>
      </c>
      <c r="G22" s="106">
        <f>(1+G56)*F7+(G5-G56)*F9</f>
        <v/>
      </c>
      <c r="H22" s="106">
        <f>(1+H56)*G7+(H5-H56)*G9</f>
        <v/>
      </c>
      <c r="I22" s="106">
        <f>(1+I56)*H7+(I5-I56)*H9</f>
        <v/>
      </c>
      <c r="J22" s="106">
        <f>(1+J56)*I7+(J5-J56)*I9</f>
        <v/>
      </c>
      <c r="K22" s="106">
        <f>(1+K56)*J7+(K5-K56)*J9</f>
        <v/>
      </c>
      <c r="L22" s="106">
        <f>(1+L56)*K7+(L5-L56)*K9</f>
        <v/>
      </c>
      <c r="M22" s="106">
        <f>(1+M56)*L7+(M5-M56)*L9</f>
        <v/>
      </c>
      <c r="N22" s="106">
        <f>(1+N56)*M7+(N5-N56)*M9</f>
        <v/>
      </c>
      <c r="O22" s="106">
        <f>(1+O56)*N7+(O5-O56)*N9</f>
        <v/>
      </c>
      <c r="P22" s="86">
        <f>(1+P56)*O7+(P5-P56)*O9</f>
        <v/>
      </c>
      <c r="Q22" s="86">
        <f>(1+Q56)*P7+(Q5-Q56)*P9</f>
        <v/>
      </c>
      <c r="R22" s="86">
        <f>(1+R56)*Q7+(R5-R56)*Q9</f>
        <v/>
      </c>
      <c r="S22" s="86">
        <f>(1+S56)*R7+(S5-S56)*R9</f>
        <v/>
      </c>
      <c r="T22" s="86">
        <f>(1+T56)*S7+(T5-T56)*S9</f>
        <v/>
      </c>
      <c r="U22" s="86">
        <f>(1+U56)*T7+(U5-U56)*T9</f>
        <v/>
      </c>
      <c r="V22" s="86">
        <f>(1+V56)*U7+(V5-V56)*U9</f>
        <v/>
      </c>
      <c r="W22" s="86">
        <f>(1+W56)*V7+(W5-W56)*V9</f>
        <v/>
      </c>
      <c r="X22" s="86">
        <f>(1+X56)*W7+(X5-X56)*W9</f>
        <v/>
      </c>
      <c r="Y22" s="86">
        <f>(1+Y56)*X7+(Y5-Y56)*X9</f>
        <v/>
      </c>
      <c r="Z22" s="86">
        <f>(1+Z56)*Y7+(Z5-Z56)*Y9</f>
        <v/>
      </c>
      <c r="AA22" s="86">
        <f>(1+AA56)*Z7+(AA5-AA56)*Z9</f>
        <v/>
      </c>
      <c r="AB22" s="86">
        <f>(1+AB56)*AA7+(AB5-AB56)*AA9</f>
        <v/>
      </c>
      <c r="AC22" s="86">
        <f>(1+AC56)*AB7+(AC5-AC56)*AB9</f>
        <v/>
      </c>
      <c r="AD22" s="86">
        <f>(1+AD56)*AC7+(AD5-AD56)*AC9</f>
        <v/>
      </c>
      <c r="AE22" s="86">
        <f>(1+AE56)*AD7+(AE5-AE56)*AD9</f>
        <v/>
      </c>
      <c r="AF22" s="86">
        <f>(1+AF56)*AE7+(AF5-AF56)*AE9</f>
        <v/>
      </c>
    </row>
    <row r="23" ht="15" customHeight="1" s="62">
      <c r="A23" s="86" t="inlineStr">
        <is>
          <t>AEG(EPS)</t>
        </is>
      </c>
      <c r="C23" s="106">
        <f>C7-C22</f>
        <v/>
      </c>
      <c r="D23" s="106">
        <f>D7-D22</f>
        <v/>
      </c>
      <c r="E23" s="106">
        <f>E7-E22</f>
        <v/>
      </c>
      <c r="F23" s="106">
        <f>F7-F22</f>
        <v/>
      </c>
      <c r="G23" s="106">
        <f>G7-G22</f>
        <v/>
      </c>
      <c r="H23" s="106">
        <f>H7-H22</f>
        <v/>
      </c>
      <c r="I23" s="106">
        <f>I7-I22</f>
        <v/>
      </c>
      <c r="J23" s="106">
        <f>J7-J22</f>
        <v/>
      </c>
      <c r="K23" s="106">
        <f>K7-K22</f>
        <v/>
      </c>
      <c r="L23" s="106">
        <f>L7-L22</f>
        <v/>
      </c>
      <c r="M23" s="106">
        <f>M7-M22</f>
        <v/>
      </c>
      <c r="N23" s="106">
        <f>N7-N22</f>
        <v/>
      </c>
      <c r="O23" s="106">
        <f>O7-O22</f>
        <v/>
      </c>
      <c r="P23" s="86">
        <f>P7-P22</f>
        <v/>
      </c>
      <c r="Q23" s="86">
        <f>Q7-Q22</f>
        <v/>
      </c>
      <c r="R23" s="86">
        <f>R7-R22</f>
        <v/>
      </c>
      <c r="S23" s="86">
        <f>S7-S22</f>
        <v/>
      </c>
      <c r="T23" s="86">
        <f>T7-T22</f>
        <v/>
      </c>
      <c r="U23" s="86">
        <f>U7-U22</f>
        <v/>
      </c>
      <c r="V23" s="86">
        <f>V7-V22</f>
        <v/>
      </c>
      <c r="W23" s="86">
        <f>W7-W22</f>
        <v/>
      </c>
      <c r="X23" s="86">
        <f>X7-X22</f>
        <v/>
      </c>
      <c r="Y23" s="86">
        <f>Y7-Y22</f>
        <v/>
      </c>
      <c r="Z23" s="86">
        <f>Z7-Z22</f>
        <v/>
      </c>
      <c r="AA23" s="86">
        <f>AA7-AA22</f>
        <v/>
      </c>
      <c r="AB23" s="86">
        <f>AB7-AB22</f>
        <v/>
      </c>
      <c r="AC23" s="86">
        <f>AC7-AC22</f>
        <v/>
      </c>
      <c r="AD23" s="86">
        <f>AD7-AD22</f>
        <v/>
      </c>
      <c r="AE23" s="86">
        <f>AE7-AE22</f>
        <v/>
      </c>
      <c r="AF23" s="86">
        <f>AF7-AF22</f>
        <v/>
      </c>
    </row>
    <row r="24" ht="15" customHeight="1" s="62">
      <c r="A24" s="86" t="inlineStr">
        <is>
          <t>contrib EPS [t&lt;=N] = dRI^E_t x A^E_t</t>
        </is>
      </c>
      <c r="C24" s="106">
        <f>IF(C4&lt;=cfg_N,C63*C62,0)</f>
        <v/>
      </c>
      <c r="D24" s="106">
        <f>IF(D4&lt;=cfg_N,D63*D62,0)</f>
        <v/>
      </c>
      <c r="E24" s="106">
        <f>IF(E4&lt;=cfg_N,E63*E62,0)</f>
        <v/>
      </c>
      <c r="F24" s="106">
        <f>IF(F4&lt;=cfg_N,F63*F62,0)</f>
        <v/>
      </c>
      <c r="G24" s="106">
        <f>IF(G4&lt;=cfg_N,G63*G62,0)</f>
        <v/>
      </c>
      <c r="H24" s="106">
        <f>IF(H4&lt;=cfg_N,H63*H62,0)</f>
        <v/>
      </c>
      <c r="I24" s="106">
        <f>IF(I4&lt;=cfg_N,I63*I62,0)</f>
        <v/>
      </c>
      <c r="J24" s="106">
        <f>IF(J4&lt;=cfg_N,J63*J62,0)</f>
        <v/>
      </c>
      <c r="K24" s="106">
        <f>IF(K4&lt;=cfg_N,K63*K62,0)</f>
        <v/>
      </c>
      <c r="L24" s="106">
        <f>IF(L4&lt;=cfg_N,L63*L62,0)</f>
        <v/>
      </c>
      <c r="M24" s="106">
        <f>IF(M4&lt;=cfg_N,M63*M62,0)</f>
        <v/>
      </c>
      <c r="N24" s="106">
        <f>IF(N4&lt;=cfg_N,N63*N62,0)</f>
        <v/>
      </c>
      <c r="O24" s="106">
        <f>IF(O4&lt;=cfg_N,O63*O62,0)</f>
        <v/>
      </c>
      <c r="P24" s="86">
        <f>IF(P4&lt;=cfg_N,P63*P62,0)</f>
        <v/>
      </c>
      <c r="Q24" s="86">
        <f>IF(Q4&lt;=cfg_N,Q63*Q62,0)</f>
        <v/>
      </c>
      <c r="R24" s="86">
        <f>IF(R4&lt;=cfg_N,R63*R62,0)</f>
        <v/>
      </c>
      <c r="S24" s="86">
        <f>IF(S4&lt;=cfg_N,S63*S62,0)</f>
        <v/>
      </c>
      <c r="T24" s="86">
        <f>IF(T4&lt;=cfg_N,T63*T62,0)</f>
        <v/>
      </c>
      <c r="U24" s="86">
        <f>IF(U4&lt;=cfg_N,U63*U62,0)</f>
        <v/>
      </c>
      <c r="V24" s="86">
        <f>IF(V4&lt;=cfg_N,V63*V62,0)</f>
        <v/>
      </c>
      <c r="W24" s="86">
        <f>IF(W4&lt;=cfg_N,W63*W62,0)</f>
        <v/>
      </c>
      <c r="X24" s="86">
        <f>IF(X4&lt;=cfg_N,X63*X62,0)</f>
        <v/>
      </c>
      <c r="Y24" s="86">
        <f>IF(Y4&lt;=cfg_N,Y63*Y62,0)</f>
        <v/>
      </c>
      <c r="Z24" s="86">
        <f>IF(Z4&lt;=cfg_N,Z63*Z62,0)</f>
        <v/>
      </c>
      <c r="AA24" s="86">
        <f>IF(AA4&lt;=cfg_N,AA63*AA62,0)</f>
        <v/>
      </c>
      <c r="AB24" s="86">
        <f>IF(AB4&lt;=cfg_N,AB63*AB62,0)</f>
        <v/>
      </c>
      <c r="AC24" s="86">
        <f>IF(AC4&lt;=cfg_N,AC63*AC62,0)</f>
        <v/>
      </c>
      <c r="AD24" s="86">
        <f>IF(AD4&lt;=cfg_N,AD63*AD62,0)</f>
        <v/>
      </c>
      <c r="AE24" s="86">
        <f>IF(AE4&lt;=cfg_N,AE63*AE62,0)</f>
        <v/>
      </c>
      <c r="AF24" s="86">
        <f>IF(AF4&lt;=cfg_N,AF63*AF62,0)</f>
        <v/>
      </c>
    </row>
    <row r="26" ht="15" customHeight="1" s="62">
      <c r="A26" s="86" t="inlineStr">
        <is>
          <t>normal NFE</t>
        </is>
      </c>
      <c r="C26" s="106">
        <f>(1+C56)*B12</f>
        <v/>
      </c>
      <c r="D26" s="106">
        <f>(1+D56)*C12</f>
        <v/>
      </c>
      <c r="E26" s="106">
        <f>(1+E56)*D12</f>
        <v/>
      </c>
      <c r="F26" s="106">
        <f>(1+F56)*E12</f>
        <v/>
      </c>
      <c r="G26" s="106">
        <f>(1+G56)*F12</f>
        <v/>
      </c>
      <c r="H26" s="106">
        <f>(1+H56)*G12</f>
        <v/>
      </c>
      <c r="I26" s="106">
        <f>(1+I56)*H12</f>
        <v/>
      </c>
      <c r="J26" s="106">
        <f>(1+J56)*I12</f>
        <v/>
      </c>
      <c r="K26" s="106">
        <f>(1+K56)*J12</f>
        <v/>
      </c>
      <c r="L26" s="106">
        <f>(1+L56)*K12</f>
        <v/>
      </c>
      <c r="M26" s="106">
        <f>(1+M56)*L12</f>
        <v/>
      </c>
      <c r="N26" s="106">
        <f>(1+N56)*M12</f>
        <v/>
      </c>
      <c r="O26" s="106">
        <f>(1+O56)*N12</f>
        <v/>
      </c>
      <c r="P26" s="86">
        <f>(1+P56)*O12</f>
        <v/>
      </c>
      <c r="Q26" s="86">
        <f>(1+Q56)*P12</f>
        <v/>
      </c>
      <c r="R26" s="86">
        <f>(1+R56)*Q12</f>
        <v/>
      </c>
      <c r="S26" s="86">
        <f>(1+S56)*R12</f>
        <v/>
      </c>
      <c r="T26" s="86">
        <f>(1+T56)*S12</f>
        <v/>
      </c>
      <c r="U26" s="86">
        <f>(1+U56)*T12</f>
        <v/>
      </c>
      <c r="V26" s="86">
        <f>(1+V56)*U12</f>
        <v/>
      </c>
      <c r="W26" s="86">
        <f>(1+W56)*V12</f>
        <v/>
      </c>
      <c r="X26" s="86">
        <f>(1+X56)*W12</f>
        <v/>
      </c>
      <c r="Y26" s="86">
        <f>(1+Y56)*X12</f>
        <v/>
      </c>
      <c r="Z26" s="86">
        <f>(1+Z56)*Y12</f>
        <v/>
      </c>
      <c r="AA26" s="86">
        <f>(1+AA56)*Z12</f>
        <v/>
      </c>
      <c r="AB26" s="86">
        <f>(1+AB56)*AA12</f>
        <v/>
      </c>
      <c r="AC26" s="86">
        <f>(1+AC56)*AB12</f>
        <v/>
      </c>
      <c r="AD26" s="86">
        <f>(1+AD56)*AC12</f>
        <v/>
      </c>
      <c r="AE26" s="86">
        <f>(1+AE56)*AD12</f>
        <v/>
      </c>
      <c r="AF26" s="86">
        <f>(1+AF56)*AE12</f>
        <v/>
      </c>
    </row>
    <row r="27" ht="15" customHeight="1" s="62">
      <c r="A27" s="86" t="inlineStr">
        <is>
          <t>AEG(NFE)</t>
        </is>
      </c>
      <c r="C27" s="106">
        <f>C12-C26</f>
        <v/>
      </c>
      <c r="D27" s="106">
        <f>D12-D26</f>
        <v/>
      </c>
      <c r="E27" s="106">
        <f>E12-E26</f>
        <v/>
      </c>
      <c r="F27" s="106">
        <f>F12-F26</f>
        <v/>
      </c>
      <c r="G27" s="106">
        <f>G12-G26</f>
        <v/>
      </c>
      <c r="H27" s="106">
        <f>H12-H26</f>
        <v/>
      </c>
      <c r="I27" s="106">
        <f>I12-I26</f>
        <v/>
      </c>
      <c r="J27" s="106">
        <f>J12-J26</f>
        <v/>
      </c>
      <c r="K27" s="106">
        <f>K12-K26</f>
        <v/>
      </c>
      <c r="L27" s="106">
        <f>L12-L26</f>
        <v/>
      </c>
      <c r="M27" s="106">
        <f>M12-M26</f>
        <v/>
      </c>
      <c r="N27" s="106">
        <f>N12-N26</f>
        <v/>
      </c>
      <c r="O27" s="106">
        <f>O12-O26</f>
        <v/>
      </c>
      <c r="P27" s="86">
        <f>P12-P26</f>
        <v/>
      </c>
      <c r="Q27" s="86">
        <f>Q12-Q26</f>
        <v/>
      </c>
      <c r="R27" s="86">
        <f>R12-R26</f>
        <v/>
      </c>
      <c r="S27" s="86">
        <f>S12-S26</f>
        <v/>
      </c>
      <c r="T27" s="86">
        <f>T12-T26</f>
        <v/>
      </c>
      <c r="U27" s="86">
        <f>U12-U26</f>
        <v/>
      </c>
      <c r="V27" s="86">
        <f>V12-V26</f>
        <v/>
      </c>
      <c r="W27" s="86">
        <f>W12-W26</f>
        <v/>
      </c>
      <c r="X27" s="86">
        <f>X12-X26</f>
        <v/>
      </c>
      <c r="Y27" s="86">
        <f>Y12-Y26</f>
        <v/>
      </c>
      <c r="Z27" s="86">
        <f>Z12-Z26</f>
        <v/>
      </c>
      <c r="AA27" s="86">
        <f>AA12-AA26</f>
        <v/>
      </c>
      <c r="AB27" s="86">
        <f>AB12-AB26</f>
        <v/>
      </c>
      <c r="AC27" s="86">
        <f>AC12-AC26</f>
        <v/>
      </c>
      <c r="AD27" s="86">
        <f>AD12-AD26</f>
        <v/>
      </c>
      <c r="AE27" s="86">
        <f>AE12-AE26</f>
        <v/>
      </c>
      <c r="AF27" s="86">
        <f>AF12-AF26</f>
        <v/>
      </c>
    </row>
    <row r="28" ht="15" customHeight="1" s="62">
      <c r="A28" s="86" t="inlineStr">
        <is>
          <t>contrib NFE [t&lt;=N] = dRI^D_t x A^D_t</t>
        </is>
      </c>
      <c r="C28" s="106">
        <f>IF(C4&lt;=cfg_N,C66*C65,0)</f>
        <v/>
      </c>
      <c r="D28" s="106">
        <f>IF(D4&lt;=cfg_N,D66*D65,0)</f>
        <v/>
      </c>
      <c r="E28" s="106">
        <f>IF(E4&lt;=cfg_N,E66*E65,0)</f>
        <v/>
      </c>
      <c r="F28" s="106">
        <f>IF(F4&lt;=cfg_N,F66*F65,0)</f>
        <v/>
      </c>
      <c r="G28" s="106">
        <f>IF(G4&lt;=cfg_N,G66*G65,0)</f>
        <v/>
      </c>
      <c r="H28" s="106">
        <f>IF(H4&lt;=cfg_N,H66*H65,0)</f>
        <v/>
      </c>
      <c r="I28" s="106">
        <f>IF(I4&lt;=cfg_N,I66*I65,0)</f>
        <v/>
      </c>
      <c r="J28" s="106">
        <f>IF(J4&lt;=cfg_N,J66*J65,0)</f>
        <v/>
      </c>
      <c r="K28" s="106">
        <f>IF(K4&lt;=cfg_N,K66*K65,0)</f>
        <v/>
      </c>
      <c r="L28" s="106">
        <f>IF(L4&lt;=cfg_N,L66*L65,0)</f>
        <v/>
      </c>
      <c r="M28" s="106">
        <f>IF(M4&lt;=cfg_N,M66*M65,0)</f>
        <v/>
      </c>
      <c r="N28" s="106">
        <f>IF(N4&lt;=cfg_N,N66*N65,0)</f>
        <v/>
      </c>
      <c r="O28" s="106">
        <f>IF(O4&lt;=cfg_N,O66*O65,0)</f>
        <v/>
      </c>
      <c r="P28" s="86">
        <f>IF(P4&lt;=cfg_N,P66*P65,0)</f>
        <v/>
      </c>
      <c r="Q28" s="86">
        <f>IF(Q4&lt;=cfg_N,Q66*Q65,0)</f>
        <v/>
      </c>
      <c r="R28" s="86">
        <f>IF(R4&lt;=cfg_N,R66*R65,0)</f>
        <v/>
      </c>
      <c r="S28" s="86">
        <f>IF(S4&lt;=cfg_N,S66*S65,0)</f>
        <v/>
      </c>
      <c r="T28" s="86">
        <f>IF(T4&lt;=cfg_N,T66*T65,0)</f>
        <v/>
      </c>
      <c r="U28" s="86">
        <f>IF(U4&lt;=cfg_N,U66*U65,0)</f>
        <v/>
      </c>
      <c r="V28" s="86">
        <f>IF(V4&lt;=cfg_N,V66*V65,0)</f>
        <v/>
      </c>
      <c r="W28" s="86">
        <f>IF(W4&lt;=cfg_N,W66*W65,0)</f>
        <v/>
      </c>
      <c r="X28" s="86">
        <f>IF(X4&lt;=cfg_N,X66*X65,0)</f>
        <v/>
      </c>
      <c r="Y28" s="86">
        <f>IF(Y4&lt;=cfg_N,Y66*Y65,0)</f>
        <v/>
      </c>
      <c r="Z28" s="86">
        <f>IF(Z4&lt;=cfg_N,Z66*Z65,0)</f>
        <v/>
      </c>
      <c r="AA28" s="86">
        <f>IF(AA4&lt;=cfg_N,AA66*AA65,0)</f>
        <v/>
      </c>
      <c r="AB28" s="86">
        <f>IF(AB4&lt;=cfg_N,AB66*AB65,0)</f>
        <v/>
      </c>
      <c r="AC28" s="86">
        <f>IF(AC4&lt;=cfg_N,AC66*AC65,0)</f>
        <v/>
      </c>
      <c r="AD28" s="86">
        <f>IF(AD4&lt;=cfg_N,AD66*AD65,0)</f>
        <v/>
      </c>
      <c r="AE28" s="86">
        <f>IF(AE4&lt;=cfg_N,AE66*AE65,0)</f>
        <v/>
      </c>
      <c r="AF28" s="86">
        <f>IF(AF4&lt;=cfg_N,AF66*AF65,0)</f>
        <v/>
      </c>
    </row>
    <row r="30" ht="15" customHeight="1" s="62">
      <c r="A30" s="86" t="inlineStr">
        <is>
          <t>normal OI</t>
        </is>
      </c>
      <c r="C30" s="106">
        <f>(1+C56)*B13+(C15-C56)*B9</f>
        <v/>
      </c>
      <c r="D30" s="106">
        <f>(1+D56)*C13+(D15-D56)*C9</f>
        <v/>
      </c>
      <c r="E30" s="106">
        <f>(1+E56)*D13+(E15-E56)*D9</f>
        <v/>
      </c>
      <c r="F30" s="106">
        <f>(1+F56)*E13+(F15-F56)*E9</f>
        <v/>
      </c>
      <c r="G30" s="106">
        <f>(1+G56)*F13+(G15-G56)*F9</f>
        <v/>
      </c>
      <c r="H30" s="106">
        <f>(1+H56)*G13+(H15-H56)*G9</f>
        <v/>
      </c>
      <c r="I30" s="106">
        <f>(1+I56)*H13+(I15-I56)*H9</f>
        <v/>
      </c>
      <c r="J30" s="106">
        <f>(1+J56)*I13+(J15-J56)*I9</f>
        <v/>
      </c>
      <c r="K30" s="106">
        <f>(1+K56)*J13+(K15-K56)*J9</f>
        <v/>
      </c>
      <c r="L30" s="106">
        <f>(1+L56)*K13+(L15-L56)*K9</f>
        <v/>
      </c>
      <c r="M30" s="106">
        <f>(1+M56)*L13+(M15-M56)*L9</f>
        <v/>
      </c>
      <c r="N30" s="106">
        <f>(1+N56)*M13+(N15-N56)*M9</f>
        <v/>
      </c>
      <c r="O30" s="106">
        <f>(1+O56)*N13+(O15-O56)*N9</f>
        <v/>
      </c>
      <c r="P30" s="86">
        <f>(1+P56)*O13+(P15-P56)*O9</f>
        <v/>
      </c>
      <c r="Q30" s="86">
        <f>(1+Q56)*P13+(Q15-Q56)*P9</f>
        <v/>
      </c>
      <c r="R30" s="86">
        <f>(1+R56)*Q13+(R15-R56)*Q9</f>
        <v/>
      </c>
      <c r="S30" s="86">
        <f>(1+S56)*R13+(S15-S56)*R9</f>
        <v/>
      </c>
      <c r="T30" s="86">
        <f>(1+T56)*S13+(T15-T56)*S9</f>
        <v/>
      </c>
      <c r="U30" s="86">
        <f>(1+U56)*T13+(U15-U56)*T9</f>
        <v/>
      </c>
      <c r="V30" s="86">
        <f>(1+V56)*U13+(V15-V56)*U9</f>
        <v/>
      </c>
      <c r="W30" s="86">
        <f>(1+W56)*V13+(W15-W56)*V9</f>
        <v/>
      </c>
      <c r="X30" s="86">
        <f>(1+X56)*W13+(X15-X56)*W9</f>
        <v/>
      </c>
      <c r="Y30" s="86">
        <f>(1+Y56)*X13+(Y15-Y56)*X9</f>
        <v/>
      </c>
      <c r="Z30" s="86">
        <f>(1+Z56)*Y13+(Z15-Z56)*Y9</f>
        <v/>
      </c>
      <c r="AA30" s="86">
        <f>(1+AA56)*Z13+(AA15-AA56)*Z9</f>
        <v/>
      </c>
      <c r="AB30" s="86">
        <f>(1+AB56)*AA13+(AB15-AB56)*AA9</f>
        <v/>
      </c>
      <c r="AC30" s="86">
        <f>(1+AC56)*AB13+(AC15-AC56)*AB9</f>
        <v/>
      </c>
      <c r="AD30" s="86">
        <f>(1+AD56)*AC13+(AD15-AD56)*AC9</f>
        <v/>
      </c>
      <c r="AE30" s="86">
        <f>(1+AE56)*AD13+(AE15-AE56)*AD9</f>
        <v/>
      </c>
      <c r="AF30" s="86">
        <f>(1+AF56)*AE13+(AF15-AF56)*AE9</f>
        <v/>
      </c>
    </row>
    <row r="31" ht="15" customHeight="1" s="62">
      <c r="A31" s="86" t="inlineStr">
        <is>
          <t>AEG(OI)</t>
        </is>
      </c>
      <c r="C31" s="106">
        <f>C13-C30</f>
        <v/>
      </c>
      <c r="D31" s="106">
        <f>D13-D30</f>
        <v/>
      </c>
      <c r="E31" s="106">
        <f>E13-E30</f>
        <v/>
      </c>
      <c r="F31" s="106">
        <f>F13-F30</f>
        <v/>
      </c>
      <c r="G31" s="106">
        <f>G13-G30</f>
        <v/>
      </c>
      <c r="H31" s="106">
        <f>H13-H30</f>
        <v/>
      </c>
      <c r="I31" s="106">
        <f>I13-I30</f>
        <v/>
      </c>
      <c r="J31" s="106">
        <f>J13-J30</f>
        <v/>
      </c>
      <c r="K31" s="106">
        <f>K13-K30</f>
        <v/>
      </c>
      <c r="L31" s="106">
        <f>L13-L30</f>
        <v/>
      </c>
      <c r="M31" s="106">
        <f>M13-M30</f>
        <v/>
      </c>
      <c r="N31" s="106">
        <f>N13-N30</f>
        <v/>
      </c>
      <c r="O31" s="106">
        <f>O13-O30</f>
        <v/>
      </c>
      <c r="P31" s="86">
        <f>P13-P30</f>
        <v/>
      </c>
      <c r="Q31" s="86">
        <f>Q13-Q30</f>
        <v/>
      </c>
      <c r="R31" s="86">
        <f>R13-R30</f>
        <v/>
      </c>
      <c r="S31" s="86">
        <f>S13-S30</f>
        <v/>
      </c>
      <c r="T31" s="86">
        <f>T13-T30</f>
        <v/>
      </c>
      <c r="U31" s="86">
        <f>U13-U30</f>
        <v/>
      </c>
      <c r="V31" s="86">
        <f>V13-V30</f>
        <v/>
      </c>
      <c r="W31" s="86">
        <f>W13-W30</f>
        <v/>
      </c>
      <c r="X31" s="86">
        <f>X13-X30</f>
        <v/>
      </c>
      <c r="Y31" s="86">
        <f>Y13-Y30</f>
        <v/>
      </c>
      <c r="Z31" s="86">
        <f>Z13-Z30</f>
        <v/>
      </c>
      <c r="AA31" s="86">
        <f>AA13-AA30</f>
        <v/>
      </c>
      <c r="AB31" s="86">
        <f>AB13-AB30</f>
        <v/>
      </c>
      <c r="AC31" s="86">
        <f>AC13-AC30</f>
        <v/>
      </c>
      <c r="AD31" s="86">
        <f>AD13-AD30</f>
        <v/>
      </c>
      <c r="AE31" s="86">
        <f>AE13-AE30</f>
        <v/>
      </c>
      <c r="AF31" s="86">
        <f>AF13-AF30</f>
        <v/>
      </c>
    </row>
    <row r="32" ht="15" customHeight="1" s="62">
      <c r="A32" s="86" t="inlineStr">
        <is>
          <t>contrib OI  [t&lt;=N] = dRI^F_t x A^F_t</t>
        </is>
      </c>
      <c r="C32" s="106">
        <f>IF(C4&lt;=cfg_N,C69*C68,0)</f>
        <v/>
      </c>
      <c r="D32" s="106">
        <f>IF(D4&lt;=cfg_N,D69*D68,0)</f>
        <v/>
      </c>
      <c r="E32" s="106">
        <f>IF(E4&lt;=cfg_N,E69*E68,0)</f>
        <v/>
      </c>
      <c r="F32" s="106">
        <f>IF(F4&lt;=cfg_N,F69*F68,0)</f>
        <v/>
      </c>
      <c r="G32" s="106">
        <f>IF(G4&lt;=cfg_N,G69*G68,0)</f>
        <v/>
      </c>
      <c r="H32" s="106">
        <f>IF(H4&lt;=cfg_N,H69*H68,0)</f>
        <v/>
      </c>
      <c r="I32" s="106">
        <f>IF(I4&lt;=cfg_N,I69*I68,0)</f>
        <v/>
      </c>
      <c r="J32" s="106">
        <f>IF(J4&lt;=cfg_N,J69*J68,0)</f>
        <v/>
      </c>
      <c r="K32" s="106">
        <f>IF(K4&lt;=cfg_N,K69*K68,0)</f>
        <v/>
      </c>
      <c r="L32" s="106">
        <f>IF(L4&lt;=cfg_N,L69*L68,0)</f>
        <v/>
      </c>
      <c r="M32" s="106">
        <f>IF(M4&lt;=cfg_N,M69*M68,0)</f>
        <v/>
      </c>
      <c r="N32" s="106">
        <f>IF(N4&lt;=cfg_N,N69*N68,0)</f>
        <v/>
      </c>
      <c r="O32" s="106">
        <f>IF(O4&lt;=cfg_N,O69*O68,0)</f>
        <v/>
      </c>
      <c r="P32" s="86">
        <f>IF(P4&lt;=cfg_N,P69*P68,0)</f>
        <v/>
      </c>
      <c r="Q32" s="86">
        <f>IF(Q4&lt;=cfg_N,Q69*Q68,0)</f>
        <v/>
      </c>
      <c r="R32" s="86">
        <f>IF(R4&lt;=cfg_N,R69*R68,0)</f>
        <v/>
      </c>
      <c r="S32" s="86">
        <f>IF(S4&lt;=cfg_N,S69*S68,0)</f>
        <v/>
      </c>
      <c r="T32" s="86">
        <f>IF(T4&lt;=cfg_N,T69*T68,0)</f>
        <v/>
      </c>
      <c r="U32" s="86">
        <f>IF(U4&lt;=cfg_N,U69*U68,0)</f>
        <v/>
      </c>
      <c r="V32" s="86">
        <f>IF(V4&lt;=cfg_N,V69*V68,0)</f>
        <v/>
      </c>
      <c r="W32" s="86">
        <f>IF(W4&lt;=cfg_N,W69*W68,0)</f>
        <v/>
      </c>
      <c r="X32" s="86">
        <f>IF(X4&lt;=cfg_N,X69*X68,0)</f>
        <v/>
      </c>
      <c r="Y32" s="86">
        <f>IF(Y4&lt;=cfg_N,Y69*Y68,0)</f>
        <v/>
      </c>
      <c r="Z32" s="86">
        <f>IF(Z4&lt;=cfg_N,Z69*Z68,0)</f>
        <v/>
      </c>
      <c r="AA32" s="86">
        <f>IF(AA4&lt;=cfg_N,AA69*AA68,0)</f>
        <v/>
      </c>
      <c r="AB32" s="86">
        <f>IF(AB4&lt;=cfg_N,AB69*AB68,0)</f>
        <v/>
      </c>
      <c r="AC32" s="86">
        <f>IF(AC4&lt;=cfg_N,AC69*AC68,0)</f>
        <v/>
      </c>
      <c r="AD32" s="86">
        <f>IF(AD4&lt;=cfg_N,AD69*AD68,0)</f>
        <v/>
      </c>
      <c r="AE32" s="86">
        <f>IF(AE4&lt;=cfg_N,AE69*AE68,0)</f>
        <v/>
      </c>
      <c r="AF32" s="86">
        <f>IF(AF4&lt;=cfg_N,AF69*AF68,0)</f>
        <v/>
      </c>
    </row>
    <row r="35" ht="15" customHeight="1" s="62">
      <c r="A35" s="65" t="inlineStr">
        <is>
          <t>VALUES ($/share)</t>
        </is>
      </c>
    </row>
    <row r="36" ht="15" customHeight="1" s="62">
      <c r="A36" s="86" t="inlineStr">
        <is>
          <t>V(EPS) = equity  = [BPS0 + normal-RI1 x A^E1] + Sum contrib</t>
        </is>
      </c>
      <c r="B36" s="106">
        <f>B43+SUM(C24:AF24)</f>
        <v/>
      </c>
    </row>
    <row r="37" ht="15" customHeight="1" s="62">
      <c r="A37" s="86" t="inlineStr">
        <is>
          <t>V(NFE) = financing = [NFO0 + normal-RFD1 x A^D1] + Sum contrib</t>
        </is>
      </c>
      <c r="B37" s="106">
        <f>B11+(C26-C64*B11)*C65+SUM(C28:AF28)</f>
        <v/>
      </c>
    </row>
    <row r="38" ht="15" customHeight="1" s="62">
      <c r="A38" s="86" t="inlineStr">
        <is>
          <t>V(OI) = operations  = V(EPS) + V(NFE)  [value-additive]</t>
        </is>
      </c>
      <c r="B38" s="106">
        <f>B36+B37</f>
        <v/>
      </c>
    </row>
    <row r="39" ht="15" customHeight="1" s="62">
      <c r="A39" s="86" t="inlineStr">
        <is>
          <t>Equity via enterprise = V(OI) − V(NFE)</t>
        </is>
      </c>
      <c r="B39" s="106">
        <f>B38-B37</f>
        <v/>
      </c>
    </row>
    <row r="40" ht="15" customHeight="1" s="62">
      <c r="A40" s="83" t="inlineStr">
        <is>
          <t>decorative: V(OI)−V(NFE)−V(EPS). B38 is DEFINED as B36+B37, so this is identically 0 for any inputs. Proves nothing.</t>
        </is>
      </c>
      <c r="B40" s="108">
        <f>B39-B36</f>
        <v/>
      </c>
      <c r="D40" s="83">
        <f>IF(ABS(B40)&lt;in_tie_tol,"TIE ✓","BREAK")</f>
        <v/>
      </c>
    </row>
    <row r="41" ht="15" customHeight="1" s="62">
      <c r="A41" s="68" t="inlineStr">
        <is>
          <t>diagnostic: V(OI) direct @ BOOK-weighted rhoF — expected to differ from B38; the real check is Audit CHECK 7 on the DCF tab.</t>
        </is>
      </c>
      <c r="B41" s="113">
        <f>B70+(C30-C67*B70)*C68+SUM(C32:AF32)</f>
        <v/>
      </c>
      <c r="D41" s="68" t="inlineStr">
        <is>
          <t>illustration only; differs from additive by the multi-rate WACC gap</t>
        </is>
      </c>
    </row>
    <row r="42" ht="15" customHeight="1" s="62">
      <c r="A42" s="65" t="inlineStr">
        <is>
          <t>EQUITY READOUTS ($/share)</t>
        </is>
      </c>
    </row>
    <row r="43" ht="15" customHeight="1" s="62">
      <c r="A43" s="86" t="inlineStr">
        <is>
          <t>Normal value = BPS0 + (normal EPS1 - rho*E1 x BPS0) x A^E1</t>
        </is>
      </c>
      <c r="B43" s="106">
        <f>B10+(C22-C61*B10)*C62</f>
        <v/>
      </c>
    </row>
    <row r="44" ht="15" customHeight="1" s="62">
      <c r="A44" s="86" t="inlineStr">
        <is>
          <t>Intrinsic value in 2026$ (= V(EPS); a time-0 PV, so nominal==real at t=0)</t>
        </is>
      </c>
      <c r="B44" s="106">
        <f>B36</f>
        <v/>
      </c>
    </row>
    <row r="45" ht="15" customHeight="1" s="62">
      <c r="A45" s="86" t="inlineStr">
        <is>
          <t>Price in 2026$ = in_price x deflator</t>
        </is>
      </c>
      <c r="B45" s="106">
        <f>in_price*INDEX(md_deflator,MATCH(in_anchor_year&amp;"",md_years,0))</f>
        <v/>
      </c>
    </row>
    <row r="46" ht="15" customHeight="1" s="62">
      <c r="A46" s="86" t="inlineStr">
        <is>
          <t>PVGO = price − normal value</t>
        </is>
      </c>
      <c r="B46" s="106">
        <f>B45-B43</f>
        <v/>
      </c>
    </row>
    <row r="47" ht="15" customHeight="1" s="62">
      <c r="A47" s="86" t="inlineStr">
        <is>
          <t>Implied P/E = intrinsic / EPS1 (both real 2026$)</t>
        </is>
      </c>
      <c r="B47" s="105">
        <f>B44/(C7/C57)</f>
        <v/>
      </c>
    </row>
    <row r="48" ht="15" customHeight="1" s="62">
      <c r="A48" s="86" t="inlineStr">
        <is>
          <t>Normal P/E = 1 ÷ ρE_LR</t>
        </is>
      </c>
      <c r="B48" s="105">
        <f>1/$B$20</f>
        <v/>
      </c>
    </row>
    <row r="49" ht="15" customHeight="1" s="62">
      <c r="A49" s="86" t="inlineStr">
        <is>
          <t>Growth premium (turns) = implied − normal</t>
        </is>
      </c>
      <c r="B49" s="105">
        <f>B47-B48</f>
        <v/>
      </c>
    </row>
    <row r="51" ht="15" customHeight="1" s="62">
      <c r="A51" s="65" t="inlineStr">
        <is>
          <t>READ (cfg_valread)</t>
        </is>
      </c>
    </row>
    <row r="52" ht="15" customHeight="1" s="62">
      <c r="A52" s="86" t="inlineStr">
        <is>
          <t>Equity path read  → V(EPS)</t>
        </is>
      </c>
      <c r="B52" s="106">
        <f>B36</f>
        <v/>
      </c>
    </row>
    <row r="53" ht="15" customHeight="1" s="62">
      <c r="A53" s="86" t="inlineStr">
        <is>
          <t>Enterprise path read → V(OI)−V(NFE)</t>
        </is>
      </c>
      <c r="B53" s="106">
        <f>B39</f>
        <v/>
      </c>
    </row>
    <row r="54" ht="15" customHeight="1" s="62">
      <c r="A54" s="114" t="inlineStr">
        <is>
          <t>ACTIVE VALUE (toggle-selected)</t>
        </is>
      </c>
      <c r="B54" s="115">
        <f>IF(cfg_valread="Enterprise path",B53,B52)</f>
        <v/>
      </c>
    </row>
    <row r="55" ht="15" customHeight="1" s="62">
      <c r="A55" s="68" t="inlineStr">
        <is>
          <t>agreement: equity read − enterprise read</t>
        </is>
      </c>
      <c r="B55" s="116">
        <f>B52-B53</f>
        <v/>
      </c>
    </row>
    <row r="56">
      <c r="A56" s="61" t="inlineStr">
        <is>
          <t xml:space="preserve">  pi_t expected inflation fwd [finrate_infl]   &lt;STAGE A&gt;</t>
        </is>
      </c>
      <c r="C56" s="61">
        <f>INDEX(finrate_infl,C4)</f>
        <v/>
      </c>
      <c r="D56" s="61">
        <f>INDEX(finrate_infl,D4)</f>
        <v/>
      </c>
      <c r="E56" s="61">
        <f>INDEX(finrate_infl,E4)</f>
        <v/>
      </c>
      <c r="F56" s="61">
        <f>INDEX(finrate_infl,F4)</f>
        <v/>
      </c>
      <c r="G56" s="61">
        <f>INDEX(finrate_infl,G4)</f>
        <v/>
      </c>
      <c r="H56" s="61">
        <f>INDEX(finrate_infl,H4)</f>
        <v/>
      </c>
      <c r="I56" s="61">
        <f>INDEX(finrate_infl,I4)</f>
        <v/>
      </c>
      <c r="J56" s="61">
        <f>INDEX(finrate_infl,J4)</f>
        <v/>
      </c>
      <c r="K56" s="61">
        <f>INDEX(finrate_infl,K4)</f>
        <v/>
      </c>
      <c r="L56" s="61">
        <f>INDEX(finrate_infl,L4)</f>
        <v/>
      </c>
      <c r="M56" s="61">
        <f>INDEX(finrate_infl,M4)</f>
        <v/>
      </c>
      <c r="N56" s="61">
        <f>INDEX(finrate_infl,N4)</f>
        <v/>
      </c>
      <c r="O56" s="61">
        <f>INDEX(finrate_infl,O4)</f>
        <v/>
      </c>
      <c r="P56" s="61">
        <f>INDEX(finrate_infl,P4)</f>
        <v/>
      </c>
      <c r="Q56" s="61">
        <f>INDEX(finrate_infl,Q4)</f>
        <v/>
      </c>
      <c r="R56" s="61">
        <f>INDEX(finrate_infl,R4)</f>
        <v/>
      </c>
      <c r="S56" s="61">
        <f>INDEX(finrate_infl,S4)</f>
        <v/>
      </c>
      <c r="T56" s="61">
        <f>INDEX(finrate_infl,T4)</f>
        <v/>
      </c>
      <c r="U56" s="61">
        <f>INDEX(finrate_infl,U4)</f>
        <v/>
      </c>
      <c r="V56" s="61">
        <f>INDEX(finrate_infl,V4)</f>
        <v/>
      </c>
      <c r="W56" s="61">
        <f>INDEX(finrate_infl,W4)</f>
        <v/>
      </c>
      <c r="X56" s="61">
        <f>INDEX(finrate_infl,X4)</f>
        <v/>
      </c>
      <c r="Y56" s="61">
        <f>INDEX(finrate_infl,Y4)</f>
        <v/>
      </c>
      <c r="Z56" s="61">
        <f>INDEX(finrate_infl,Z4)</f>
        <v/>
      </c>
      <c r="AA56" s="61">
        <f>INDEX(finrate_infl,AA4)</f>
        <v/>
      </c>
      <c r="AB56" s="61">
        <f>INDEX(finrate_infl,AB4)</f>
        <v/>
      </c>
      <c r="AC56" s="61">
        <f>INDEX(finrate_infl,AC4)</f>
        <v/>
      </c>
      <c r="AD56" s="61">
        <f>INDEX(finrate_infl,AD4)</f>
        <v/>
      </c>
      <c r="AE56" s="61">
        <f>INDEX(finrate_infl,AE4)</f>
        <v/>
      </c>
      <c r="AF56" s="61">
        <f>INDEX(finrate_infl,AF4)</f>
        <v/>
      </c>
    </row>
    <row r="57">
      <c r="A57" s="61" t="inlineStr">
        <is>
          <t xml:space="preserve">  I_t cumulative inflation index (I_0=1)   &lt;STAGE A&gt;</t>
        </is>
      </c>
      <c r="B57" s="61" t="n">
        <v>1</v>
      </c>
      <c r="C57" s="61">
        <f>B57*(1+C56)</f>
        <v/>
      </c>
      <c r="D57" s="61">
        <f>C57*(1+D56)</f>
        <v/>
      </c>
      <c r="E57" s="61">
        <f>D57*(1+E56)</f>
        <v/>
      </c>
      <c r="F57" s="61">
        <f>E57*(1+F56)</f>
        <v/>
      </c>
      <c r="G57" s="61">
        <f>F57*(1+G56)</f>
        <v/>
      </c>
      <c r="H57" s="61">
        <f>G57*(1+H56)</f>
        <v/>
      </c>
      <c r="I57" s="61">
        <f>H57*(1+I56)</f>
        <v/>
      </c>
      <c r="J57" s="61">
        <f>I57*(1+J56)</f>
        <v/>
      </c>
      <c r="K57" s="61">
        <f>J57*(1+K56)</f>
        <v/>
      </c>
      <c r="L57" s="61">
        <f>K57*(1+L56)</f>
        <v/>
      </c>
      <c r="M57" s="61">
        <f>L57*(1+M56)</f>
        <v/>
      </c>
      <c r="N57" s="61">
        <f>M57*(1+N56)</f>
        <v/>
      </c>
      <c r="O57" s="61">
        <f>N57*(1+O56)</f>
        <v/>
      </c>
      <c r="P57" s="61">
        <f>O57*(1+P56)</f>
        <v/>
      </c>
      <c r="Q57" s="61">
        <f>P57*(1+Q56)</f>
        <v/>
      </c>
      <c r="R57" s="61">
        <f>Q57*(1+R56)</f>
        <v/>
      </c>
      <c r="S57" s="61">
        <f>R57*(1+S56)</f>
        <v/>
      </c>
      <c r="T57" s="61">
        <f>S57*(1+T56)</f>
        <v/>
      </c>
      <c r="U57" s="61">
        <f>T57*(1+U56)</f>
        <v/>
      </c>
      <c r="V57" s="61">
        <f>U57*(1+V56)</f>
        <v/>
      </c>
      <c r="W57" s="61">
        <f>V57*(1+W56)</f>
        <v/>
      </c>
      <c r="X57" s="61">
        <f>W57*(1+X56)</f>
        <v/>
      </c>
      <c r="Y57" s="61">
        <f>X57*(1+Y56)</f>
        <v/>
      </c>
      <c r="Z57" s="61">
        <f>Y57*(1+Z56)</f>
        <v/>
      </c>
      <c r="AA57" s="61">
        <f>Z57*(1+AA56)</f>
        <v/>
      </c>
      <c r="AB57" s="61">
        <f>AA57*(1+AB56)</f>
        <v/>
      </c>
      <c r="AC57" s="61">
        <f>AB57*(1+AC56)</f>
        <v/>
      </c>
      <c r="AD57" s="61">
        <f>AC57*(1+AD56)</f>
        <v/>
      </c>
      <c r="AE57" s="61">
        <f>AD57*(1+AE56)</f>
        <v/>
      </c>
      <c r="AF57" s="61">
        <f>AE57*(1+AF56)</f>
        <v/>
      </c>
    </row>
    <row r="58">
      <c r="A58" s="61" t="inlineStr">
        <is>
          <t xml:space="preserve">  cap rate E = rhoE_LR(real) x (1+pi_t)   &lt;STAGE A&gt;</t>
        </is>
      </c>
      <c r="C58" s="61">
        <f>$B$20*(1+C56)</f>
        <v/>
      </c>
      <c r="D58" s="61">
        <f>$B$20*(1+D56)</f>
        <v/>
      </c>
      <c r="E58" s="61">
        <f>$B$20*(1+E56)</f>
        <v/>
      </c>
      <c r="F58" s="61">
        <f>$B$20*(1+F56)</f>
        <v/>
      </c>
      <c r="G58" s="61">
        <f>$B$20*(1+G56)</f>
        <v/>
      </c>
      <c r="H58" s="61">
        <f>$B$20*(1+H56)</f>
        <v/>
      </c>
      <c r="I58" s="61">
        <f>$B$20*(1+I56)</f>
        <v/>
      </c>
      <c r="J58" s="61">
        <f>$B$20*(1+J56)</f>
        <v/>
      </c>
      <c r="K58" s="61">
        <f>$B$20*(1+K56)</f>
        <v/>
      </c>
      <c r="L58" s="61">
        <f>$B$20*(1+L56)</f>
        <v/>
      </c>
      <c r="M58" s="61">
        <f>$B$20*(1+M56)</f>
        <v/>
      </c>
      <c r="N58" s="61">
        <f>$B$20*(1+N56)</f>
        <v/>
      </c>
      <c r="O58" s="61">
        <f>$B$20*(1+O56)</f>
        <v/>
      </c>
      <c r="P58" s="61">
        <f>$B$20*(1+P56)</f>
        <v/>
      </c>
      <c r="Q58" s="61">
        <f>$B$20*(1+Q56)</f>
        <v/>
      </c>
      <c r="R58" s="61">
        <f>$B$20*(1+R56)</f>
        <v/>
      </c>
      <c r="S58" s="61">
        <f>$B$20*(1+S56)</f>
        <v/>
      </c>
      <c r="T58" s="61">
        <f>$B$20*(1+T56)</f>
        <v/>
      </c>
      <c r="U58" s="61">
        <f>$B$20*(1+U56)</f>
        <v/>
      </c>
      <c r="V58" s="61">
        <f>$B$20*(1+V56)</f>
        <v/>
      </c>
      <c r="W58" s="61">
        <f>$B$20*(1+W56)</f>
        <v/>
      </c>
      <c r="X58" s="61">
        <f>$B$20*(1+X56)</f>
        <v/>
      </c>
      <c r="Y58" s="61">
        <f>$B$20*(1+Y56)</f>
        <v/>
      </c>
      <c r="Z58" s="61">
        <f>$B$20*(1+Z56)</f>
        <v/>
      </c>
      <c r="AA58" s="61">
        <f>$B$20*(1+AA56)</f>
        <v/>
      </c>
      <c r="AB58" s="61">
        <f>$B$20*(1+AB56)</f>
        <v/>
      </c>
      <c r="AC58" s="61">
        <f>$B$20*(1+AC56)</f>
        <v/>
      </c>
      <c r="AD58" s="61">
        <f>$B$20*(1+AD56)</f>
        <v/>
      </c>
      <c r="AE58" s="61">
        <f>$B$20*(1+AE56)</f>
        <v/>
      </c>
      <c r="AF58" s="61">
        <f>$B$20*(1+AF56)</f>
        <v/>
      </c>
    </row>
    <row r="59">
      <c r="A59" s="61" t="inlineStr">
        <is>
          <t xml:space="preserve">  cap rate D = rhoD_LR(real) x (1+pi_t)   &lt;STAGE A&gt;</t>
        </is>
      </c>
      <c r="C59" s="61">
        <f>$C$20*(1+C56)</f>
        <v/>
      </c>
      <c r="D59" s="61">
        <f>$C$20*(1+D56)</f>
        <v/>
      </c>
      <c r="E59" s="61">
        <f>$C$20*(1+E56)</f>
        <v/>
      </c>
      <c r="F59" s="61">
        <f>$C$20*(1+F56)</f>
        <v/>
      </c>
      <c r="G59" s="61">
        <f>$C$20*(1+G56)</f>
        <v/>
      </c>
      <c r="H59" s="61">
        <f>$C$20*(1+H56)</f>
        <v/>
      </c>
      <c r="I59" s="61">
        <f>$C$20*(1+I56)</f>
        <v/>
      </c>
      <c r="J59" s="61">
        <f>$C$20*(1+J56)</f>
        <v/>
      </c>
      <c r="K59" s="61">
        <f>$C$20*(1+K56)</f>
        <v/>
      </c>
      <c r="L59" s="61">
        <f>$C$20*(1+L56)</f>
        <v/>
      </c>
      <c r="M59" s="61">
        <f>$C$20*(1+M56)</f>
        <v/>
      </c>
      <c r="N59" s="61">
        <f>$C$20*(1+N56)</f>
        <v/>
      </c>
      <c r="O59" s="61">
        <f>$C$20*(1+O56)</f>
        <v/>
      </c>
      <c r="P59" s="61">
        <f>$C$20*(1+P56)</f>
        <v/>
      </c>
      <c r="Q59" s="61">
        <f>$C$20*(1+Q56)</f>
        <v/>
      </c>
      <c r="R59" s="61">
        <f>$C$20*(1+R56)</f>
        <v/>
      </c>
      <c r="S59" s="61">
        <f>$C$20*(1+S56)</f>
        <v/>
      </c>
      <c r="T59" s="61">
        <f>$C$20*(1+T56)</f>
        <v/>
      </c>
      <c r="U59" s="61">
        <f>$C$20*(1+U56)</f>
        <v/>
      </c>
      <c r="V59" s="61">
        <f>$C$20*(1+V56)</f>
        <v/>
      </c>
      <c r="W59" s="61">
        <f>$C$20*(1+W56)</f>
        <v/>
      </c>
      <c r="X59" s="61">
        <f>$C$20*(1+X56)</f>
        <v/>
      </c>
      <c r="Y59" s="61">
        <f>$C$20*(1+Y56)</f>
        <v/>
      </c>
      <c r="Z59" s="61">
        <f>$C$20*(1+Z56)</f>
        <v/>
      </c>
      <c r="AA59" s="61">
        <f>$C$20*(1+AA56)</f>
        <v/>
      </c>
      <c r="AB59" s="61">
        <f>$C$20*(1+AB56)</f>
        <v/>
      </c>
      <c r="AC59" s="61">
        <f>$C$20*(1+AC56)</f>
        <v/>
      </c>
      <c r="AD59" s="61">
        <f>$C$20*(1+AD56)</f>
        <v/>
      </c>
      <c r="AE59" s="61">
        <f>$C$20*(1+AE56)</f>
        <v/>
      </c>
      <c r="AF59" s="61">
        <f>$C$20*(1+AF56)</f>
        <v/>
      </c>
    </row>
    <row r="60">
      <c r="A60" s="61" t="inlineStr">
        <is>
          <t xml:space="preserve">  cap rate F = rhoF_LR(real) x (1+pi_t)   &lt;STAGE A&gt;</t>
        </is>
      </c>
      <c r="C60" s="61">
        <f>$D$20*(1+C56)</f>
        <v/>
      </c>
      <c r="D60" s="61">
        <f>$D$20*(1+D56)</f>
        <v/>
      </c>
      <c r="E60" s="61">
        <f>$D$20*(1+E56)</f>
        <v/>
      </c>
      <c r="F60" s="61">
        <f>$D$20*(1+F56)</f>
        <v/>
      </c>
      <c r="G60" s="61">
        <f>$D$20*(1+G56)</f>
        <v/>
      </c>
      <c r="H60" s="61">
        <f>$D$20*(1+H56)</f>
        <v/>
      </c>
      <c r="I60" s="61">
        <f>$D$20*(1+I56)</f>
        <v/>
      </c>
      <c r="J60" s="61">
        <f>$D$20*(1+J56)</f>
        <v/>
      </c>
      <c r="K60" s="61">
        <f>$D$20*(1+K56)</f>
        <v/>
      </c>
      <c r="L60" s="61">
        <f>$D$20*(1+L56)</f>
        <v/>
      </c>
      <c r="M60" s="61">
        <f>$D$20*(1+M56)</f>
        <v/>
      </c>
      <c r="N60" s="61">
        <f>$D$20*(1+N56)</f>
        <v/>
      </c>
      <c r="O60" s="61">
        <f>$D$20*(1+O56)</f>
        <v/>
      </c>
      <c r="P60" s="61">
        <f>$D$20*(1+P56)</f>
        <v/>
      </c>
      <c r="Q60" s="61">
        <f>$D$20*(1+Q56)</f>
        <v/>
      </c>
      <c r="R60" s="61">
        <f>$D$20*(1+R56)</f>
        <v/>
      </c>
      <c r="S60" s="61">
        <f>$D$20*(1+S56)</f>
        <v/>
      </c>
      <c r="T60" s="61">
        <f>$D$20*(1+T56)</f>
        <v/>
      </c>
      <c r="U60" s="61">
        <f>$D$20*(1+U56)</f>
        <v/>
      </c>
      <c r="V60" s="61">
        <f>$D$20*(1+V56)</f>
        <v/>
      </c>
      <c r="W60" s="61">
        <f>$D$20*(1+W56)</f>
        <v/>
      </c>
      <c r="X60" s="61">
        <f>$D$20*(1+X56)</f>
        <v/>
      </c>
      <c r="Y60" s="61">
        <f>$D$20*(1+Y56)</f>
        <v/>
      </c>
      <c r="Z60" s="61">
        <f>$D$20*(1+Z56)</f>
        <v/>
      </c>
      <c r="AA60" s="61">
        <f>$D$20*(1+AA56)</f>
        <v/>
      </c>
      <c r="AB60" s="61">
        <f>$D$20*(1+AB56)</f>
        <v/>
      </c>
      <c r="AC60" s="61">
        <f>$D$20*(1+AC56)</f>
        <v/>
      </c>
      <c r="AD60" s="61">
        <f>$D$20*(1+AD56)</f>
        <v/>
      </c>
      <c r="AE60" s="61">
        <f>$D$20*(1+AE56)</f>
        <v/>
      </c>
      <c r="AF60" s="61">
        <f>$D$20*(1+AF56)</f>
        <v/>
      </c>
    </row>
    <row r="61">
      <c r="A61" s="61" t="inlineStr">
        <is>
          <t xml:space="preserve">  rho*E = rhoE(nom) - pi   [Stage A real capital-charge rate]   &lt;AEG-TS&gt;</t>
        </is>
      </c>
      <c r="C61" s="61">
        <f>C5-C56</f>
        <v/>
      </c>
      <c r="D61" s="61">
        <f>D5-D56</f>
        <v/>
      </c>
      <c r="E61" s="61">
        <f>E5-E56</f>
        <v/>
      </c>
      <c r="F61" s="61">
        <f>F5-F56</f>
        <v/>
      </c>
      <c r="G61" s="61">
        <f>G5-G56</f>
        <v/>
      </c>
      <c r="H61" s="61">
        <f>H5-H56</f>
        <v/>
      </c>
      <c r="I61" s="61">
        <f>I5-I56</f>
        <v/>
      </c>
      <c r="J61" s="61">
        <f>J5-J56</f>
        <v/>
      </c>
      <c r="K61" s="61">
        <f>K5-K56</f>
        <v/>
      </c>
      <c r="L61" s="61">
        <f>L5-L56</f>
        <v/>
      </c>
      <c r="M61" s="61">
        <f>M5-M56</f>
        <v/>
      </c>
      <c r="N61" s="61">
        <f>N5-N56</f>
        <v/>
      </c>
      <c r="O61" s="61">
        <f>O5-O56</f>
        <v/>
      </c>
      <c r="P61" s="61">
        <f>P5-P56</f>
        <v/>
      </c>
      <c r="Q61" s="61">
        <f>Q5-Q56</f>
        <v/>
      </c>
      <c r="R61" s="61">
        <f>R5-R56</f>
        <v/>
      </c>
      <c r="S61" s="61">
        <f>S5-S56</f>
        <v/>
      </c>
      <c r="T61" s="61">
        <f>T5-T56</f>
        <v/>
      </c>
      <c r="U61" s="61">
        <f>U5-U56</f>
        <v/>
      </c>
      <c r="V61" s="61">
        <f>V5-V56</f>
        <v/>
      </c>
      <c r="W61" s="61">
        <f>W5-W56</f>
        <v/>
      </c>
      <c r="X61" s="61">
        <f>X5-X56</f>
        <v/>
      </c>
      <c r="Y61" s="61">
        <f>Y5-Y56</f>
        <v/>
      </c>
      <c r="Z61" s="61">
        <f>Z5-Z56</f>
        <v/>
      </c>
      <c r="AA61" s="61">
        <f>AA5-AA56</f>
        <v/>
      </c>
      <c r="AB61" s="61">
        <f>AB5-AB56</f>
        <v/>
      </c>
      <c r="AC61" s="61">
        <f>AC5-AC56</f>
        <v/>
      </c>
      <c r="AD61" s="61">
        <f>AD5-AD56</f>
        <v/>
      </c>
      <c r="AE61" s="61">
        <f>AE5-AE56</f>
        <v/>
      </c>
      <c r="AF61" s="61">
        <f>AF5-AF56</f>
        <v/>
      </c>
    </row>
    <row r="62">
      <c r="A62" s="61" t="inlineStr">
        <is>
          <t xml:space="preserve">  A^E_t = SUM(DF^E_t..DF^E_N) + DF^E_N/rhoE_LR   [curve-implied annuity]   &lt;AEG-TS&gt;</t>
        </is>
      </c>
      <c r="C62" s="61">
        <f>IF(C4&gt;cfg_N,0,C16+IF(C4=cfg_N,C16/$B$20,D62))</f>
        <v/>
      </c>
      <c r="D62" s="61">
        <f>IF(D4&gt;cfg_N,0,D16+IF(D4=cfg_N,D16/$B$20,E62))</f>
        <v/>
      </c>
      <c r="E62" s="61">
        <f>IF(E4&gt;cfg_N,0,E16+IF(E4=cfg_N,E16/$B$20,F62))</f>
        <v/>
      </c>
      <c r="F62" s="61">
        <f>IF(F4&gt;cfg_N,0,F16+IF(F4=cfg_N,F16/$B$20,G62))</f>
        <v/>
      </c>
      <c r="G62" s="61">
        <f>IF(G4&gt;cfg_N,0,G16+IF(G4=cfg_N,G16/$B$20,H62))</f>
        <v/>
      </c>
      <c r="H62" s="61">
        <f>IF(H4&gt;cfg_N,0,H16+IF(H4=cfg_N,H16/$B$20,I62))</f>
        <v/>
      </c>
      <c r="I62" s="61">
        <f>IF(I4&gt;cfg_N,0,I16+IF(I4=cfg_N,I16/$B$20,J62))</f>
        <v/>
      </c>
      <c r="J62" s="61">
        <f>IF(J4&gt;cfg_N,0,J16+IF(J4=cfg_N,J16/$B$20,K62))</f>
        <v/>
      </c>
      <c r="K62" s="61">
        <f>IF(K4&gt;cfg_N,0,K16+IF(K4=cfg_N,K16/$B$20,L62))</f>
        <v/>
      </c>
      <c r="L62" s="61">
        <f>IF(L4&gt;cfg_N,0,L16+IF(L4=cfg_N,L16/$B$20,M62))</f>
        <v/>
      </c>
      <c r="M62" s="61">
        <f>IF(M4&gt;cfg_N,0,M16+IF(M4=cfg_N,M16/$B$20,N62))</f>
        <v/>
      </c>
      <c r="N62" s="61">
        <f>IF(N4&gt;cfg_N,0,N16+IF(N4=cfg_N,N16/$B$20,O62))</f>
        <v/>
      </c>
      <c r="O62" s="61">
        <f>IF(O4&gt;cfg_N,0,O16+IF(O4=cfg_N,O16/$B$20,P62))</f>
        <v/>
      </c>
      <c r="P62" s="61">
        <f>IF(P4&gt;cfg_N,0,P16+IF(P4=cfg_N,P16/$B$20,Q62))</f>
        <v/>
      </c>
      <c r="Q62" s="61">
        <f>IF(Q4&gt;cfg_N,0,Q16+IF(Q4=cfg_N,Q16/$B$20,R62))</f>
        <v/>
      </c>
      <c r="R62" s="61">
        <f>IF(R4&gt;cfg_N,0,R16+IF(R4=cfg_N,R16/$B$20,S62))</f>
        <v/>
      </c>
      <c r="S62" s="61">
        <f>IF(S4&gt;cfg_N,0,S16+IF(S4=cfg_N,S16/$B$20,T62))</f>
        <v/>
      </c>
      <c r="T62" s="61">
        <f>IF(T4&gt;cfg_N,0,T16+IF(T4=cfg_N,T16/$B$20,U62))</f>
        <v/>
      </c>
      <c r="U62" s="61">
        <f>IF(U4&gt;cfg_N,0,U16+IF(U4=cfg_N,U16/$B$20,V62))</f>
        <v/>
      </c>
      <c r="V62" s="61">
        <f>IF(V4&gt;cfg_N,0,V16+IF(V4=cfg_N,V16/$B$20,W62))</f>
        <v/>
      </c>
      <c r="W62" s="61">
        <f>IF(W4&gt;cfg_N,0,W16+IF(W4=cfg_N,W16/$B$20,X62))</f>
        <v/>
      </c>
      <c r="X62" s="61">
        <f>IF(X4&gt;cfg_N,0,X16+IF(X4=cfg_N,X16/$B$20,Y62))</f>
        <v/>
      </c>
      <c r="Y62" s="61">
        <f>IF(Y4&gt;cfg_N,0,Y16+IF(Y4=cfg_N,Y16/$B$20,Z62))</f>
        <v/>
      </c>
      <c r="Z62" s="61">
        <f>IF(Z4&gt;cfg_N,0,Z16+IF(Z4=cfg_N,Z16/$B$20,AA62))</f>
        <v/>
      </c>
      <c r="AA62" s="61">
        <f>IF(AA4&gt;cfg_N,0,AA16+IF(AA4=cfg_N,AA16/$B$20,AB62))</f>
        <v/>
      </c>
      <c r="AB62" s="61">
        <f>IF(AB4&gt;cfg_N,0,AB16+IF(AB4=cfg_N,AB16/$B$20,AC62))</f>
        <v/>
      </c>
      <c r="AC62" s="61">
        <f>IF(AC4&gt;cfg_N,0,AC16+IF(AC4=cfg_N,AC16/$B$20,AD62))</f>
        <v/>
      </c>
      <c r="AD62" s="61">
        <f>IF(AD4&gt;cfg_N,0,AD16+IF(AD4=cfg_N,AD16/$B$20,AE62))</f>
        <v/>
      </c>
      <c r="AE62" s="61">
        <f>IF(AE4&gt;cfg_N,0,AE16+IF(AE4=cfg_N,AE16/$B$20,AF62))</f>
        <v/>
      </c>
      <c r="AF62" s="61">
        <f>IF(AF4&gt;cfg_N,0,AF16+IF(AF4=cfg_N,AF16/$B$20,AG62))</f>
        <v/>
      </c>
    </row>
    <row r="63">
      <c r="A63" s="61" t="inlineStr">
        <is>
          <t xml:space="preserve">  dRI^E_t = AEG(EPS)_t + pi_t*EPS_(t-1) + [rho*E_(t-1)-rho*E_t(1+pi_(t-1))]*BPS_(t-2)   &lt;AEG-TS&gt;</t>
        </is>
      </c>
      <c r="C63" s="61">
        <f>C23+IF(C4=1,0,C56*B7+(B61-C61*(1+B56))*INDEX($B10:C10,MAX(1,C4-1)))</f>
        <v/>
      </c>
      <c r="D63" s="61">
        <f>D23+IF(D4=1,0,D56*C7+(C61-D61*(1+C56))*INDEX($B10:D10,MAX(1,D4-1)))</f>
        <v/>
      </c>
      <c r="E63" s="61">
        <f>E23+IF(E4=1,0,E56*D7+(D61-E61*(1+D56))*INDEX($B10:E10,MAX(1,E4-1)))</f>
        <v/>
      </c>
      <c r="F63" s="61">
        <f>F23+IF(F4=1,0,F56*E7+(E61-F61*(1+E56))*INDEX($B10:F10,MAX(1,F4-1)))</f>
        <v/>
      </c>
      <c r="G63" s="61">
        <f>G23+IF(G4=1,0,G56*F7+(F61-G61*(1+F56))*INDEX($B10:G10,MAX(1,G4-1)))</f>
        <v/>
      </c>
      <c r="H63" s="61">
        <f>H23+IF(H4=1,0,H56*G7+(G61-H61*(1+G56))*INDEX($B10:H10,MAX(1,H4-1)))</f>
        <v/>
      </c>
      <c r="I63" s="61">
        <f>I23+IF(I4=1,0,I56*H7+(H61-I61*(1+H56))*INDEX($B10:I10,MAX(1,I4-1)))</f>
        <v/>
      </c>
      <c r="J63" s="61">
        <f>J23+IF(J4=1,0,J56*I7+(I61-J61*(1+I56))*INDEX($B10:J10,MAX(1,J4-1)))</f>
        <v/>
      </c>
      <c r="K63" s="61">
        <f>K23+IF(K4=1,0,K56*J7+(J61-K61*(1+J56))*INDEX($B10:K10,MAX(1,K4-1)))</f>
        <v/>
      </c>
      <c r="L63" s="61">
        <f>L23+IF(L4=1,0,L56*K7+(K61-L61*(1+K56))*INDEX($B10:L10,MAX(1,L4-1)))</f>
        <v/>
      </c>
      <c r="M63" s="61">
        <f>M23+IF(M4=1,0,M56*L7+(L61-M61*(1+L56))*INDEX($B10:M10,MAX(1,M4-1)))</f>
        <v/>
      </c>
      <c r="N63" s="61">
        <f>N23+IF(N4=1,0,N56*M7+(M61-N61*(1+M56))*INDEX($B10:N10,MAX(1,N4-1)))</f>
        <v/>
      </c>
      <c r="O63" s="61">
        <f>O23+IF(O4=1,0,O56*N7+(N61-O61*(1+N56))*INDEX($B10:O10,MAX(1,O4-1)))</f>
        <v/>
      </c>
      <c r="P63" s="61">
        <f>P23+IF(P4=1,0,P56*O7+(O61-P61*(1+O56))*INDEX($B10:P10,MAX(1,P4-1)))</f>
        <v/>
      </c>
      <c r="Q63" s="61">
        <f>Q23+IF(Q4=1,0,Q56*P7+(P61-Q61*(1+P56))*INDEX($B10:Q10,MAX(1,Q4-1)))</f>
        <v/>
      </c>
      <c r="R63" s="61">
        <f>R23+IF(R4=1,0,R56*Q7+(Q61-R61*(1+Q56))*INDEX($B10:R10,MAX(1,R4-1)))</f>
        <v/>
      </c>
      <c r="S63" s="61">
        <f>S23+IF(S4=1,0,S56*R7+(R61-S61*(1+R56))*INDEX($B10:S10,MAX(1,S4-1)))</f>
        <v/>
      </c>
      <c r="T63" s="61">
        <f>T23+IF(T4=1,0,T56*S7+(S61-T61*(1+S56))*INDEX($B10:T10,MAX(1,T4-1)))</f>
        <v/>
      </c>
      <c r="U63" s="61">
        <f>U23+IF(U4=1,0,U56*T7+(T61-U61*(1+T56))*INDEX($B10:U10,MAX(1,U4-1)))</f>
        <v/>
      </c>
      <c r="V63" s="61">
        <f>V23+IF(V4=1,0,V56*U7+(U61-V61*(1+U56))*INDEX($B10:V10,MAX(1,V4-1)))</f>
        <v/>
      </c>
      <c r="W63" s="61">
        <f>W23+IF(W4=1,0,W56*V7+(V61-W61*(1+V56))*INDEX($B10:W10,MAX(1,W4-1)))</f>
        <v/>
      </c>
      <c r="X63" s="61">
        <f>X23+IF(X4=1,0,X56*W7+(W61-X61*(1+W56))*INDEX($B10:X10,MAX(1,X4-1)))</f>
        <v/>
      </c>
      <c r="Y63" s="61">
        <f>Y23+IF(Y4=1,0,Y56*X7+(X61-Y61*(1+X56))*INDEX($B10:Y10,MAX(1,Y4-1)))</f>
        <v/>
      </c>
      <c r="Z63" s="61">
        <f>Z23+IF(Z4=1,0,Z56*Y7+(Y61-Z61*(1+Y56))*INDEX($B10:Z10,MAX(1,Z4-1)))</f>
        <v/>
      </c>
      <c r="AA63" s="61">
        <f>AA23+IF(AA4=1,0,AA56*Z7+(Z61-AA61*(1+Z56))*INDEX($B10:AA10,MAX(1,AA4-1)))</f>
        <v/>
      </c>
      <c r="AB63" s="61">
        <f>AB23+IF(AB4=1,0,AB56*AA7+(AA61-AB61*(1+AA56))*INDEX($B10:AB10,MAX(1,AB4-1)))</f>
        <v/>
      </c>
      <c r="AC63" s="61">
        <f>AC23+IF(AC4=1,0,AC56*AB7+(AB61-AC61*(1+AB56))*INDEX($B10:AC10,MAX(1,AC4-1)))</f>
        <v/>
      </c>
      <c r="AD63" s="61">
        <f>AD23+IF(AD4=1,0,AD56*AC7+(AC61-AD61*(1+AC56))*INDEX($B10:AD10,MAX(1,AD4-1)))</f>
        <v/>
      </c>
      <c r="AE63" s="61">
        <f>AE23+IF(AE4=1,0,AE56*AD7+(AD61-AE61*(1+AD56))*INDEX($B10:AE10,MAX(1,AE4-1)))</f>
        <v/>
      </c>
      <c r="AF63" s="61">
        <f>AF23+IF(AF4=1,0,AF56*AE7+(AE61-AF61*(1+AE56))*INDEX($B10:AF10,MAX(1,AF4-1)))</f>
        <v/>
      </c>
    </row>
    <row r="64">
      <c r="A64" s="61" t="inlineStr">
        <is>
          <t xml:space="preserve">  rho*D = rhoD(nom) - pi   &lt;AEG-TS&gt;</t>
        </is>
      </c>
      <c r="C64" s="61">
        <f>C6-C56</f>
        <v/>
      </c>
      <c r="D64" s="61">
        <f>D6-D56</f>
        <v/>
      </c>
      <c r="E64" s="61">
        <f>E6-E56</f>
        <v/>
      </c>
      <c r="F64" s="61">
        <f>F6-F56</f>
        <v/>
      </c>
      <c r="G64" s="61">
        <f>G6-G56</f>
        <v/>
      </c>
      <c r="H64" s="61">
        <f>H6-H56</f>
        <v/>
      </c>
      <c r="I64" s="61">
        <f>I6-I56</f>
        <v/>
      </c>
      <c r="J64" s="61">
        <f>J6-J56</f>
        <v/>
      </c>
      <c r="K64" s="61">
        <f>K6-K56</f>
        <v/>
      </c>
      <c r="L64" s="61">
        <f>L6-L56</f>
        <v/>
      </c>
      <c r="M64" s="61">
        <f>M6-M56</f>
        <v/>
      </c>
      <c r="N64" s="61">
        <f>N6-N56</f>
        <v/>
      </c>
      <c r="O64" s="61">
        <f>O6-O56</f>
        <v/>
      </c>
      <c r="P64" s="61">
        <f>P6-P56</f>
        <v/>
      </c>
      <c r="Q64" s="61">
        <f>Q6-Q56</f>
        <v/>
      </c>
      <c r="R64" s="61">
        <f>R6-R56</f>
        <v/>
      </c>
      <c r="S64" s="61">
        <f>S6-S56</f>
        <v/>
      </c>
      <c r="T64" s="61">
        <f>T6-T56</f>
        <v/>
      </c>
      <c r="U64" s="61">
        <f>U6-U56</f>
        <v/>
      </c>
      <c r="V64" s="61">
        <f>V6-V56</f>
        <v/>
      </c>
      <c r="W64" s="61">
        <f>W6-W56</f>
        <v/>
      </c>
      <c r="X64" s="61">
        <f>X6-X56</f>
        <v/>
      </c>
      <c r="Y64" s="61">
        <f>Y6-Y56</f>
        <v/>
      </c>
      <c r="Z64" s="61">
        <f>Z6-Z56</f>
        <v/>
      </c>
      <c r="AA64" s="61">
        <f>AA6-AA56</f>
        <v/>
      </c>
      <c r="AB64" s="61">
        <f>AB6-AB56</f>
        <v/>
      </c>
      <c r="AC64" s="61">
        <f>AC6-AC56</f>
        <v/>
      </c>
      <c r="AD64" s="61">
        <f>AD6-AD56</f>
        <v/>
      </c>
      <c r="AE64" s="61">
        <f>AE6-AE56</f>
        <v/>
      </c>
      <c r="AF64" s="61">
        <f>AF6-AF56</f>
        <v/>
      </c>
    </row>
    <row r="65">
      <c r="A65" s="61" t="inlineStr">
        <is>
          <t xml:space="preserve">  A^D_t = SUM(DF^D_t..DF^D_N) + DF^D_N/rhoD_LR   &lt;AEG-TS&gt;</t>
        </is>
      </c>
      <c r="C65" s="61">
        <f>IF(C4&gt;cfg_N,0,C17+IF(C4=cfg_N,C17/$C$20,D65))</f>
        <v/>
      </c>
      <c r="D65" s="61">
        <f>IF(D4&gt;cfg_N,0,D17+IF(D4=cfg_N,D17/$C$20,E65))</f>
        <v/>
      </c>
      <c r="E65" s="61">
        <f>IF(E4&gt;cfg_N,0,E17+IF(E4=cfg_N,E17/$C$20,F65))</f>
        <v/>
      </c>
      <c r="F65" s="61">
        <f>IF(F4&gt;cfg_N,0,F17+IF(F4=cfg_N,F17/$C$20,G65))</f>
        <v/>
      </c>
      <c r="G65" s="61">
        <f>IF(G4&gt;cfg_N,0,G17+IF(G4=cfg_N,G17/$C$20,H65))</f>
        <v/>
      </c>
      <c r="H65" s="61">
        <f>IF(H4&gt;cfg_N,0,H17+IF(H4=cfg_N,H17/$C$20,I65))</f>
        <v/>
      </c>
      <c r="I65" s="61">
        <f>IF(I4&gt;cfg_N,0,I17+IF(I4=cfg_N,I17/$C$20,J65))</f>
        <v/>
      </c>
      <c r="J65" s="61">
        <f>IF(J4&gt;cfg_N,0,J17+IF(J4=cfg_N,J17/$C$20,K65))</f>
        <v/>
      </c>
      <c r="K65" s="61">
        <f>IF(K4&gt;cfg_N,0,K17+IF(K4=cfg_N,K17/$C$20,L65))</f>
        <v/>
      </c>
      <c r="L65" s="61">
        <f>IF(L4&gt;cfg_N,0,L17+IF(L4=cfg_N,L17/$C$20,M65))</f>
        <v/>
      </c>
      <c r="M65" s="61">
        <f>IF(M4&gt;cfg_N,0,M17+IF(M4=cfg_N,M17/$C$20,N65))</f>
        <v/>
      </c>
      <c r="N65" s="61">
        <f>IF(N4&gt;cfg_N,0,N17+IF(N4=cfg_N,N17/$C$20,O65))</f>
        <v/>
      </c>
      <c r="O65" s="61">
        <f>IF(O4&gt;cfg_N,0,O17+IF(O4=cfg_N,O17/$C$20,P65))</f>
        <v/>
      </c>
      <c r="P65" s="61">
        <f>IF(P4&gt;cfg_N,0,P17+IF(P4=cfg_N,P17/$C$20,Q65))</f>
        <v/>
      </c>
      <c r="Q65" s="61">
        <f>IF(Q4&gt;cfg_N,0,Q17+IF(Q4=cfg_N,Q17/$C$20,R65))</f>
        <v/>
      </c>
      <c r="R65" s="61">
        <f>IF(R4&gt;cfg_N,0,R17+IF(R4=cfg_N,R17/$C$20,S65))</f>
        <v/>
      </c>
      <c r="S65" s="61">
        <f>IF(S4&gt;cfg_N,0,S17+IF(S4=cfg_N,S17/$C$20,T65))</f>
        <v/>
      </c>
      <c r="T65" s="61">
        <f>IF(T4&gt;cfg_N,0,T17+IF(T4=cfg_N,T17/$C$20,U65))</f>
        <v/>
      </c>
      <c r="U65" s="61">
        <f>IF(U4&gt;cfg_N,0,U17+IF(U4=cfg_N,U17/$C$20,V65))</f>
        <v/>
      </c>
      <c r="V65" s="61">
        <f>IF(V4&gt;cfg_N,0,V17+IF(V4=cfg_N,V17/$C$20,W65))</f>
        <v/>
      </c>
      <c r="W65" s="61">
        <f>IF(W4&gt;cfg_N,0,W17+IF(W4=cfg_N,W17/$C$20,X65))</f>
        <v/>
      </c>
      <c r="X65" s="61">
        <f>IF(X4&gt;cfg_N,0,X17+IF(X4=cfg_N,X17/$C$20,Y65))</f>
        <v/>
      </c>
      <c r="Y65" s="61">
        <f>IF(Y4&gt;cfg_N,0,Y17+IF(Y4=cfg_N,Y17/$C$20,Z65))</f>
        <v/>
      </c>
      <c r="Z65" s="61">
        <f>IF(Z4&gt;cfg_N,0,Z17+IF(Z4=cfg_N,Z17/$C$20,AA65))</f>
        <v/>
      </c>
      <c r="AA65" s="61">
        <f>IF(AA4&gt;cfg_N,0,AA17+IF(AA4=cfg_N,AA17/$C$20,AB65))</f>
        <v/>
      </c>
      <c r="AB65" s="61">
        <f>IF(AB4&gt;cfg_N,0,AB17+IF(AB4=cfg_N,AB17/$C$20,AC65))</f>
        <v/>
      </c>
      <c r="AC65" s="61">
        <f>IF(AC4&gt;cfg_N,0,AC17+IF(AC4=cfg_N,AC17/$C$20,AD65))</f>
        <v/>
      </c>
      <c r="AD65" s="61">
        <f>IF(AD4&gt;cfg_N,0,AD17+IF(AD4=cfg_N,AD17/$C$20,AE65))</f>
        <v/>
      </c>
      <c r="AE65" s="61">
        <f>IF(AE4&gt;cfg_N,0,AE17+IF(AE4=cfg_N,AE17/$C$20,AF65))</f>
        <v/>
      </c>
      <c r="AF65" s="61">
        <f>IF(AF4&gt;cfg_N,0,AF17+IF(AF4=cfg_N,AF17/$C$20,AG65))</f>
        <v/>
      </c>
    </row>
    <row r="66">
      <c r="A66" s="61" t="inlineStr">
        <is>
          <t xml:space="preserve">  dRI^D_t = AEG(NFE)_t + pi_t*NFE_(t-1) + [rho*D_(t-1)-rho*D_t(1+pi_(t-1))]*NFO_(t-2)   &lt;AEG-TS&gt;</t>
        </is>
      </c>
      <c r="C66" s="61">
        <f>C27+IF(C4=1,0,C56*B12+(B64-C64*(1+B56))*INDEX($B11:C11,MAX(1,C4-1)))</f>
        <v/>
      </c>
      <c r="D66" s="61">
        <f>D27+IF(D4=1,0,D56*C12+(C64-D64*(1+C56))*INDEX($B11:D11,MAX(1,D4-1)))</f>
        <v/>
      </c>
      <c r="E66" s="61">
        <f>E27+IF(E4=1,0,E56*D12+(D64-E64*(1+D56))*INDEX($B11:E11,MAX(1,E4-1)))</f>
        <v/>
      </c>
      <c r="F66" s="61">
        <f>F27+IF(F4=1,0,F56*E12+(E64-F64*(1+E56))*INDEX($B11:F11,MAX(1,F4-1)))</f>
        <v/>
      </c>
      <c r="G66" s="61">
        <f>G27+IF(G4=1,0,G56*F12+(F64-G64*(1+F56))*INDEX($B11:G11,MAX(1,G4-1)))</f>
        <v/>
      </c>
      <c r="H66" s="61">
        <f>H27+IF(H4=1,0,H56*G12+(G64-H64*(1+G56))*INDEX($B11:H11,MAX(1,H4-1)))</f>
        <v/>
      </c>
      <c r="I66" s="61">
        <f>I27+IF(I4=1,0,I56*H12+(H64-I64*(1+H56))*INDEX($B11:I11,MAX(1,I4-1)))</f>
        <v/>
      </c>
      <c r="J66" s="61">
        <f>J27+IF(J4=1,0,J56*I12+(I64-J64*(1+I56))*INDEX($B11:J11,MAX(1,J4-1)))</f>
        <v/>
      </c>
      <c r="K66" s="61">
        <f>K27+IF(K4=1,0,K56*J12+(J64-K64*(1+J56))*INDEX($B11:K11,MAX(1,K4-1)))</f>
        <v/>
      </c>
      <c r="L66" s="61">
        <f>L27+IF(L4=1,0,L56*K12+(K64-L64*(1+K56))*INDEX($B11:L11,MAX(1,L4-1)))</f>
        <v/>
      </c>
      <c r="M66" s="61">
        <f>M27+IF(M4=1,0,M56*L12+(L64-M64*(1+L56))*INDEX($B11:M11,MAX(1,M4-1)))</f>
        <v/>
      </c>
      <c r="N66" s="61">
        <f>N27+IF(N4=1,0,N56*M12+(M64-N64*(1+M56))*INDEX($B11:N11,MAX(1,N4-1)))</f>
        <v/>
      </c>
      <c r="O66" s="61">
        <f>O27+IF(O4=1,0,O56*N12+(N64-O64*(1+N56))*INDEX($B11:O11,MAX(1,O4-1)))</f>
        <v/>
      </c>
      <c r="P66" s="61">
        <f>P27+IF(P4=1,0,P56*O12+(O64-P64*(1+O56))*INDEX($B11:P11,MAX(1,P4-1)))</f>
        <v/>
      </c>
      <c r="Q66" s="61">
        <f>Q27+IF(Q4=1,0,Q56*P12+(P64-Q64*(1+P56))*INDEX($B11:Q11,MAX(1,Q4-1)))</f>
        <v/>
      </c>
      <c r="R66" s="61">
        <f>R27+IF(R4=1,0,R56*Q12+(Q64-R64*(1+Q56))*INDEX($B11:R11,MAX(1,R4-1)))</f>
        <v/>
      </c>
      <c r="S66" s="61">
        <f>S27+IF(S4=1,0,S56*R12+(R64-S64*(1+R56))*INDEX($B11:S11,MAX(1,S4-1)))</f>
        <v/>
      </c>
      <c r="T66" s="61">
        <f>T27+IF(T4=1,0,T56*S12+(S64-T64*(1+S56))*INDEX($B11:T11,MAX(1,T4-1)))</f>
        <v/>
      </c>
      <c r="U66" s="61">
        <f>U27+IF(U4=1,0,U56*T12+(T64-U64*(1+T56))*INDEX($B11:U11,MAX(1,U4-1)))</f>
        <v/>
      </c>
      <c r="V66" s="61">
        <f>V27+IF(V4=1,0,V56*U12+(U64-V64*(1+U56))*INDEX($B11:V11,MAX(1,V4-1)))</f>
        <v/>
      </c>
      <c r="W66" s="61">
        <f>W27+IF(W4=1,0,W56*V12+(V64-W64*(1+V56))*INDEX($B11:W11,MAX(1,W4-1)))</f>
        <v/>
      </c>
      <c r="X66" s="61">
        <f>X27+IF(X4=1,0,X56*W12+(W64-X64*(1+W56))*INDEX($B11:X11,MAX(1,X4-1)))</f>
        <v/>
      </c>
      <c r="Y66" s="61">
        <f>Y27+IF(Y4=1,0,Y56*X12+(X64-Y64*(1+X56))*INDEX($B11:Y11,MAX(1,Y4-1)))</f>
        <v/>
      </c>
      <c r="Z66" s="61">
        <f>Z27+IF(Z4=1,0,Z56*Y12+(Y64-Z64*(1+Y56))*INDEX($B11:Z11,MAX(1,Z4-1)))</f>
        <v/>
      </c>
      <c r="AA66" s="61">
        <f>AA27+IF(AA4=1,0,AA56*Z12+(Z64-AA64*(1+Z56))*INDEX($B11:AA11,MAX(1,AA4-1)))</f>
        <v/>
      </c>
      <c r="AB66" s="61">
        <f>AB27+IF(AB4=1,0,AB56*AA12+(AA64-AB64*(1+AA56))*INDEX($B11:AB11,MAX(1,AB4-1)))</f>
        <v/>
      </c>
      <c r="AC66" s="61">
        <f>AC27+IF(AC4=1,0,AC56*AB12+(AB64-AC64*(1+AB56))*INDEX($B11:AC11,MAX(1,AC4-1)))</f>
        <v/>
      </c>
      <c r="AD66" s="61">
        <f>AD27+IF(AD4=1,0,AD56*AC12+(AC64-AD64*(1+AC56))*INDEX($B11:AD11,MAX(1,AD4-1)))</f>
        <v/>
      </c>
      <c r="AE66" s="61">
        <f>AE27+IF(AE4=1,0,AE56*AD12+(AD64-AE64*(1+AD56))*INDEX($B11:AE11,MAX(1,AE4-1)))</f>
        <v/>
      </c>
      <c r="AF66" s="61">
        <f>AF27+IF(AF4=1,0,AF56*AE12+(AE64-AF64*(1+AE56))*INDEX($B11:AF11,MAX(1,AF4-1)))</f>
        <v/>
      </c>
    </row>
    <row r="67">
      <c r="A67" s="61" t="inlineStr">
        <is>
          <t xml:space="preserve">  rho*F = rhoF(nom) - pi   &lt;AEG-TS&gt;</t>
        </is>
      </c>
      <c r="C67" s="61">
        <f>C15-C56</f>
        <v/>
      </c>
      <c r="D67" s="61">
        <f>D15-D56</f>
        <v/>
      </c>
      <c r="E67" s="61">
        <f>E15-E56</f>
        <v/>
      </c>
      <c r="F67" s="61">
        <f>F15-F56</f>
        <v/>
      </c>
      <c r="G67" s="61">
        <f>G15-G56</f>
        <v/>
      </c>
      <c r="H67" s="61">
        <f>H15-H56</f>
        <v/>
      </c>
      <c r="I67" s="61">
        <f>I15-I56</f>
        <v/>
      </c>
      <c r="J67" s="61">
        <f>J15-J56</f>
        <v/>
      </c>
      <c r="K67" s="61">
        <f>K15-K56</f>
        <v/>
      </c>
      <c r="L67" s="61">
        <f>L15-L56</f>
        <v/>
      </c>
      <c r="M67" s="61">
        <f>M15-M56</f>
        <v/>
      </c>
      <c r="N67" s="61">
        <f>N15-N56</f>
        <v/>
      </c>
      <c r="O67" s="61">
        <f>O15-O56</f>
        <v/>
      </c>
      <c r="P67" s="61">
        <f>P15-P56</f>
        <v/>
      </c>
      <c r="Q67" s="61">
        <f>Q15-Q56</f>
        <v/>
      </c>
      <c r="R67" s="61">
        <f>R15-R56</f>
        <v/>
      </c>
      <c r="S67" s="61">
        <f>S15-S56</f>
        <v/>
      </c>
      <c r="T67" s="61">
        <f>T15-T56</f>
        <v/>
      </c>
      <c r="U67" s="61">
        <f>U15-U56</f>
        <v/>
      </c>
      <c r="V67" s="61">
        <f>V15-V56</f>
        <v/>
      </c>
      <c r="W67" s="61">
        <f>W15-W56</f>
        <v/>
      </c>
      <c r="X67" s="61">
        <f>X15-X56</f>
        <v/>
      </c>
      <c r="Y67" s="61">
        <f>Y15-Y56</f>
        <v/>
      </c>
      <c r="Z67" s="61">
        <f>Z15-Z56</f>
        <v/>
      </c>
      <c r="AA67" s="61">
        <f>AA15-AA56</f>
        <v/>
      </c>
      <c r="AB67" s="61">
        <f>AB15-AB56</f>
        <v/>
      </c>
      <c r="AC67" s="61">
        <f>AC15-AC56</f>
        <v/>
      </c>
      <c r="AD67" s="61">
        <f>AD15-AD56</f>
        <v/>
      </c>
      <c r="AE67" s="61">
        <f>AE15-AE56</f>
        <v/>
      </c>
      <c r="AF67" s="61">
        <f>AF15-AF56</f>
        <v/>
      </c>
    </row>
    <row r="68">
      <c r="A68" s="61" t="inlineStr">
        <is>
          <t xml:space="preserve">  A^F_t = SUM(DF^F_t..DF^F_N) + DF^F_N/rhoF_LR   &lt;AEG-TS&gt;</t>
        </is>
      </c>
      <c r="C68" s="61">
        <f>IF(C4&gt;cfg_N,0,C18+IF(C4=cfg_N,C18/$D$20,D68))</f>
        <v/>
      </c>
      <c r="D68" s="61">
        <f>IF(D4&gt;cfg_N,0,D18+IF(D4=cfg_N,D18/$D$20,E68))</f>
        <v/>
      </c>
      <c r="E68" s="61">
        <f>IF(E4&gt;cfg_N,0,E18+IF(E4=cfg_N,E18/$D$20,F68))</f>
        <v/>
      </c>
      <c r="F68" s="61">
        <f>IF(F4&gt;cfg_N,0,F18+IF(F4=cfg_N,F18/$D$20,G68))</f>
        <v/>
      </c>
      <c r="G68" s="61">
        <f>IF(G4&gt;cfg_N,0,G18+IF(G4=cfg_N,G18/$D$20,H68))</f>
        <v/>
      </c>
      <c r="H68" s="61">
        <f>IF(H4&gt;cfg_N,0,H18+IF(H4=cfg_N,H18/$D$20,I68))</f>
        <v/>
      </c>
      <c r="I68" s="61">
        <f>IF(I4&gt;cfg_N,0,I18+IF(I4=cfg_N,I18/$D$20,J68))</f>
        <v/>
      </c>
      <c r="J68" s="61">
        <f>IF(J4&gt;cfg_N,0,J18+IF(J4=cfg_N,J18/$D$20,K68))</f>
        <v/>
      </c>
      <c r="K68" s="61">
        <f>IF(K4&gt;cfg_N,0,K18+IF(K4=cfg_N,K18/$D$20,L68))</f>
        <v/>
      </c>
      <c r="L68" s="61">
        <f>IF(L4&gt;cfg_N,0,L18+IF(L4=cfg_N,L18/$D$20,M68))</f>
        <v/>
      </c>
      <c r="M68" s="61">
        <f>IF(M4&gt;cfg_N,0,M18+IF(M4=cfg_N,M18/$D$20,N68))</f>
        <v/>
      </c>
      <c r="N68" s="61">
        <f>IF(N4&gt;cfg_N,0,N18+IF(N4=cfg_N,N18/$D$20,O68))</f>
        <v/>
      </c>
      <c r="O68" s="61">
        <f>IF(O4&gt;cfg_N,0,O18+IF(O4=cfg_N,O18/$D$20,P68))</f>
        <v/>
      </c>
      <c r="P68" s="61">
        <f>IF(P4&gt;cfg_N,0,P18+IF(P4=cfg_N,P18/$D$20,Q68))</f>
        <v/>
      </c>
      <c r="Q68" s="61">
        <f>IF(Q4&gt;cfg_N,0,Q18+IF(Q4=cfg_N,Q18/$D$20,R68))</f>
        <v/>
      </c>
      <c r="R68" s="61">
        <f>IF(R4&gt;cfg_N,0,R18+IF(R4=cfg_N,R18/$D$20,S68))</f>
        <v/>
      </c>
      <c r="S68" s="61">
        <f>IF(S4&gt;cfg_N,0,S18+IF(S4=cfg_N,S18/$D$20,T68))</f>
        <v/>
      </c>
      <c r="T68" s="61">
        <f>IF(T4&gt;cfg_N,0,T18+IF(T4=cfg_N,T18/$D$20,U68))</f>
        <v/>
      </c>
      <c r="U68" s="61">
        <f>IF(U4&gt;cfg_N,0,U18+IF(U4=cfg_N,U18/$D$20,V68))</f>
        <v/>
      </c>
      <c r="V68" s="61">
        <f>IF(V4&gt;cfg_N,0,V18+IF(V4=cfg_N,V18/$D$20,W68))</f>
        <v/>
      </c>
      <c r="W68" s="61">
        <f>IF(W4&gt;cfg_N,0,W18+IF(W4=cfg_N,W18/$D$20,X68))</f>
        <v/>
      </c>
      <c r="X68" s="61">
        <f>IF(X4&gt;cfg_N,0,X18+IF(X4=cfg_N,X18/$D$20,Y68))</f>
        <v/>
      </c>
      <c r="Y68" s="61">
        <f>IF(Y4&gt;cfg_N,0,Y18+IF(Y4=cfg_N,Y18/$D$20,Z68))</f>
        <v/>
      </c>
      <c r="Z68" s="61">
        <f>IF(Z4&gt;cfg_N,0,Z18+IF(Z4=cfg_N,Z18/$D$20,AA68))</f>
        <v/>
      </c>
      <c r="AA68" s="61">
        <f>IF(AA4&gt;cfg_N,0,AA18+IF(AA4=cfg_N,AA18/$D$20,AB68))</f>
        <v/>
      </c>
      <c r="AB68" s="61">
        <f>IF(AB4&gt;cfg_N,0,AB18+IF(AB4=cfg_N,AB18/$D$20,AC68))</f>
        <v/>
      </c>
      <c r="AC68" s="61">
        <f>IF(AC4&gt;cfg_N,0,AC18+IF(AC4=cfg_N,AC18/$D$20,AD68))</f>
        <v/>
      </c>
      <c r="AD68" s="61">
        <f>IF(AD4&gt;cfg_N,0,AD18+IF(AD4=cfg_N,AD18/$D$20,AE68))</f>
        <v/>
      </c>
      <c r="AE68" s="61">
        <f>IF(AE4&gt;cfg_N,0,AE18+IF(AE4=cfg_N,AE18/$D$20,AF68))</f>
        <v/>
      </c>
      <c r="AF68" s="61">
        <f>IF(AF4&gt;cfg_N,0,AF18+IF(AF4=cfg_N,AF18/$D$20,AG68))</f>
        <v/>
      </c>
    </row>
    <row r="69">
      <c r="A69" s="61" t="inlineStr">
        <is>
          <t xml:space="preserve">  dRI^F_t = AEG(OI)_t + pi_t*OI_(t-1) + [rho*F_(t-1)-rho*F_t(1+pi_(t-1))]*NOA_(t-2)   &lt;AEG-TS&gt;</t>
        </is>
      </c>
      <c r="C69" s="61">
        <f>C31+IF(C4=1,0,C56*B13+(B67-C67*(1+B56))*INDEX($B70:C70,MAX(1,C4-1)))</f>
        <v/>
      </c>
      <c r="D69" s="61">
        <f>D31+IF(D4=1,0,D56*C13+(C67-D67*(1+C56))*INDEX($B70:D70,MAX(1,D4-1)))</f>
        <v/>
      </c>
      <c r="E69" s="61">
        <f>E31+IF(E4=1,0,E56*D13+(D67-E67*(1+D56))*INDEX($B70:E70,MAX(1,E4-1)))</f>
        <v/>
      </c>
      <c r="F69" s="61">
        <f>F31+IF(F4=1,0,F56*E13+(E67-F67*(1+E56))*INDEX($B70:F70,MAX(1,F4-1)))</f>
        <v/>
      </c>
      <c r="G69" s="61">
        <f>G31+IF(G4=1,0,G56*F13+(F67-G67*(1+F56))*INDEX($B70:G70,MAX(1,G4-1)))</f>
        <v/>
      </c>
      <c r="H69" s="61">
        <f>H31+IF(H4=1,0,H56*G13+(G67-H67*(1+G56))*INDEX($B70:H70,MAX(1,H4-1)))</f>
        <v/>
      </c>
      <c r="I69" s="61">
        <f>I31+IF(I4=1,0,I56*H13+(H67-I67*(1+H56))*INDEX($B70:I70,MAX(1,I4-1)))</f>
        <v/>
      </c>
      <c r="J69" s="61">
        <f>J31+IF(J4=1,0,J56*I13+(I67-J67*(1+I56))*INDEX($B70:J70,MAX(1,J4-1)))</f>
        <v/>
      </c>
      <c r="K69" s="61">
        <f>K31+IF(K4=1,0,K56*J13+(J67-K67*(1+J56))*INDEX($B70:K70,MAX(1,K4-1)))</f>
        <v/>
      </c>
      <c r="L69" s="61">
        <f>L31+IF(L4=1,0,L56*K13+(K67-L67*(1+K56))*INDEX($B70:L70,MAX(1,L4-1)))</f>
        <v/>
      </c>
      <c r="M69" s="61">
        <f>M31+IF(M4=1,0,M56*L13+(L67-M67*(1+L56))*INDEX($B70:M70,MAX(1,M4-1)))</f>
        <v/>
      </c>
      <c r="N69" s="61">
        <f>N31+IF(N4=1,0,N56*M13+(M67-N67*(1+M56))*INDEX($B70:N70,MAX(1,N4-1)))</f>
        <v/>
      </c>
      <c r="O69" s="61">
        <f>O31+IF(O4=1,0,O56*N13+(N67-O67*(1+N56))*INDEX($B70:O70,MAX(1,O4-1)))</f>
        <v/>
      </c>
      <c r="P69" s="61">
        <f>P31+IF(P4=1,0,P56*O13+(O67-P67*(1+O56))*INDEX($B70:P70,MAX(1,P4-1)))</f>
        <v/>
      </c>
      <c r="Q69" s="61">
        <f>Q31+IF(Q4=1,0,Q56*P13+(P67-Q67*(1+P56))*INDEX($B70:Q70,MAX(1,Q4-1)))</f>
        <v/>
      </c>
      <c r="R69" s="61">
        <f>R31+IF(R4=1,0,R56*Q13+(Q67-R67*(1+Q56))*INDEX($B70:R70,MAX(1,R4-1)))</f>
        <v/>
      </c>
      <c r="S69" s="61">
        <f>S31+IF(S4=1,0,S56*R13+(R67-S67*(1+R56))*INDEX($B70:S70,MAX(1,S4-1)))</f>
        <v/>
      </c>
      <c r="T69" s="61">
        <f>T31+IF(T4=1,0,T56*S13+(S67-T67*(1+S56))*INDEX($B70:T70,MAX(1,T4-1)))</f>
        <v/>
      </c>
      <c r="U69" s="61">
        <f>U31+IF(U4=1,0,U56*T13+(T67-U67*(1+T56))*INDEX($B70:U70,MAX(1,U4-1)))</f>
        <v/>
      </c>
      <c r="V69" s="61">
        <f>V31+IF(V4=1,0,V56*U13+(U67-V67*(1+U56))*INDEX($B70:V70,MAX(1,V4-1)))</f>
        <v/>
      </c>
      <c r="W69" s="61">
        <f>W31+IF(W4=1,0,W56*V13+(V67-W67*(1+V56))*INDEX($B70:W70,MAX(1,W4-1)))</f>
        <v/>
      </c>
      <c r="X69" s="61">
        <f>X31+IF(X4=1,0,X56*W13+(W67-X67*(1+W56))*INDEX($B70:X70,MAX(1,X4-1)))</f>
        <v/>
      </c>
      <c r="Y69" s="61">
        <f>Y31+IF(Y4=1,0,Y56*X13+(X67-Y67*(1+X56))*INDEX($B70:Y70,MAX(1,Y4-1)))</f>
        <v/>
      </c>
      <c r="Z69" s="61">
        <f>Z31+IF(Z4=1,0,Z56*Y13+(Y67-Z67*(1+Y56))*INDEX($B70:Z70,MAX(1,Z4-1)))</f>
        <v/>
      </c>
      <c r="AA69" s="61">
        <f>AA31+IF(AA4=1,0,AA56*Z13+(Z67-AA67*(1+Z56))*INDEX($B70:AA70,MAX(1,AA4-1)))</f>
        <v/>
      </c>
      <c r="AB69" s="61">
        <f>AB31+IF(AB4=1,0,AB56*AA13+(AA67-AB67*(1+AA56))*INDEX($B70:AB70,MAX(1,AB4-1)))</f>
        <v/>
      </c>
      <c r="AC69" s="61">
        <f>AC31+IF(AC4=1,0,AC56*AB13+(AB67-AC67*(1+AB56))*INDEX($B70:AC70,MAX(1,AC4-1)))</f>
        <v/>
      </c>
      <c r="AD69" s="61">
        <f>AD31+IF(AD4=1,0,AD56*AC13+(AC67-AD67*(1+AC56))*INDEX($B70:AD70,MAX(1,AD4-1)))</f>
        <v/>
      </c>
      <c r="AE69" s="61">
        <f>AE31+IF(AE4=1,0,AE56*AD13+(AD67-AE67*(1+AD56))*INDEX($B70:AE70,MAX(1,AE4-1)))</f>
        <v/>
      </c>
      <c r="AF69" s="61">
        <f>AF31+IF(AF4=1,0,AF56*AE13+(AE67-AF67*(1+AE56))*INDEX($B70:AF70,MAX(1,AF4-1)))</f>
        <v/>
      </c>
    </row>
    <row r="70">
      <c r="A70" s="61" t="inlineStr">
        <is>
          <t xml:space="preserve">  NOA/sh = BPS/sh + NFO/sh   [operating stock for the OI leg]   &lt;AEG-TS&gt;</t>
        </is>
      </c>
      <c r="B70" s="61">
        <f>B10+B11</f>
        <v/>
      </c>
      <c r="C70" s="61">
        <f>C10+C11</f>
        <v/>
      </c>
      <c r="D70" s="61">
        <f>D10+D11</f>
        <v/>
      </c>
      <c r="E70" s="61">
        <f>E10+E11</f>
        <v/>
      </c>
      <c r="F70" s="61">
        <f>F10+F11</f>
        <v/>
      </c>
      <c r="G70" s="61">
        <f>G10+G11</f>
        <v/>
      </c>
      <c r="H70" s="61">
        <f>H10+H11</f>
        <v/>
      </c>
      <c r="I70" s="61">
        <f>I10+I11</f>
        <v/>
      </c>
      <c r="J70" s="61">
        <f>J10+J11</f>
        <v/>
      </c>
      <c r="K70" s="61">
        <f>K10+K11</f>
        <v/>
      </c>
      <c r="L70" s="61">
        <f>L10+L11</f>
        <v/>
      </c>
      <c r="M70" s="61">
        <f>M10+M11</f>
        <v/>
      </c>
      <c r="N70" s="61">
        <f>N10+N11</f>
        <v/>
      </c>
      <c r="O70" s="61">
        <f>O10+O11</f>
        <v/>
      </c>
      <c r="P70" s="61">
        <f>P10+P11</f>
        <v/>
      </c>
      <c r="Q70" s="61">
        <f>Q10+Q11</f>
        <v/>
      </c>
      <c r="R70" s="61">
        <f>R10+R11</f>
        <v/>
      </c>
      <c r="S70" s="61">
        <f>S10+S11</f>
        <v/>
      </c>
      <c r="T70" s="61">
        <f>T10+T11</f>
        <v/>
      </c>
      <c r="U70" s="61">
        <f>U10+U11</f>
        <v/>
      </c>
      <c r="V70" s="61">
        <f>V10+V11</f>
        <v/>
      </c>
      <c r="W70" s="61">
        <f>W10+W11</f>
        <v/>
      </c>
      <c r="X70" s="61">
        <f>X10+X11</f>
        <v/>
      </c>
      <c r="Y70" s="61">
        <f>Y10+Y11</f>
        <v/>
      </c>
      <c r="Z70" s="61">
        <f>Z10+Z11</f>
        <v/>
      </c>
      <c r="AA70" s="61">
        <f>AA10+AA11</f>
        <v/>
      </c>
      <c r="AB70" s="61">
        <f>AB10+AB11</f>
        <v/>
      </c>
      <c r="AC70" s="61">
        <f>AC10+AC11</f>
        <v/>
      </c>
      <c r="AD70" s="61">
        <f>AD10+AD11</f>
        <v/>
      </c>
      <c r="AE70" s="61">
        <f>AE10+AE11</f>
        <v/>
      </c>
      <c r="AF70" s="61">
        <f>AF10+AF11</f>
        <v/>
      </c>
    </row>
    <row r="71">
      <c r="A71" s="61" t="inlineStr">
        <is>
          <t xml:space="preserve">  CSE per ANCHOR share (nominal) = fc_cse / anchor_shares0   [Enterprise-mode book basis]   &lt;ENT-FIX&gt;</t>
        </is>
      </c>
      <c r="B71" s="61">
        <f>anchor_real_cse0/anchor_shares0</f>
        <v/>
      </c>
      <c r="C71" s="61">
        <f>INDEX(fc_cse,C4)/anchor_shares0</f>
        <v/>
      </c>
      <c r="D71" s="61">
        <f>INDEX(fc_cse,D4)/anchor_shares0</f>
        <v/>
      </c>
      <c r="E71" s="61">
        <f>INDEX(fc_cse,E4)/anchor_shares0</f>
        <v/>
      </c>
      <c r="F71" s="61">
        <f>INDEX(fc_cse,F4)/anchor_shares0</f>
        <v/>
      </c>
      <c r="G71" s="61">
        <f>INDEX(fc_cse,G4)/anchor_shares0</f>
        <v/>
      </c>
      <c r="H71" s="61">
        <f>INDEX(fc_cse,H4)/anchor_shares0</f>
        <v/>
      </c>
      <c r="I71" s="61">
        <f>INDEX(fc_cse,I4)/anchor_shares0</f>
        <v/>
      </c>
      <c r="J71" s="61">
        <f>INDEX(fc_cse,J4)/anchor_shares0</f>
        <v/>
      </c>
      <c r="K71" s="61">
        <f>INDEX(fc_cse,K4)/anchor_shares0</f>
        <v/>
      </c>
      <c r="L71" s="61">
        <f>INDEX(fc_cse,L4)/anchor_shares0</f>
        <v/>
      </c>
      <c r="M71" s="61">
        <f>INDEX(fc_cse,M4)/anchor_shares0</f>
        <v/>
      </c>
      <c r="N71" s="61">
        <f>INDEX(fc_cse,N4)/anchor_shares0</f>
        <v/>
      </c>
      <c r="O71" s="61">
        <f>INDEX(fc_cse,O4)/anchor_shares0</f>
        <v/>
      </c>
      <c r="P71" s="61">
        <f>INDEX(fc_cse,P4)/anchor_shares0</f>
        <v/>
      </c>
      <c r="Q71" s="61">
        <f>INDEX(fc_cse,Q4)/anchor_shares0</f>
        <v/>
      </c>
      <c r="R71" s="61">
        <f>INDEX(fc_cse,R4)/anchor_shares0</f>
        <v/>
      </c>
      <c r="S71" s="61">
        <f>INDEX(fc_cse,S4)/anchor_shares0</f>
        <v/>
      </c>
      <c r="T71" s="61">
        <f>INDEX(fc_cse,T4)/anchor_shares0</f>
        <v/>
      </c>
      <c r="U71" s="61">
        <f>INDEX(fc_cse,U4)/anchor_shares0</f>
        <v/>
      </c>
      <c r="V71" s="61">
        <f>INDEX(fc_cse,V4)/anchor_shares0</f>
        <v/>
      </c>
      <c r="W71" s="61">
        <f>INDEX(fc_cse,W4)/anchor_shares0</f>
        <v/>
      </c>
      <c r="X71" s="61">
        <f>INDEX(fc_cse,X4)/anchor_shares0</f>
        <v/>
      </c>
      <c r="Y71" s="61">
        <f>INDEX(fc_cse,Y4)/anchor_shares0</f>
        <v/>
      </c>
      <c r="Z71" s="61">
        <f>INDEX(fc_cse,Z4)/anchor_shares0</f>
        <v/>
      </c>
      <c r="AA71" s="61">
        <f>INDEX(fc_cse,AA4)/anchor_shares0</f>
        <v/>
      </c>
      <c r="AB71" s="61">
        <f>INDEX(fc_cse,AB4)/anchor_shares0</f>
        <v/>
      </c>
      <c r="AC71" s="61">
        <f>INDEX(fc_cse,AC4)/anchor_shares0</f>
        <v/>
      </c>
      <c r="AD71" s="61">
        <f>INDEX(fc_cse,AD4)/anchor_shares0</f>
        <v/>
      </c>
      <c r="AE71" s="61">
        <f>INDEX(fc_cse,AE4)/anchor_shares0</f>
        <v/>
      </c>
      <c r="AF71" s="61">
        <f>INDEX(fc_cse,AF4)/anchor_shares0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61" min="1" max="1"/>
    <col width="12" customWidth="1" style="61" min="2" max="5"/>
  </cols>
  <sheetData>
    <row r="1" ht="15" customHeight="1" s="62">
      <c r="A1" s="63" t="inlineStr">
        <is>
          <t>SCENARIOS — driver overlay (real 2026$)</t>
        </is>
      </c>
    </row>
    <row r="2" ht="15" customHeight="1" s="62">
      <c r="A2" s="64" t="inlineStr">
        <is>
          <t>Blue = scenario driver inputs (the G.1 surface). cfg_scenario picks the active column; the Forecast tab pulls it. Normal ≈ zero-economic-profit floor (no real growth, no buyback).</t>
        </is>
      </c>
    </row>
    <row r="4" ht="15" customHeight="1" s="62">
      <c r="A4" s="83" t="inlineStr">
        <is>
          <t>Driver</t>
        </is>
      </c>
      <c r="B4" s="97" t="inlineStr">
        <is>
          <t>Bear</t>
        </is>
      </c>
      <c r="C4" s="97" t="inlineStr">
        <is>
          <t>Consensus</t>
        </is>
      </c>
      <c r="D4" s="97" t="inlineStr">
        <is>
          <t>Bull</t>
        </is>
      </c>
      <c r="E4" s="97" t="inlineStr">
        <is>
          <t>Normal</t>
        </is>
      </c>
    </row>
    <row r="5" ht="15" customHeight="1" s="62">
      <c r="A5" s="86" t="inlineStr">
        <is>
          <t>Real revenue growth</t>
        </is>
      </c>
      <c r="B5" s="89" t="n">
        <v>-0.015</v>
      </c>
      <c r="C5" s="89" t="n">
        <v>0.03</v>
      </c>
      <c r="D5" s="89" t="n">
        <v>0.025</v>
      </c>
      <c r="E5" s="89" t="n">
        <v>0</v>
      </c>
    </row>
    <row r="6" ht="15" customHeight="1" s="62">
      <c r="A6" s="86" t="inlineStr">
        <is>
          <t>NOA growth (real)</t>
        </is>
      </c>
      <c r="B6" s="89" t="n">
        <v>-0.01</v>
      </c>
      <c r="C6" s="89" t="n">
        <v>0.025</v>
      </c>
      <c r="D6" s="89" t="n">
        <v>0.03</v>
      </c>
      <c r="E6" s="89" t="n">
        <v>0</v>
      </c>
    </row>
    <row r="7" ht="15" customHeight="1" s="62">
      <c r="A7" s="86" t="inlineStr">
        <is>
          <t>Net buyback rate</t>
        </is>
      </c>
      <c r="B7" s="89" t="n">
        <v>0</v>
      </c>
      <c r="C7" s="89" t="n">
        <v>0.03</v>
      </c>
      <c r="D7" s="89" t="n">
        <v>0.03</v>
      </c>
      <c r="E7" s="89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O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61" min="1" max="1"/>
    <col width="9" customWidth="1" style="61" min="2" max="15"/>
  </cols>
  <sheetData>
    <row r="1" ht="15" customHeight="1" s="62">
      <c r="A1" s="63" t="inlineStr">
        <is>
          <t>IMPLIED EXPECTATIONS — what the price embeds</t>
        </is>
      </c>
    </row>
    <row r="2" ht="15" customHeight="1" s="62">
      <c r="A2" s="64" t="inlineStr">
        <is>
          <t>PVGO decomposition + implied constant real EPS growth (Gordon-equivalent). Re-bracketed to admit negative growth (g &gt; −100%, guarded g &lt; ρE_LR).</t>
        </is>
      </c>
    </row>
    <row r="4" ht="15" customHeight="1" s="62">
      <c r="A4" s="65" t="inlineStr">
        <is>
          <t>PVGO DECOMPOSITION (real 2026$/sh)</t>
        </is>
      </c>
    </row>
    <row r="5" ht="15" customHeight="1" s="62">
      <c r="A5" s="86" t="inlineStr">
        <is>
          <t>Real price</t>
        </is>
      </c>
      <c r="B5" s="106">
        <f>val_active*0+val_realprice</f>
        <v/>
      </c>
    </row>
    <row r="6" ht="15" customHeight="1" s="62">
      <c r="A6" s="86" t="inlineStr">
        <is>
          <t>Normal (no-growth) value</t>
        </is>
      </c>
      <c r="B6" s="106">
        <f>val_normalval</f>
        <v/>
      </c>
    </row>
    <row r="7" ht="15" customHeight="1" s="62">
      <c r="A7" s="86" t="inlineStr">
        <is>
          <t>PVGO = price − normal</t>
        </is>
      </c>
      <c r="B7" s="106">
        <f>val_realprice-val_normalval</f>
        <v/>
      </c>
    </row>
    <row r="8" ht="15" customHeight="1" s="62">
      <c r="A8" s="86" t="inlineStr">
        <is>
          <t>Implied P/E (price ÷ EPS₁)</t>
        </is>
      </c>
      <c r="B8" s="105">
        <f>val_realprice/val_eps1</f>
        <v/>
      </c>
    </row>
    <row r="9" ht="15" customHeight="1" s="62">
      <c r="A9" s="86" t="inlineStr">
        <is>
          <t>Normal P/E = 1/ρE_LR</t>
        </is>
      </c>
      <c r="B9" s="105">
        <f>val_normalPE</f>
        <v/>
      </c>
    </row>
    <row r="10" ht="15" customHeight="1" s="62">
      <c r="A10" s="86" t="inlineStr">
        <is>
          <t>Growth premium (turns)</t>
        </is>
      </c>
      <c r="B10" s="105">
        <f>val_realprice/val_eps1-val_normalPE</f>
        <v/>
      </c>
    </row>
    <row r="12" ht="15" customHeight="1" s="62">
      <c r="A12" s="65" t="inlineStr">
        <is>
          <t>IMPLIED CONSTANT REAL EPS GROWTH</t>
        </is>
      </c>
    </row>
    <row r="13" ht="15" customHeight="1" s="62">
      <c r="A13" s="86" t="inlineStr">
        <is>
          <t>EPS₁ (real)</t>
        </is>
      </c>
      <c r="B13" s="106">
        <f>val_eps1</f>
        <v/>
      </c>
    </row>
    <row r="14" ht="15" customHeight="1" s="62">
      <c r="A14" s="86" t="inlineStr">
        <is>
          <t>ρE_LR</t>
        </is>
      </c>
      <c r="B14" s="112">
        <f>val_rhoe_lr</f>
        <v/>
      </c>
    </row>
    <row r="15" ht="15" customHeight="1" s="62">
      <c r="A15" s="83" t="inlineStr">
        <is>
          <t>Implied g* = ρE_LR − EPS₁/price  [closed form]</t>
        </is>
      </c>
      <c r="B15" s="117">
        <f>B14-B13/val_realprice</f>
        <v/>
      </c>
      <c r="D15" s="68">
        <f>IF(B15&lt;0,"market implies real EPS DECLINE","market implies real EPS growth")</f>
        <v/>
      </c>
    </row>
    <row r="17" ht="15" customHeight="1" s="62">
      <c r="A17" s="65" t="inlineStr">
        <is>
          <t>SENSITIVITY GRID — value vs implied growth g  (guarded g&lt;ρE_LR)</t>
        </is>
      </c>
    </row>
    <row r="18" ht="15" customHeight="1" s="62">
      <c r="A18" s="83" t="inlineStr">
        <is>
          <t>g</t>
        </is>
      </c>
      <c r="B18" s="118">
        <f>in_implied_g_start</f>
        <v/>
      </c>
      <c r="C18" s="118">
        <f>B18+in_implied_g_step</f>
        <v/>
      </c>
      <c r="D18" s="118">
        <f>C18+in_implied_g_step</f>
        <v/>
      </c>
      <c r="E18" s="118">
        <f>D18+in_implied_g_step</f>
        <v/>
      </c>
      <c r="F18" s="118">
        <f>E18+in_implied_g_step</f>
        <v/>
      </c>
      <c r="G18" s="118">
        <f>F18+in_implied_g_step</f>
        <v/>
      </c>
      <c r="H18" s="118">
        <f>G18+in_implied_g_step</f>
        <v/>
      </c>
      <c r="I18" s="118">
        <f>H18+in_implied_g_step</f>
        <v/>
      </c>
      <c r="J18" s="118">
        <f>I18+in_implied_g_step</f>
        <v/>
      </c>
      <c r="K18" s="118">
        <f>J18+in_implied_g_step</f>
        <v/>
      </c>
      <c r="L18" s="118">
        <f>K18+in_implied_g_step</f>
        <v/>
      </c>
      <c r="M18" s="118">
        <f>L18+in_implied_g_step</f>
        <v/>
      </c>
      <c r="N18" s="118">
        <f>M18+in_implied_g_step</f>
        <v/>
      </c>
      <c r="O18" s="118">
        <f>N18+in_implied_g_step</f>
        <v/>
      </c>
    </row>
    <row r="19" ht="15" customHeight="1" s="62">
      <c r="A19" s="86" t="inlineStr">
        <is>
          <t>V(g) = EPS₁/(ρE_LR − g)</t>
        </is>
      </c>
      <c r="B19" s="106">
        <f>IF($B$14-B18&gt;in_tie_tol,$B$13/($B$14-B18),"n/m")</f>
        <v/>
      </c>
      <c r="C19" s="106">
        <f>IF($B$14-C18&gt;in_tie_tol,$B$13/($B$14-C18),"n/m")</f>
        <v/>
      </c>
      <c r="D19" s="106">
        <f>IF($B$14-D18&gt;in_tie_tol,$B$13/($B$14-D18),"n/m")</f>
        <v/>
      </c>
      <c r="E19" s="106">
        <f>IF($B$14-E18&gt;in_tie_tol,$B$13/($B$14-E18),"n/m")</f>
        <v/>
      </c>
      <c r="F19" s="106">
        <f>IF($B$14-F18&gt;in_tie_tol,$B$13/($B$14-F18),"n/m")</f>
        <v/>
      </c>
      <c r="G19" s="106">
        <f>IF($B$14-G18&gt;in_tie_tol,$B$13/($B$14-G18),"n/m")</f>
        <v/>
      </c>
      <c r="H19" s="106">
        <f>IF($B$14-H18&gt;in_tie_tol,$B$13/($B$14-H18),"n/m")</f>
        <v/>
      </c>
      <c r="I19" s="106">
        <f>IF($B$14-I18&gt;in_tie_tol,$B$13/($B$14-I18),"n/m")</f>
        <v/>
      </c>
      <c r="J19" s="106">
        <f>IF($B$14-J18&gt;in_tie_tol,$B$13/($B$14-J18),"n/m")</f>
        <v/>
      </c>
      <c r="K19" s="106">
        <f>IF($B$14-K18&gt;in_tie_tol,$B$13/($B$14-K18),"n/m")</f>
        <v/>
      </c>
      <c r="L19" s="106">
        <f>IF($B$14-L18&gt;in_tie_tol,$B$13/($B$14-L18),"n/m")</f>
        <v/>
      </c>
      <c r="M19" s="106">
        <f>IF($B$14-M18&gt;in_tie_tol,$B$13/($B$14-M18),"n/m")</f>
        <v/>
      </c>
      <c r="N19" s="106">
        <f>IF($B$14-N18&gt;in_tie_tol,$B$13/($B$14-N18),"n/m")</f>
        <v/>
      </c>
      <c r="O19" s="106">
        <f>IF($B$14-O18&gt;in_tie_tol,$B$13/($B$14-O18),"n/m")</f>
        <v/>
      </c>
    </row>
    <row r="20" ht="15" customHeight="1" s="62">
      <c r="A20" s="68" t="inlineStr">
        <is>
          <t>vs price</t>
        </is>
      </c>
      <c r="B20" s="68">
        <f>IF(ISNUMBER(B19),IF(B19&gt;=val_realprice,"≥price","&lt;price"),"")</f>
        <v/>
      </c>
      <c r="C20" s="68">
        <f>IF(ISNUMBER(C19),IF(C19&gt;=val_realprice,"≥price","&lt;price"),"")</f>
        <v/>
      </c>
      <c r="D20" s="68">
        <f>IF(ISNUMBER(D19),IF(D19&gt;=val_realprice,"≥price","&lt;price"),"")</f>
        <v/>
      </c>
      <c r="E20" s="68">
        <f>IF(ISNUMBER(E19),IF(E19&gt;=val_realprice,"≥price","&lt;price"),"")</f>
        <v/>
      </c>
      <c r="F20" s="68">
        <f>IF(ISNUMBER(F19),IF(F19&gt;=val_realprice,"≥price","&lt;price"),"")</f>
        <v/>
      </c>
      <c r="G20" s="68">
        <f>IF(ISNUMBER(G19),IF(G19&gt;=val_realprice,"≥price","&lt;price"),"")</f>
        <v/>
      </c>
      <c r="H20" s="68">
        <f>IF(ISNUMBER(H19),IF(H19&gt;=val_realprice,"≥price","&lt;price"),"")</f>
        <v/>
      </c>
      <c r="I20" s="68">
        <f>IF(ISNUMBER(I19),IF(I19&gt;=val_realprice,"≥price","&lt;price"),"")</f>
        <v/>
      </c>
      <c r="J20" s="68">
        <f>IF(ISNUMBER(J19),IF(J19&gt;=val_realprice,"≥price","&lt;price"),"")</f>
        <v/>
      </c>
      <c r="K20" s="68">
        <f>IF(ISNUMBER(K19),IF(K19&gt;=val_realprice,"≥price","&lt;price"),"")</f>
        <v/>
      </c>
      <c r="L20" s="68">
        <f>IF(ISNUMBER(L19),IF(L19&gt;=val_realprice,"≥price","&lt;price"),"")</f>
        <v/>
      </c>
      <c r="M20" s="68">
        <f>IF(ISNUMBER(M19),IF(M19&gt;=val_realprice,"≥price","&lt;price"),"")</f>
        <v/>
      </c>
      <c r="N20" s="68">
        <f>IF(ISNUMBER(N19),IF(N19&gt;=val_realprice,"≥price","&lt;price"),"")</f>
        <v/>
      </c>
      <c r="O20" s="68">
        <f>IF(ISNUMBER(O19),IF(O19&gt;=val_realprice,"≥price","&lt;price"),"")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F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61" min="1" max="1"/>
    <col width="9" customWidth="1" style="61" min="2" max="15"/>
  </cols>
  <sheetData>
    <row r="1" ht="15" customHeight="1" s="62">
      <c r="A1" s="63" t="inlineStr">
        <is>
          <t>DCF RECONCILIATION — five spokes, one hub (NOMINAL forecast; value in 2026$)</t>
        </is>
      </c>
    </row>
    <row r="2" ht="15" customHeight="1" s="62">
      <c r="A2" s="64" t="inlineStr">
        <is>
          <t>DDM · RI · AEG · FCFE-DCF · FCFF-DCF on the SAME forecast, common terminal (constant-RI continuation), leverage-implied ρF. Per Lundholm-O'Keefe (2001): properly implemented, all give one value.</t>
        </is>
      </c>
    </row>
    <row r="4" ht="15" customHeight="1" s="62">
      <c r="A4" s="83" t="inlineStr">
        <is>
          <t>Period t</t>
        </is>
      </c>
      <c r="B4" s="109" t="n">
        <v>0</v>
      </c>
      <c r="C4" s="109" t="n">
        <v>1</v>
      </c>
      <c r="D4" s="109" t="n">
        <v>2</v>
      </c>
      <c r="E4" s="109" t="n">
        <v>3</v>
      </c>
      <c r="F4" s="109" t="n">
        <v>4</v>
      </c>
      <c r="G4" s="109" t="n">
        <v>5</v>
      </c>
      <c r="H4" s="109" t="n">
        <v>6</v>
      </c>
      <c r="I4" s="109" t="n">
        <v>7</v>
      </c>
      <c r="J4" s="109" t="n">
        <v>8</v>
      </c>
      <c r="K4" s="109" t="n">
        <v>9</v>
      </c>
      <c r="L4" s="109" t="n">
        <v>10</v>
      </c>
      <c r="M4" s="109" t="n">
        <v>11</v>
      </c>
      <c r="N4" s="109" t="n">
        <v>12</v>
      </c>
      <c r="O4" s="109" t="n">
        <v>13</v>
      </c>
      <c r="P4" s="61" t="n">
        <v>14</v>
      </c>
      <c r="Q4" s="61" t="n">
        <v>15</v>
      </c>
      <c r="R4" s="61" t="n">
        <v>16</v>
      </c>
      <c r="S4" s="61" t="n">
        <v>17</v>
      </c>
      <c r="T4" s="61" t="n">
        <v>18</v>
      </c>
      <c r="U4" s="61" t="n">
        <v>19</v>
      </c>
      <c r="V4" s="61" t="n">
        <v>20</v>
      </c>
      <c r="W4" s="61" t="n">
        <v>21</v>
      </c>
      <c r="X4" s="61" t="n">
        <v>22</v>
      </c>
      <c r="Y4" s="61" t="n">
        <v>23</v>
      </c>
      <c r="Z4" s="61" t="n">
        <v>24</v>
      </c>
      <c r="AA4" s="61" t="n">
        <v>25</v>
      </c>
      <c r="AB4" s="61" t="n">
        <v>26</v>
      </c>
      <c r="AC4" s="61" t="n">
        <v>27</v>
      </c>
      <c r="AD4" s="61" t="n">
        <v>28</v>
      </c>
      <c r="AE4" s="61" t="n">
        <v>29</v>
      </c>
      <c r="AF4" s="61" t="n">
        <v>30</v>
      </c>
    </row>
    <row r="5" ht="15" customHeight="1" s="62">
      <c r="A5" s="86" t="inlineStr">
        <is>
          <t>ρE (finrate_coe)</t>
        </is>
      </c>
      <c r="C5" s="112">
        <f>(1+INDEX(finrate_coe,C4))*(1+INDEX(finrate_infl,C4))-1</f>
        <v/>
      </c>
      <c r="D5" s="112">
        <f>(1+INDEX(finrate_coe,D4))*(1+INDEX(finrate_infl,D4))-1</f>
        <v/>
      </c>
      <c r="E5" s="112">
        <f>(1+INDEX(finrate_coe,E4))*(1+INDEX(finrate_infl,E4))-1</f>
        <v/>
      </c>
      <c r="F5" s="112">
        <f>(1+INDEX(finrate_coe,F4))*(1+INDEX(finrate_infl,F4))-1</f>
        <v/>
      </c>
      <c r="G5" s="112">
        <f>(1+INDEX(finrate_coe,G4))*(1+INDEX(finrate_infl,G4))-1</f>
        <v/>
      </c>
      <c r="H5" s="112">
        <f>(1+INDEX(finrate_coe,H4))*(1+INDEX(finrate_infl,H4))-1</f>
        <v/>
      </c>
      <c r="I5" s="112">
        <f>(1+INDEX(finrate_coe,I4))*(1+INDEX(finrate_infl,I4))-1</f>
        <v/>
      </c>
      <c r="J5" s="112">
        <f>(1+INDEX(finrate_coe,J4))*(1+INDEX(finrate_infl,J4))-1</f>
        <v/>
      </c>
      <c r="K5" s="112">
        <f>(1+INDEX(finrate_coe,K4))*(1+INDEX(finrate_infl,K4))-1</f>
        <v/>
      </c>
      <c r="L5" s="112">
        <f>(1+INDEX(finrate_coe,L4))*(1+INDEX(finrate_infl,L4))-1</f>
        <v/>
      </c>
      <c r="M5" s="112">
        <f>(1+INDEX(finrate_coe,M4))*(1+INDEX(finrate_infl,M4))-1</f>
        <v/>
      </c>
      <c r="N5" s="112">
        <f>(1+INDEX(finrate_coe,N4))*(1+INDEX(finrate_infl,N4))-1</f>
        <v/>
      </c>
      <c r="O5" s="112">
        <f>(1+INDEX(finrate_coe,O4))*(1+INDEX(finrate_infl,O4))-1</f>
        <v/>
      </c>
      <c r="P5" s="95">
        <f>(1+INDEX(finrate_coe,P4))*(1+INDEX(finrate_infl,P4))-1</f>
        <v/>
      </c>
      <c r="Q5" s="95">
        <f>(1+INDEX(finrate_coe,Q4))*(1+INDEX(finrate_infl,Q4))-1</f>
        <v/>
      </c>
      <c r="R5" s="95">
        <f>(1+INDEX(finrate_coe,R4))*(1+INDEX(finrate_infl,R4))-1</f>
        <v/>
      </c>
      <c r="S5" s="95">
        <f>(1+INDEX(finrate_coe,S4))*(1+INDEX(finrate_infl,S4))-1</f>
        <v/>
      </c>
      <c r="T5" s="95">
        <f>(1+INDEX(finrate_coe,T4))*(1+INDEX(finrate_infl,T4))-1</f>
        <v/>
      </c>
      <c r="U5" s="95">
        <f>(1+INDEX(finrate_coe,U4))*(1+INDEX(finrate_infl,U4))-1</f>
        <v/>
      </c>
      <c r="V5" s="95">
        <f>(1+INDEX(finrate_coe,V4))*(1+INDEX(finrate_infl,V4))-1</f>
        <v/>
      </c>
      <c r="W5" s="95">
        <f>(1+INDEX(finrate_coe,W4))*(1+INDEX(finrate_infl,W4))-1</f>
        <v/>
      </c>
      <c r="X5" s="95">
        <f>(1+INDEX(finrate_coe,X4))*(1+INDEX(finrate_infl,X4))-1</f>
        <v/>
      </c>
      <c r="Y5" s="95">
        <f>(1+INDEX(finrate_coe,Y4))*(1+INDEX(finrate_infl,Y4))-1</f>
        <v/>
      </c>
      <c r="Z5" s="95">
        <f>(1+INDEX(finrate_coe,Z4))*(1+INDEX(finrate_infl,Z4))-1</f>
        <v/>
      </c>
      <c r="AA5" s="95">
        <f>(1+INDEX(finrate_coe,AA4))*(1+INDEX(finrate_infl,AA4))-1</f>
        <v/>
      </c>
      <c r="AB5" s="95">
        <f>(1+INDEX(finrate_coe,AB4))*(1+INDEX(finrate_infl,AB4))-1</f>
        <v/>
      </c>
      <c r="AC5" s="95">
        <f>(1+INDEX(finrate_coe,AC4))*(1+INDEX(finrate_infl,AC4))-1</f>
        <v/>
      </c>
      <c r="AD5" s="95">
        <f>(1+INDEX(finrate_coe,AD4))*(1+INDEX(finrate_infl,AD4))-1</f>
        <v/>
      </c>
      <c r="AE5" s="95">
        <f>(1+INDEX(finrate_coe,AE4))*(1+INDEX(finrate_infl,AE4))-1</f>
        <v/>
      </c>
      <c r="AF5" s="95">
        <f>(1+INDEX(finrate_coe,AF4))*(1+INDEX(finrate_infl,AF4))-1</f>
        <v/>
      </c>
    </row>
    <row r="6" ht="15" customHeight="1" s="62">
      <c r="A6" s="86" t="inlineStr">
        <is>
          <t>ρD (finrate_cod)</t>
        </is>
      </c>
      <c r="C6" s="112">
        <f>(1+INDEX(finrate_cod,C4))*(1+INDEX(finrate_infl,C4))-1</f>
        <v/>
      </c>
      <c r="D6" s="112">
        <f>(1+INDEX(finrate_cod,D4))*(1+INDEX(finrate_infl,D4))-1</f>
        <v/>
      </c>
      <c r="E6" s="112">
        <f>(1+INDEX(finrate_cod,E4))*(1+INDEX(finrate_infl,E4))-1</f>
        <v/>
      </c>
      <c r="F6" s="112">
        <f>(1+INDEX(finrate_cod,F4))*(1+INDEX(finrate_infl,F4))-1</f>
        <v/>
      </c>
      <c r="G6" s="112">
        <f>(1+INDEX(finrate_cod,G4))*(1+INDEX(finrate_infl,G4))-1</f>
        <v/>
      </c>
      <c r="H6" s="112">
        <f>(1+INDEX(finrate_cod,H4))*(1+INDEX(finrate_infl,H4))-1</f>
        <v/>
      </c>
      <c r="I6" s="112">
        <f>(1+INDEX(finrate_cod,I4))*(1+INDEX(finrate_infl,I4))-1</f>
        <v/>
      </c>
      <c r="J6" s="112">
        <f>(1+INDEX(finrate_cod,J4))*(1+INDEX(finrate_infl,J4))-1</f>
        <v/>
      </c>
      <c r="K6" s="112">
        <f>(1+INDEX(finrate_cod,K4))*(1+INDEX(finrate_infl,K4))-1</f>
        <v/>
      </c>
      <c r="L6" s="112">
        <f>(1+INDEX(finrate_cod,L4))*(1+INDEX(finrate_infl,L4))-1</f>
        <v/>
      </c>
      <c r="M6" s="112">
        <f>(1+INDEX(finrate_cod,M4))*(1+INDEX(finrate_infl,M4))-1</f>
        <v/>
      </c>
      <c r="N6" s="112">
        <f>(1+INDEX(finrate_cod,N4))*(1+INDEX(finrate_infl,N4))-1</f>
        <v/>
      </c>
      <c r="O6" s="112">
        <f>(1+INDEX(finrate_cod,O4))*(1+INDEX(finrate_infl,O4))-1</f>
        <v/>
      </c>
      <c r="P6" s="95">
        <f>(1+INDEX(finrate_cod,P4))*(1+INDEX(finrate_infl,P4))-1</f>
        <v/>
      </c>
      <c r="Q6" s="95">
        <f>(1+INDEX(finrate_cod,Q4))*(1+INDEX(finrate_infl,Q4))-1</f>
        <v/>
      </c>
      <c r="R6" s="95">
        <f>(1+INDEX(finrate_cod,R4))*(1+INDEX(finrate_infl,R4))-1</f>
        <v/>
      </c>
      <c r="S6" s="95">
        <f>(1+INDEX(finrate_cod,S4))*(1+INDEX(finrate_infl,S4))-1</f>
        <v/>
      </c>
      <c r="T6" s="95">
        <f>(1+INDEX(finrate_cod,T4))*(1+INDEX(finrate_infl,T4))-1</f>
        <v/>
      </c>
      <c r="U6" s="95">
        <f>(1+INDEX(finrate_cod,U4))*(1+INDEX(finrate_infl,U4))-1</f>
        <v/>
      </c>
      <c r="V6" s="95">
        <f>(1+INDEX(finrate_cod,V4))*(1+INDEX(finrate_infl,V4))-1</f>
        <v/>
      </c>
      <c r="W6" s="95">
        <f>(1+INDEX(finrate_cod,W4))*(1+INDEX(finrate_infl,W4))-1</f>
        <v/>
      </c>
      <c r="X6" s="95">
        <f>(1+INDEX(finrate_cod,X4))*(1+INDEX(finrate_infl,X4))-1</f>
        <v/>
      </c>
      <c r="Y6" s="95">
        <f>(1+INDEX(finrate_cod,Y4))*(1+INDEX(finrate_infl,Y4))-1</f>
        <v/>
      </c>
      <c r="Z6" s="95">
        <f>(1+INDEX(finrate_cod,Z4))*(1+INDEX(finrate_infl,Z4))-1</f>
        <v/>
      </c>
      <c r="AA6" s="95">
        <f>(1+INDEX(finrate_cod,AA4))*(1+INDEX(finrate_infl,AA4))-1</f>
        <v/>
      </c>
      <c r="AB6" s="95">
        <f>(1+INDEX(finrate_cod,AB4))*(1+INDEX(finrate_infl,AB4))-1</f>
        <v/>
      </c>
      <c r="AC6" s="95">
        <f>(1+INDEX(finrate_cod,AC4))*(1+INDEX(finrate_infl,AC4))-1</f>
        <v/>
      </c>
      <c r="AD6" s="95">
        <f>(1+INDEX(finrate_cod,AD4))*(1+INDEX(finrate_infl,AD4))-1</f>
        <v/>
      </c>
      <c r="AE6" s="95">
        <f>(1+INDEX(finrate_cod,AE4))*(1+INDEX(finrate_infl,AE4))-1</f>
        <v/>
      </c>
      <c r="AF6" s="95">
        <f>(1+INDEX(finrate_cod,AF4))*(1+INDEX(finrate_infl,AF4))-1</f>
        <v/>
      </c>
    </row>
    <row r="7" ht="15" customHeight="1" s="62">
      <c r="A7" s="86" t="inlineStr">
        <is>
          <t>NI</t>
        </is>
      </c>
      <c r="B7" s="101">
        <f>anchor_ni0</f>
        <v/>
      </c>
      <c r="C7" s="101">
        <f>INDEX(fc_ni,C4)</f>
        <v/>
      </c>
      <c r="D7" s="101">
        <f>INDEX(fc_ni,D4)</f>
        <v/>
      </c>
      <c r="E7" s="101">
        <f>INDEX(fc_ni,E4)</f>
        <v/>
      </c>
      <c r="F7" s="101">
        <f>INDEX(fc_ni,F4)</f>
        <v/>
      </c>
      <c r="G7" s="101">
        <f>INDEX(fc_ni,G4)</f>
        <v/>
      </c>
      <c r="H7" s="101">
        <f>INDEX(fc_ni,H4)</f>
        <v/>
      </c>
      <c r="I7" s="101">
        <f>INDEX(fc_ni,I4)</f>
        <v/>
      </c>
      <c r="J7" s="101">
        <f>INDEX(fc_ni,J4)</f>
        <v/>
      </c>
      <c r="K7" s="101">
        <f>INDEX(fc_ni,K4)</f>
        <v/>
      </c>
      <c r="L7" s="101">
        <f>INDEX(fc_ni,L4)</f>
        <v/>
      </c>
      <c r="M7" s="101">
        <f>INDEX(fc_ni,M4)</f>
        <v/>
      </c>
      <c r="N7" s="101">
        <f>INDEX(fc_ni,N4)</f>
        <v/>
      </c>
      <c r="O7" s="101">
        <f>INDEX(fc_ni,O4)</f>
        <v/>
      </c>
      <c r="P7" s="86">
        <f>INDEX(fc_ni,P4)</f>
        <v/>
      </c>
      <c r="Q7" s="86">
        <f>INDEX(fc_ni,Q4)</f>
        <v/>
      </c>
      <c r="R7" s="86">
        <f>INDEX(fc_ni,R4)</f>
        <v/>
      </c>
      <c r="S7" s="86">
        <f>INDEX(fc_ni,S4)</f>
        <v/>
      </c>
      <c r="T7" s="86">
        <f>INDEX(fc_ni,T4)</f>
        <v/>
      </c>
      <c r="U7" s="86">
        <f>INDEX(fc_ni,U4)</f>
        <v/>
      </c>
      <c r="V7" s="86">
        <f>INDEX(fc_ni,V4)</f>
        <v/>
      </c>
      <c r="W7" s="86">
        <f>INDEX(fc_ni,W4)</f>
        <v/>
      </c>
      <c r="X7" s="86">
        <f>INDEX(fc_ni,X4)</f>
        <v/>
      </c>
      <c r="Y7" s="86">
        <f>INDEX(fc_ni,Y4)</f>
        <v/>
      </c>
      <c r="Z7" s="86">
        <f>INDEX(fc_ni,Z4)</f>
        <v/>
      </c>
      <c r="AA7" s="86">
        <f>INDEX(fc_ni,AA4)</f>
        <v/>
      </c>
      <c r="AB7" s="86">
        <f>INDEX(fc_ni,AB4)</f>
        <v/>
      </c>
      <c r="AC7" s="86">
        <f>INDEX(fc_ni,AC4)</f>
        <v/>
      </c>
      <c r="AD7" s="86">
        <f>INDEX(fc_ni,AD4)</f>
        <v/>
      </c>
      <c r="AE7" s="86">
        <f>INDEX(fc_ni,AE4)</f>
        <v/>
      </c>
      <c r="AF7" s="86">
        <f>INDEX(fc_ni,AF4)</f>
        <v/>
      </c>
    </row>
    <row r="8" ht="15" customHeight="1" s="62">
      <c r="A8" s="86" t="inlineStr">
        <is>
          <t>OI after tax</t>
        </is>
      </c>
      <c r="B8" s="101">
        <f>anchor_oi_at0</f>
        <v/>
      </c>
      <c r="C8" s="101">
        <f>INDEX(fc_oiat,C4)</f>
        <v/>
      </c>
      <c r="D8" s="101">
        <f>INDEX(fc_oiat,D4)</f>
        <v/>
      </c>
      <c r="E8" s="101">
        <f>INDEX(fc_oiat,E4)</f>
        <v/>
      </c>
      <c r="F8" s="101">
        <f>INDEX(fc_oiat,F4)</f>
        <v/>
      </c>
      <c r="G8" s="101">
        <f>INDEX(fc_oiat,G4)</f>
        <v/>
      </c>
      <c r="H8" s="101">
        <f>INDEX(fc_oiat,H4)</f>
        <v/>
      </c>
      <c r="I8" s="101">
        <f>INDEX(fc_oiat,I4)</f>
        <v/>
      </c>
      <c r="J8" s="101">
        <f>INDEX(fc_oiat,J4)</f>
        <v/>
      </c>
      <c r="K8" s="101">
        <f>INDEX(fc_oiat,K4)</f>
        <v/>
      </c>
      <c r="L8" s="101">
        <f>INDEX(fc_oiat,L4)</f>
        <v/>
      </c>
      <c r="M8" s="101">
        <f>INDEX(fc_oiat,M4)</f>
        <v/>
      </c>
      <c r="N8" s="101">
        <f>INDEX(fc_oiat,N4)</f>
        <v/>
      </c>
      <c r="O8" s="101">
        <f>INDEX(fc_oiat,O4)</f>
        <v/>
      </c>
      <c r="P8" s="86">
        <f>INDEX(fc_oiat,P4)</f>
        <v/>
      </c>
      <c r="Q8" s="86">
        <f>INDEX(fc_oiat,Q4)</f>
        <v/>
      </c>
      <c r="R8" s="86">
        <f>INDEX(fc_oiat,R4)</f>
        <v/>
      </c>
      <c r="S8" s="86">
        <f>INDEX(fc_oiat,S4)</f>
        <v/>
      </c>
      <c r="T8" s="86">
        <f>INDEX(fc_oiat,T4)</f>
        <v/>
      </c>
      <c r="U8" s="86">
        <f>INDEX(fc_oiat,U4)</f>
        <v/>
      </c>
      <c r="V8" s="86">
        <f>INDEX(fc_oiat,V4)</f>
        <v/>
      </c>
      <c r="W8" s="86">
        <f>INDEX(fc_oiat,W4)</f>
        <v/>
      </c>
      <c r="X8" s="86">
        <f>INDEX(fc_oiat,X4)</f>
        <v/>
      </c>
      <c r="Y8" s="86">
        <f>INDEX(fc_oiat,Y4)</f>
        <v/>
      </c>
      <c r="Z8" s="86">
        <f>INDEX(fc_oiat,Z4)</f>
        <v/>
      </c>
      <c r="AA8" s="86">
        <f>INDEX(fc_oiat,AA4)</f>
        <v/>
      </c>
      <c r="AB8" s="86">
        <f>INDEX(fc_oiat,AB4)</f>
        <v/>
      </c>
      <c r="AC8" s="86">
        <f>INDEX(fc_oiat,AC4)</f>
        <v/>
      </c>
      <c r="AD8" s="86">
        <f>INDEX(fc_oiat,AD4)</f>
        <v/>
      </c>
      <c r="AE8" s="86">
        <f>INDEX(fc_oiat,AE4)</f>
        <v/>
      </c>
      <c r="AF8" s="86">
        <f>INDEX(fc_oiat,AF4)</f>
        <v/>
      </c>
    </row>
    <row r="9" ht="15" customHeight="1" s="62">
      <c r="A9" s="86" t="inlineStr">
        <is>
          <t>CSE</t>
        </is>
      </c>
      <c r="B9" s="101">
        <f>anchor_real_cse0</f>
        <v/>
      </c>
      <c r="C9" s="101">
        <f>INDEX(fc_cse,C4)</f>
        <v/>
      </c>
      <c r="D9" s="101">
        <f>INDEX(fc_cse,D4)</f>
        <v/>
      </c>
      <c r="E9" s="101">
        <f>INDEX(fc_cse,E4)</f>
        <v/>
      </c>
      <c r="F9" s="101">
        <f>INDEX(fc_cse,F4)</f>
        <v/>
      </c>
      <c r="G9" s="101">
        <f>INDEX(fc_cse,G4)</f>
        <v/>
      </c>
      <c r="H9" s="101">
        <f>INDEX(fc_cse,H4)</f>
        <v/>
      </c>
      <c r="I9" s="101">
        <f>INDEX(fc_cse,I4)</f>
        <v/>
      </c>
      <c r="J9" s="101">
        <f>INDEX(fc_cse,J4)</f>
        <v/>
      </c>
      <c r="K9" s="101">
        <f>INDEX(fc_cse,K4)</f>
        <v/>
      </c>
      <c r="L9" s="101">
        <f>INDEX(fc_cse,L4)</f>
        <v/>
      </c>
      <c r="M9" s="101">
        <f>INDEX(fc_cse,M4)</f>
        <v/>
      </c>
      <c r="N9" s="101">
        <f>INDEX(fc_cse,N4)</f>
        <v/>
      </c>
      <c r="O9" s="101">
        <f>INDEX(fc_cse,O4)</f>
        <v/>
      </c>
      <c r="P9" s="86">
        <f>INDEX(fc_cse,P4)</f>
        <v/>
      </c>
      <c r="Q9" s="86">
        <f>INDEX(fc_cse,Q4)</f>
        <v/>
      </c>
      <c r="R9" s="86">
        <f>INDEX(fc_cse,R4)</f>
        <v/>
      </c>
      <c r="S9" s="86">
        <f>INDEX(fc_cse,S4)</f>
        <v/>
      </c>
      <c r="T9" s="86">
        <f>INDEX(fc_cse,T4)</f>
        <v/>
      </c>
      <c r="U9" s="86">
        <f>INDEX(fc_cse,U4)</f>
        <v/>
      </c>
      <c r="V9" s="86">
        <f>INDEX(fc_cse,V4)</f>
        <v/>
      </c>
      <c r="W9" s="86">
        <f>INDEX(fc_cse,W4)</f>
        <v/>
      </c>
      <c r="X9" s="86">
        <f>INDEX(fc_cse,X4)</f>
        <v/>
      </c>
      <c r="Y9" s="86">
        <f>INDEX(fc_cse,Y4)</f>
        <v/>
      </c>
      <c r="Z9" s="86">
        <f>INDEX(fc_cse,Z4)</f>
        <v/>
      </c>
      <c r="AA9" s="86">
        <f>INDEX(fc_cse,AA4)</f>
        <v/>
      </c>
      <c r="AB9" s="86">
        <f>INDEX(fc_cse,AB4)</f>
        <v/>
      </c>
      <c r="AC9" s="86">
        <f>INDEX(fc_cse,AC4)</f>
        <v/>
      </c>
      <c r="AD9" s="86">
        <f>INDEX(fc_cse,AD4)</f>
        <v/>
      </c>
      <c r="AE9" s="86">
        <f>INDEX(fc_cse,AE4)</f>
        <v/>
      </c>
      <c r="AF9" s="86">
        <f>INDEX(fc_cse,AF4)</f>
        <v/>
      </c>
    </row>
    <row r="10" ht="15" customHeight="1" s="62">
      <c r="A10" s="86" t="inlineStr">
        <is>
          <t>NOA</t>
        </is>
      </c>
      <c r="B10" s="101">
        <f>anchor_real_noa0</f>
        <v/>
      </c>
      <c r="C10" s="101">
        <f>INDEX(fc_noa,C4)</f>
        <v/>
      </c>
      <c r="D10" s="101">
        <f>INDEX(fc_noa,D4)</f>
        <v/>
      </c>
      <c r="E10" s="101">
        <f>INDEX(fc_noa,E4)</f>
        <v/>
      </c>
      <c r="F10" s="101">
        <f>INDEX(fc_noa,F4)</f>
        <v/>
      </c>
      <c r="G10" s="101">
        <f>INDEX(fc_noa,G4)</f>
        <v/>
      </c>
      <c r="H10" s="101">
        <f>INDEX(fc_noa,H4)</f>
        <v/>
      </c>
      <c r="I10" s="101">
        <f>INDEX(fc_noa,I4)</f>
        <v/>
      </c>
      <c r="J10" s="101">
        <f>INDEX(fc_noa,J4)</f>
        <v/>
      </c>
      <c r="K10" s="101">
        <f>INDEX(fc_noa,K4)</f>
        <v/>
      </c>
      <c r="L10" s="101">
        <f>INDEX(fc_noa,L4)</f>
        <v/>
      </c>
      <c r="M10" s="101">
        <f>INDEX(fc_noa,M4)</f>
        <v/>
      </c>
      <c r="N10" s="101">
        <f>INDEX(fc_noa,N4)</f>
        <v/>
      </c>
      <c r="O10" s="101">
        <f>INDEX(fc_noa,O4)</f>
        <v/>
      </c>
      <c r="P10" s="86">
        <f>INDEX(fc_noa,P4)</f>
        <v/>
      </c>
      <c r="Q10" s="86">
        <f>INDEX(fc_noa,Q4)</f>
        <v/>
      </c>
      <c r="R10" s="86">
        <f>INDEX(fc_noa,R4)</f>
        <v/>
      </c>
      <c r="S10" s="86">
        <f>INDEX(fc_noa,S4)</f>
        <v/>
      </c>
      <c r="T10" s="86">
        <f>INDEX(fc_noa,T4)</f>
        <v/>
      </c>
      <c r="U10" s="86">
        <f>INDEX(fc_noa,U4)</f>
        <v/>
      </c>
      <c r="V10" s="86">
        <f>INDEX(fc_noa,V4)</f>
        <v/>
      </c>
      <c r="W10" s="86">
        <f>INDEX(fc_noa,W4)</f>
        <v/>
      </c>
      <c r="X10" s="86">
        <f>INDEX(fc_noa,X4)</f>
        <v/>
      </c>
      <c r="Y10" s="86">
        <f>INDEX(fc_noa,Y4)</f>
        <v/>
      </c>
      <c r="Z10" s="86">
        <f>INDEX(fc_noa,Z4)</f>
        <v/>
      </c>
      <c r="AA10" s="86">
        <f>INDEX(fc_noa,AA4)</f>
        <v/>
      </c>
      <c r="AB10" s="86">
        <f>INDEX(fc_noa,AB4)</f>
        <v/>
      </c>
      <c r="AC10" s="86">
        <f>INDEX(fc_noa,AC4)</f>
        <v/>
      </c>
      <c r="AD10" s="86">
        <f>INDEX(fc_noa,AD4)</f>
        <v/>
      </c>
      <c r="AE10" s="86">
        <f>INDEX(fc_noa,AE4)</f>
        <v/>
      </c>
      <c r="AF10" s="86">
        <f>INDEX(fc_noa,AF4)</f>
        <v/>
      </c>
    </row>
    <row r="11" ht="15" customHeight="1" s="62">
      <c r="A11" s="86" t="inlineStr">
        <is>
          <t>NFO</t>
        </is>
      </c>
      <c r="B11" s="101">
        <f>anchor_real_nfo0</f>
        <v/>
      </c>
      <c r="C11" s="101">
        <f>INDEX(fc_nfo,C4)</f>
        <v/>
      </c>
      <c r="D11" s="101">
        <f>INDEX(fc_nfo,D4)</f>
        <v/>
      </c>
      <c r="E11" s="101">
        <f>INDEX(fc_nfo,E4)</f>
        <v/>
      </c>
      <c r="F11" s="101">
        <f>INDEX(fc_nfo,F4)</f>
        <v/>
      </c>
      <c r="G11" s="101">
        <f>INDEX(fc_nfo,G4)</f>
        <v/>
      </c>
      <c r="H11" s="101">
        <f>INDEX(fc_nfo,H4)</f>
        <v/>
      </c>
      <c r="I11" s="101">
        <f>INDEX(fc_nfo,I4)</f>
        <v/>
      </c>
      <c r="J11" s="101">
        <f>INDEX(fc_nfo,J4)</f>
        <v/>
      </c>
      <c r="K11" s="101">
        <f>INDEX(fc_nfo,K4)</f>
        <v/>
      </c>
      <c r="L11" s="101">
        <f>INDEX(fc_nfo,L4)</f>
        <v/>
      </c>
      <c r="M11" s="101">
        <f>INDEX(fc_nfo,M4)</f>
        <v/>
      </c>
      <c r="N11" s="101">
        <f>INDEX(fc_nfo,N4)</f>
        <v/>
      </c>
      <c r="O11" s="101">
        <f>INDEX(fc_nfo,O4)</f>
        <v/>
      </c>
      <c r="P11" s="86">
        <f>INDEX(fc_nfo,P4)</f>
        <v/>
      </c>
      <c r="Q11" s="86">
        <f>INDEX(fc_nfo,Q4)</f>
        <v/>
      </c>
      <c r="R11" s="86">
        <f>INDEX(fc_nfo,R4)</f>
        <v/>
      </c>
      <c r="S11" s="86">
        <f>INDEX(fc_nfo,S4)</f>
        <v/>
      </c>
      <c r="T11" s="86">
        <f>INDEX(fc_nfo,T4)</f>
        <v/>
      </c>
      <c r="U11" s="86">
        <f>INDEX(fc_nfo,U4)</f>
        <v/>
      </c>
      <c r="V11" s="86">
        <f>INDEX(fc_nfo,V4)</f>
        <v/>
      </c>
      <c r="W11" s="86">
        <f>INDEX(fc_nfo,W4)</f>
        <v/>
      </c>
      <c r="X11" s="86">
        <f>INDEX(fc_nfo,X4)</f>
        <v/>
      </c>
      <c r="Y11" s="86">
        <f>INDEX(fc_nfo,Y4)</f>
        <v/>
      </c>
      <c r="Z11" s="86">
        <f>INDEX(fc_nfo,Z4)</f>
        <v/>
      </c>
      <c r="AA11" s="86">
        <f>INDEX(fc_nfo,AA4)</f>
        <v/>
      </c>
      <c r="AB11" s="86">
        <f>INDEX(fc_nfo,AB4)</f>
        <v/>
      </c>
      <c r="AC11" s="86">
        <f>INDEX(fc_nfo,AC4)</f>
        <v/>
      </c>
      <c r="AD11" s="86">
        <f>INDEX(fc_nfo,AD4)</f>
        <v/>
      </c>
      <c r="AE11" s="86">
        <f>INDEX(fc_nfo,AE4)</f>
        <v/>
      </c>
      <c r="AF11" s="86">
        <f>INDEX(fc_nfo,AF4)</f>
        <v/>
      </c>
    </row>
    <row r="12" ht="15" customHeight="1" s="62">
      <c r="A12" s="86" t="inlineStr">
        <is>
          <t>NFE = OI_at − NI</t>
        </is>
      </c>
      <c r="C12" s="101">
        <f>C8-C7</f>
        <v/>
      </c>
      <c r="D12" s="101">
        <f>D8-D7</f>
        <v/>
      </c>
      <c r="E12" s="101">
        <f>E8-E7</f>
        <v/>
      </c>
      <c r="F12" s="101">
        <f>F8-F7</f>
        <v/>
      </c>
      <c r="G12" s="101">
        <f>G8-G7</f>
        <v/>
      </c>
      <c r="H12" s="101">
        <f>H8-H7</f>
        <v/>
      </c>
      <c r="I12" s="101">
        <f>I8-I7</f>
        <v/>
      </c>
      <c r="J12" s="101">
        <f>J8-J7</f>
        <v/>
      </c>
      <c r="K12" s="101">
        <f>K8-K7</f>
        <v/>
      </c>
      <c r="L12" s="101">
        <f>L8-L7</f>
        <v/>
      </c>
      <c r="M12" s="101">
        <f>M8-M7</f>
        <v/>
      </c>
      <c r="N12" s="101">
        <f>N8-N7</f>
        <v/>
      </c>
      <c r="O12" s="101">
        <f>O8-O7</f>
        <v/>
      </c>
      <c r="P12" s="86">
        <f>P8-P7</f>
        <v/>
      </c>
      <c r="Q12" s="86">
        <f>Q8-Q7</f>
        <v/>
      </c>
      <c r="R12" s="86">
        <f>R8-R7</f>
        <v/>
      </c>
      <c r="S12" s="86">
        <f>S8-S7</f>
        <v/>
      </c>
      <c r="T12" s="86">
        <f>T8-T7</f>
        <v/>
      </c>
      <c r="U12" s="86">
        <f>U8-U7</f>
        <v/>
      </c>
      <c r="V12" s="86">
        <f>V8-V7</f>
        <v/>
      </c>
      <c r="W12" s="86">
        <f>W8-W7</f>
        <v/>
      </c>
      <c r="X12" s="86">
        <f>X8-X7</f>
        <v/>
      </c>
      <c r="Y12" s="86">
        <f>Y8-Y7</f>
        <v/>
      </c>
      <c r="Z12" s="86">
        <f>Z8-Z7</f>
        <v/>
      </c>
      <c r="AA12" s="86">
        <f>AA8-AA7</f>
        <v/>
      </c>
      <c r="AB12" s="86">
        <f>AB8-AB7</f>
        <v/>
      </c>
      <c r="AC12" s="86">
        <f>AC8-AC7</f>
        <v/>
      </c>
      <c r="AD12" s="86">
        <f>AD8-AD7</f>
        <v/>
      </c>
      <c r="AE12" s="86">
        <f>AE8-AE7</f>
        <v/>
      </c>
      <c r="AF12" s="86">
        <f>AF8-AF7</f>
        <v/>
      </c>
    </row>
    <row r="13" ht="15" customHeight="1" s="62">
      <c r="A13" s="86" t="inlineStr">
        <is>
          <t>FLEV = NFO/CSE (prior)</t>
        </is>
      </c>
      <c r="C13" s="105">
        <f>IF(B9=0,"",B11/B9)</f>
        <v/>
      </c>
      <c r="D13" s="105">
        <f>IF(C9=0,"",C11/C9)</f>
        <v/>
      </c>
      <c r="E13" s="105">
        <f>IF(D9=0,"",D11/D9)</f>
        <v/>
      </c>
      <c r="F13" s="105">
        <f>IF(E9=0,"",E11/E9)</f>
        <v/>
      </c>
      <c r="G13" s="105">
        <f>IF(F9=0,"",F11/F9)</f>
        <v/>
      </c>
      <c r="H13" s="105">
        <f>IF(G9=0,"",G11/G9)</f>
        <v/>
      </c>
      <c r="I13" s="105">
        <f>IF(H9=0,"",H11/H9)</f>
        <v/>
      </c>
      <c r="J13" s="105">
        <f>IF(I9=0,"",I11/I9)</f>
        <v/>
      </c>
      <c r="K13" s="105">
        <f>IF(J9=0,"",J11/J9)</f>
        <v/>
      </c>
      <c r="L13" s="105">
        <f>IF(K9=0,"",K11/K9)</f>
        <v/>
      </c>
      <c r="M13" s="105">
        <f>IF(L9=0,"",L11/L9)</f>
        <v/>
      </c>
      <c r="N13" s="105">
        <f>IF(M9=0,"",M11/M9)</f>
        <v/>
      </c>
      <c r="O13" s="105">
        <f>IF(N9=0,"",N11/N9)</f>
        <v/>
      </c>
      <c r="P13" s="86">
        <f>IF(O9=0,"",O11/O9)</f>
        <v/>
      </c>
      <c r="Q13" s="86">
        <f>IF(P9=0,"",P11/P9)</f>
        <v/>
      </c>
      <c r="R13" s="86">
        <f>IF(Q9=0,"",Q11/Q9)</f>
        <v/>
      </c>
      <c r="S13" s="86">
        <f>IF(R9=0,"",R11/R9)</f>
        <v/>
      </c>
      <c r="T13" s="86">
        <f>IF(S9=0,"",S11/S9)</f>
        <v/>
      </c>
      <c r="U13" s="86">
        <f>IF(T9=0,"",T11/T9)</f>
        <v/>
      </c>
      <c r="V13" s="86">
        <f>IF(U9=0,"",U11/U9)</f>
        <v/>
      </c>
      <c r="W13" s="86">
        <f>IF(V9=0,"",V11/V9)</f>
        <v/>
      </c>
      <c r="X13" s="86">
        <f>IF(W9=0,"",W11/W9)</f>
        <v/>
      </c>
      <c r="Y13" s="86">
        <f>IF(X9=0,"",X11/X9)</f>
        <v/>
      </c>
      <c r="Z13" s="86">
        <f>IF(Y9=0,"",Y11/Y9)</f>
        <v/>
      </c>
      <c r="AA13" s="86">
        <f>IF(Z9=0,"",Z11/Z9)</f>
        <v/>
      </c>
      <c r="AB13" s="86">
        <f>IF(AA9=0,"",AA11/AA9)</f>
        <v/>
      </c>
      <c r="AC13" s="86">
        <f>IF(AB9=0,"",AB11/AB9)</f>
        <v/>
      </c>
      <c r="AD13" s="86">
        <f>IF(AC9=0,"",AC11/AC9)</f>
        <v/>
      </c>
      <c r="AE13" s="86">
        <f>IF(AD9=0,"",AD11/AD9)</f>
        <v/>
      </c>
      <c r="AF13" s="86">
        <f>IF(AE9=0,"",AE11/AE9)</f>
        <v/>
      </c>
    </row>
    <row r="14" ht="15" customHeight="1" s="62">
      <c r="A14" s="86" t="inlineStr">
        <is>
          <t>ρF = (ρE+FLEV·ρD)/(1+FLEV)</t>
        </is>
      </c>
      <c r="C14" s="112">
        <f>IF(cfg_rf_mode="Single",(1+in_rf_single)*(1+INDEX(finrate_infl,C4))-1,(C5+C13*C6)/(1+C13))</f>
        <v/>
      </c>
      <c r="D14" s="112">
        <f>IF(cfg_rf_mode="Single",(1+in_rf_single)*(1+INDEX(finrate_infl,D4))-1,(D5+D13*D6)/(1+D13))</f>
        <v/>
      </c>
      <c r="E14" s="112">
        <f>IF(cfg_rf_mode="Single",(1+in_rf_single)*(1+INDEX(finrate_infl,E4))-1,(E5+E13*E6)/(1+E13))</f>
        <v/>
      </c>
      <c r="F14" s="112">
        <f>IF(cfg_rf_mode="Single",(1+in_rf_single)*(1+INDEX(finrate_infl,F4))-1,(F5+F13*F6)/(1+F13))</f>
        <v/>
      </c>
      <c r="G14" s="112">
        <f>IF(cfg_rf_mode="Single",(1+in_rf_single)*(1+INDEX(finrate_infl,G4))-1,(G5+G13*G6)/(1+G13))</f>
        <v/>
      </c>
      <c r="H14" s="112">
        <f>IF(cfg_rf_mode="Single",(1+in_rf_single)*(1+INDEX(finrate_infl,H4))-1,(H5+H13*H6)/(1+H13))</f>
        <v/>
      </c>
      <c r="I14" s="112">
        <f>IF(cfg_rf_mode="Single",(1+in_rf_single)*(1+INDEX(finrate_infl,I4))-1,(I5+I13*I6)/(1+I13))</f>
        <v/>
      </c>
      <c r="J14" s="112">
        <f>IF(cfg_rf_mode="Single",(1+in_rf_single)*(1+INDEX(finrate_infl,J4))-1,(J5+J13*J6)/(1+J13))</f>
        <v/>
      </c>
      <c r="K14" s="112">
        <f>IF(cfg_rf_mode="Single",(1+in_rf_single)*(1+INDEX(finrate_infl,K4))-1,(K5+K13*K6)/(1+K13))</f>
        <v/>
      </c>
      <c r="L14" s="112">
        <f>IF(cfg_rf_mode="Single",(1+in_rf_single)*(1+INDEX(finrate_infl,L4))-1,(L5+L13*L6)/(1+L13))</f>
        <v/>
      </c>
      <c r="M14" s="112">
        <f>IF(cfg_rf_mode="Single",(1+in_rf_single)*(1+INDEX(finrate_infl,M4))-1,(M5+M13*M6)/(1+M13))</f>
        <v/>
      </c>
      <c r="N14" s="112">
        <f>IF(cfg_rf_mode="Single",(1+in_rf_single)*(1+INDEX(finrate_infl,N4))-1,(N5+N13*N6)/(1+N13))</f>
        <v/>
      </c>
      <c r="O14" s="112">
        <f>IF(cfg_rf_mode="Single",(1+in_rf_single)*(1+INDEX(finrate_infl,O4))-1,(O5+O13*O6)/(1+O13))</f>
        <v/>
      </c>
      <c r="P14" s="86">
        <f>IF(cfg_rf_mode="Single",(1+in_rf_single)*(1+INDEX(finrate_infl,P4))-1,(P5+P13*P6)/(1+P13))</f>
        <v/>
      </c>
      <c r="Q14" s="86">
        <f>IF(cfg_rf_mode="Single",(1+in_rf_single)*(1+INDEX(finrate_infl,Q4))-1,(Q5+Q13*Q6)/(1+Q13))</f>
        <v/>
      </c>
      <c r="R14" s="86">
        <f>IF(cfg_rf_mode="Single",(1+in_rf_single)*(1+INDEX(finrate_infl,R4))-1,(R5+R13*R6)/(1+R13))</f>
        <v/>
      </c>
      <c r="S14" s="86">
        <f>IF(cfg_rf_mode="Single",(1+in_rf_single)*(1+INDEX(finrate_infl,S4))-1,(S5+S13*S6)/(1+S13))</f>
        <v/>
      </c>
      <c r="T14" s="86">
        <f>IF(cfg_rf_mode="Single",(1+in_rf_single)*(1+INDEX(finrate_infl,T4))-1,(T5+T13*T6)/(1+T13))</f>
        <v/>
      </c>
      <c r="U14" s="86">
        <f>IF(cfg_rf_mode="Single",(1+in_rf_single)*(1+INDEX(finrate_infl,U4))-1,(U5+U13*U6)/(1+U13))</f>
        <v/>
      </c>
      <c r="V14" s="86">
        <f>IF(cfg_rf_mode="Single",(1+in_rf_single)*(1+INDEX(finrate_infl,V4))-1,(V5+V13*V6)/(1+V13))</f>
        <v/>
      </c>
      <c r="W14" s="86">
        <f>IF(cfg_rf_mode="Single",(1+in_rf_single)*(1+INDEX(finrate_infl,W4))-1,(W5+W13*W6)/(1+W13))</f>
        <v/>
      </c>
      <c r="X14" s="86">
        <f>IF(cfg_rf_mode="Single",(1+in_rf_single)*(1+INDEX(finrate_infl,X4))-1,(X5+X13*X6)/(1+X13))</f>
        <v/>
      </c>
      <c r="Y14" s="86">
        <f>IF(cfg_rf_mode="Single",(1+in_rf_single)*(1+INDEX(finrate_infl,Y4))-1,(Y5+Y13*Y6)/(1+Y13))</f>
        <v/>
      </c>
      <c r="Z14" s="86">
        <f>IF(cfg_rf_mode="Single",(1+in_rf_single)*(1+INDEX(finrate_infl,Z4))-1,(Z5+Z13*Z6)/(1+Z13))</f>
        <v/>
      </c>
      <c r="AA14" s="86">
        <f>IF(cfg_rf_mode="Single",(1+in_rf_single)*(1+INDEX(finrate_infl,AA4))-1,(AA5+AA13*AA6)/(1+AA13))</f>
        <v/>
      </c>
      <c r="AB14" s="86">
        <f>IF(cfg_rf_mode="Single",(1+in_rf_single)*(1+INDEX(finrate_infl,AB4))-1,(AB5+AB13*AB6)/(1+AB13))</f>
        <v/>
      </c>
      <c r="AC14" s="86">
        <f>IF(cfg_rf_mode="Single",(1+in_rf_single)*(1+INDEX(finrate_infl,AC4))-1,(AC5+AC13*AC6)/(1+AC13))</f>
        <v/>
      </c>
      <c r="AD14" s="86">
        <f>IF(cfg_rf_mode="Single",(1+in_rf_single)*(1+INDEX(finrate_infl,AD4))-1,(AD5+AD13*AD6)/(1+AD13))</f>
        <v/>
      </c>
      <c r="AE14" s="86">
        <f>IF(cfg_rf_mode="Single",(1+in_rf_single)*(1+INDEX(finrate_infl,AE4))-1,(AE5+AE13*AE6)/(1+AE13))</f>
        <v/>
      </c>
      <c r="AF14" s="86">
        <f>IF(cfg_rf_mode="Single",(1+in_rf_single)*(1+INDEX(finrate_infl,AF4))-1,(AF5+AF13*AF6)/(1+AF13))</f>
        <v/>
      </c>
    </row>
    <row r="15" ht="15" customHeight="1" s="62">
      <c r="A15" s="86" t="inlineStr">
        <is>
          <t>DF^E</t>
        </is>
      </c>
      <c r="B15" s="100" t="n">
        <v>1</v>
      </c>
      <c r="C15" s="100">
        <f>B15/(1+C5)</f>
        <v/>
      </c>
      <c r="D15" s="100">
        <f>C15/(1+D5)</f>
        <v/>
      </c>
      <c r="E15" s="100">
        <f>D15/(1+E5)</f>
        <v/>
      </c>
      <c r="F15" s="100">
        <f>E15/(1+F5)</f>
        <v/>
      </c>
      <c r="G15" s="100">
        <f>F15/(1+G5)</f>
        <v/>
      </c>
      <c r="H15" s="100">
        <f>G15/(1+H5)</f>
        <v/>
      </c>
      <c r="I15" s="100">
        <f>H15/(1+I5)</f>
        <v/>
      </c>
      <c r="J15" s="100">
        <f>I15/(1+J5)</f>
        <v/>
      </c>
      <c r="K15" s="100">
        <f>J15/(1+K5)</f>
        <v/>
      </c>
      <c r="L15" s="100">
        <f>K15/(1+L5)</f>
        <v/>
      </c>
      <c r="M15" s="100">
        <f>L15/(1+M5)</f>
        <v/>
      </c>
      <c r="N15" s="100">
        <f>M15/(1+N5)</f>
        <v/>
      </c>
      <c r="O15" s="100">
        <f>N15/(1+O5)</f>
        <v/>
      </c>
      <c r="P15" s="86">
        <f>O15/(1+P5)</f>
        <v/>
      </c>
      <c r="Q15" s="86">
        <f>P15/(1+Q5)</f>
        <v/>
      </c>
      <c r="R15" s="86">
        <f>Q15/(1+R5)</f>
        <v/>
      </c>
      <c r="S15" s="86">
        <f>R15/(1+S5)</f>
        <v/>
      </c>
      <c r="T15" s="86">
        <f>S15/(1+T5)</f>
        <v/>
      </c>
      <c r="U15" s="86">
        <f>T15/(1+U5)</f>
        <v/>
      </c>
      <c r="V15" s="86">
        <f>U15/(1+V5)</f>
        <v/>
      </c>
      <c r="W15" s="86">
        <f>V15/(1+W5)</f>
        <v/>
      </c>
      <c r="X15" s="86">
        <f>W15/(1+X5)</f>
        <v/>
      </c>
      <c r="Y15" s="86">
        <f>X15/(1+Y5)</f>
        <v/>
      </c>
      <c r="Z15" s="86">
        <f>Y15/(1+Z5)</f>
        <v/>
      </c>
      <c r="AA15" s="86">
        <f>Z15/(1+AA5)</f>
        <v/>
      </c>
      <c r="AB15" s="86">
        <f>AA15/(1+AB5)</f>
        <v/>
      </c>
      <c r="AC15" s="86">
        <f>AB15/(1+AC5)</f>
        <v/>
      </c>
      <c r="AD15" s="86">
        <f>AC15/(1+AD5)</f>
        <v/>
      </c>
      <c r="AE15" s="86">
        <f>AD15/(1+AE5)</f>
        <v/>
      </c>
      <c r="AF15" s="86">
        <f>AE15/(1+AF5)</f>
        <v/>
      </c>
    </row>
    <row r="16" ht="15" customHeight="1" s="62">
      <c r="A16" s="86" t="inlineStr">
        <is>
          <t>DF^F</t>
        </is>
      </c>
      <c r="B16" s="100" t="n">
        <v>1</v>
      </c>
      <c r="C16" s="100">
        <f>B16/(1+C14)</f>
        <v/>
      </c>
      <c r="D16" s="100">
        <f>C16/(1+D14)</f>
        <v/>
      </c>
      <c r="E16" s="100">
        <f>D16/(1+E14)</f>
        <v/>
      </c>
      <c r="F16" s="100">
        <f>E16/(1+F14)</f>
        <v/>
      </c>
      <c r="G16" s="100">
        <f>F16/(1+G14)</f>
        <v/>
      </c>
      <c r="H16" s="100">
        <f>G16/(1+H14)</f>
        <v/>
      </c>
      <c r="I16" s="100">
        <f>H16/(1+I14)</f>
        <v/>
      </c>
      <c r="J16" s="100">
        <f>I16/(1+J14)</f>
        <v/>
      </c>
      <c r="K16" s="100">
        <f>J16/(1+K14)</f>
        <v/>
      </c>
      <c r="L16" s="100">
        <f>K16/(1+L14)</f>
        <v/>
      </c>
      <c r="M16" s="100">
        <f>L16/(1+M14)</f>
        <v/>
      </c>
      <c r="N16" s="100">
        <f>M16/(1+N14)</f>
        <v/>
      </c>
      <c r="O16" s="100">
        <f>N16/(1+O14)</f>
        <v/>
      </c>
      <c r="P16" s="86">
        <f>O16/(1+P14)</f>
        <v/>
      </c>
      <c r="Q16" s="86">
        <f>P16/(1+Q14)</f>
        <v/>
      </c>
      <c r="R16" s="86">
        <f>Q16/(1+R14)</f>
        <v/>
      </c>
      <c r="S16" s="86">
        <f>R16/(1+S14)</f>
        <v/>
      </c>
      <c r="T16" s="86">
        <f>S16/(1+T14)</f>
        <v/>
      </c>
      <c r="U16" s="86">
        <f>T16/(1+U14)</f>
        <v/>
      </c>
      <c r="V16" s="86">
        <f>U16/(1+V14)</f>
        <v/>
      </c>
      <c r="W16" s="86">
        <f>V16/(1+W14)</f>
        <v/>
      </c>
      <c r="X16" s="86">
        <f>W16/(1+X14)</f>
        <v/>
      </c>
      <c r="Y16" s="86">
        <f>X16/(1+Y14)</f>
        <v/>
      </c>
      <c r="Z16" s="86">
        <f>Y16/(1+Z14)</f>
        <v/>
      </c>
      <c r="AA16" s="86">
        <f>Z16/(1+AA14)</f>
        <v/>
      </c>
      <c r="AB16" s="86">
        <f>AA16/(1+AB14)</f>
        <v/>
      </c>
      <c r="AC16" s="86">
        <f>AB16/(1+AC14)</f>
        <v/>
      </c>
      <c r="AD16" s="86">
        <f>AC16/(1+AD14)</f>
        <v/>
      </c>
      <c r="AE16" s="86">
        <f>AD16/(1+AE14)</f>
        <v/>
      </c>
      <c r="AF16" s="86">
        <f>AE16/(1+AF14)</f>
        <v/>
      </c>
    </row>
    <row r="17" ht="15" customHeight="1" s="62">
      <c r="A17" s="86" t="inlineStr">
        <is>
          <t>DF^D</t>
        </is>
      </c>
      <c r="B17" s="100" t="n">
        <v>1</v>
      </c>
      <c r="C17" s="100">
        <f>B17/(1+C6)</f>
        <v/>
      </c>
      <c r="D17" s="100">
        <f>C17/(1+D6)</f>
        <v/>
      </c>
      <c r="E17" s="100">
        <f>D17/(1+E6)</f>
        <v/>
      </c>
      <c r="F17" s="100">
        <f>E17/(1+F6)</f>
        <v/>
      </c>
      <c r="G17" s="100">
        <f>F17/(1+G6)</f>
        <v/>
      </c>
      <c r="H17" s="100">
        <f>G17/(1+H6)</f>
        <v/>
      </c>
      <c r="I17" s="100">
        <f>H17/(1+I6)</f>
        <v/>
      </c>
      <c r="J17" s="100">
        <f>I17/(1+J6)</f>
        <v/>
      </c>
      <c r="K17" s="100">
        <f>J17/(1+K6)</f>
        <v/>
      </c>
      <c r="L17" s="100">
        <f>K17/(1+L6)</f>
        <v/>
      </c>
      <c r="M17" s="100">
        <f>L17/(1+M6)</f>
        <v/>
      </c>
      <c r="N17" s="100">
        <f>M17/(1+N6)</f>
        <v/>
      </c>
      <c r="O17" s="100">
        <f>N17/(1+O6)</f>
        <v/>
      </c>
      <c r="P17" s="86">
        <f>O17/(1+P6)</f>
        <v/>
      </c>
      <c r="Q17" s="86">
        <f>P17/(1+Q6)</f>
        <v/>
      </c>
      <c r="R17" s="86">
        <f>Q17/(1+R6)</f>
        <v/>
      </c>
      <c r="S17" s="86">
        <f>R17/(1+S6)</f>
        <v/>
      </c>
      <c r="T17" s="86">
        <f>S17/(1+T6)</f>
        <v/>
      </c>
      <c r="U17" s="86">
        <f>T17/(1+U6)</f>
        <v/>
      </c>
      <c r="V17" s="86">
        <f>U17/(1+V6)</f>
        <v/>
      </c>
      <c r="W17" s="86">
        <f>V17/(1+W6)</f>
        <v/>
      </c>
      <c r="X17" s="86">
        <f>W17/(1+X6)</f>
        <v/>
      </c>
      <c r="Y17" s="86">
        <f>X17/(1+Y6)</f>
        <v/>
      </c>
      <c r="Z17" s="86">
        <f>Y17/(1+Z6)</f>
        <v/>
      </c>
      <c r="AA17" s="86">
        <f>Z17/(1+AA6)</f>
        <v/>
      </c>
      <c r="AB17" s="86">
        <f>AA17/(1+AB6)</f>
        <v/>
      </c>
      <c r="AC17" s="86">
        <f>AB17/(1+AC6)</f>
        <v/>
      </c>
      <c r="AD17" s="86">
        <f>AC17/(1+AD6)</f>
        <v/>
      </c>
      <c r="AE17" s="86">
        <f>AD17/(1+AE6)</f>
        <v/>
      </c>
      <c r="AF17" s="86">
        <f>AE17/(1+AF6)</f>
        <v/>
      </c>
    </row>
    <row r="19" ht="15" customHeight="1" s="62">
      <c r="A19" s="83" t="inlineStr">
        <is>
          <t>FCF BUILD-UP</t>
        </is>
      </c>
      <c r="D19" s="68" t="inlineStr">
        <is>
          <t>FCFF = OI_at + D&amp;A − capex − ΔWC  ≡  OI_at − ΔNOA  (identity)</t>
        </is>
      </c>
    </row>
    <row r="20" ht="15" customHeight="1" s="62">
      <c r="A20" s="86" t="inlineStr">
        <is>
          <t>+ D&amp;A (economic)</t>
        </is>
      </c>
      <c r="C20" s="101">
        <f>INDEX(fc_dep,C4)</f>
        <v/>
      </c>
      <c r="D20" s="101">
        <f>INDEX(fc_dep,D4)</f>
        <v/>
      </c>
      <c r="E20" s="101">
        <f>INDEX(fc_dep,E4)</f>
        <v/>
      </c>
      <c r="F20" s="101">
        <f>INDEX(fc_dep,F4)</f>
        <v/>
      </c>
      <c r="G20" s="101">
        <f>INDEX(fc_dep,G4)</f>
        <v/>
      </c>
      <c r="H20" s="101">
        <f>INDEX(fc_dep,H4)</f>
        <v/>
      </c>
      <c r="I20" s="101">
        <f>INDEX(fc_dep,I4)</f>
        <v/>
      </c>
      <c r="J20" s="101">
        <f>INDEX(fc_dep,J4)</f>
        <v/>
      </c>
      <c r="K20" s="101">
        <f>INDEX(fc_dep,K4)</f>
        <v/>
      </c>
      <c r="L20" s="101">
        <f>INDEX(fc_dep,L4)</f>
        <v/>
      </c>
      <c r="M20" s="101">
        <f>INDEX(fc_dep,M4)</f>
        <v/>
      </c>
      <c r="N20" s="101">
        <f>INDEX(fc_dep,N4)</f>
        <v/>
      </c>
      <c r="O20" s="101">
        <f>INDEX(fc_dep,O4)</f>
        <v/>
      </c>
      <c r="P20" s="86">
        <f>INDEX(fc_dep,P4)</f>
        <v/>
      </c>
      <c r="Q20" s="86">
        <f>INDEX(fc_dep,Q4)</f>
        <v/>
      </c>
      <c r="R20" s="86">
        <f>INDEX(fc_dep,R4)</f>
        <v/>
      </c>
      <c r="S20" s="86">
        <f>INDEX(fc_dep,S4)</f>
        <v/>
      </c>
      <c r="T20" s="86">
        <f>INDEX(fc_dep,T4)</f>
        <v/>
      </c>
      <c r="U20" s="86">
        <f>INDEX(fc_dep,U4)</f>
        <v/>
      </c>
      <c r="V20" s="86">
        <f>INDEX(fc_dep,V4)</f>
        <v/>
      </c>
      <c r="W20" s="86">
        <f>INDEX(fc_dep,W4)</f>
        <v/>
      </c>
      <c r="X20" s="86">
        <f>INDEX(fc_dep,X4)</f>
        <v/>
      </c>
      <c r="Y20" s="86">
        <f>INDEX(fc_dep,Y4)</f>
        <v/>
      </c>
      <c r="Z20" s="86">
        <f>INDEX(fc_dep,Z4)</f>
        <v/>
      </c>
      <c r="AA20" s="86">
        <f>INDEX(fc_dep,AA4)</f>
        <v/>
      </c>
      <c r="AB20" s="86">
        <f>INDEX(fc_dep,AB4)</f>
        <v/>
      </c>
      <c r="AC20" s="86">
        <f>INDEX(fc_dep,AC4)</f>
        <v/>
      </c>
      <c r="AD20" s="86">
        <f>INDEX(fc_dep,AD4)</f>
        <v/>
      </c>
      <c r="AE20" s="86">
        <f>INDEX(fc_dep,AE4)</f>
        <v/>
      </c>
      <c r="AF20" s="86">
        <f>INDEX(fc_dep,AF4)</f>
        <v/>
      </c>
    </row>
    <row r="21" ht="15" customHeight="1" s="62">
      <c r="A21" s="86" t="inlineStr">
        <is>
          <t>− capex</t>
        </is>
      </c>
      <c r="C21" s="101">
        <f>INDEX(fc_capex,C4)</f>
        <v/>
      </c>
      <c r="D21" s="101">
        <f>INDEX(fc_capex,D4)</f>
        <v/>
      </c>
      <c r="E21" s="101">
        <f>INDEX(fc_capex,E4)</f>
        <v/>
      </c>
      <c r="F21" s="101">
        <f>INDEX(fc_capex,F4)</f>
        <v/>
      </c>
      <c r="G21" s="101">
        <f>INDEX(fc_capex,G4)</f>
        <v/>
      </c>
      <c r="H21" s="101">
        <f>INDEX(fc_capex,H4)</f>
        <v/>
      </c>
      <c r="I21" s="101">
        <f>INDEX(fc_capex,I4)</f>
        <v/>
      </c>
      <c r="J21" s="101">
        <f>INDEX(fc_capex,J4)</f>
        <v/>
      </c>
      <c r="K21" s="101">
        <f>INDEX(fc_capex,K4)</f>
        <v/>
      </c>
      <c r="L21" s="101">
        <f>INDEX(fc_capex,L4)</f>
        <v/>
      </c>
      <c r="M21" s="101">
        <f>INDEX(fc_capex,M4)</f>
        <v/>
      </c>
      <c r="N21" s="101">
        <f>INDEX(fc_capex,N4)</f>
        <v/>
      </c>
      <c r="O21" s="101">
        <f>INDEX(fc_capex,O4)</f>
        <v/>
      </c>
      <c r="P21" s="86">
        <f>INDEX(fc_capex,P4)</f>
        <v/>
      </c>
      <c r="Q21" s="86">
        <f>INDEX(fc_capex,Q4)</f>
        <v/>
      </c>
      <c r="R21" s="86">
        <f>INDEX(fc_capex,R4)</f>
        <v/>
      </c>
      <c r="S21" s="86">
        <f>INDEX(fc_capex,S4)</f>
        <v/>
      </c>
      <c r="T21" s="86">
        <f>INDEX(fc_capex,T4)</f>
        <v/>
      </c>
      <c r="U21" s="86">
        <f>INDEX(fc_capex,U4)</f>
        <v/>
      </c>
      <c r="V21" s="86">
        <f>INDEX(fc_capex,V4)</f>
        <v/>
      </c>
      <c r="W21" s="86">
        <f>INDEX(fc_capex,W4)</f>
        <v/>
      </c>
      <c r="X21" s="86">
        <f>INDEX(fc_capex,X4)</f>
        <v/>
      </c>
      <c r="Y21" s="86">
        <f>INDEX(fc_capex,Y4)</f>
        <v/>
      </c>
      <c r="Z21" s="86">
        <f>INDEX(fc_capex,Z4)</f>
        <v/>
      </c>
      <c r="AA21" s="86">
        <f>INDEX(fc_capex,AA4)</f>
        <v/>
      </c>
      <c r="AB21" s="86">
        <f>INDEX(fc_capex,AB4)</f>
        <v/>
      </c>
      <c r="AC21" s="86">
        <f>INDEX(fc_capex,AC4)</f>
        <v/>
      </c>
      <c r="AD21" s="86">
        <f>INDEX(fc_capex,AD4)</f>
        <v/>
      </c>
      <c r="AE21" s="86">
        <f>INDEX(fc_capex,AE4)</f>
        <v/>
      </c>
      <c r="AF21" s="86">
        <f>INDEX(fc_capex,AF4)</f>
        <v/>
      </c>
    </row>
    <row r="22" ht="15" customHeight="1" s="62">
      <c r="A22" s="86" t="inlineStr">
        <is>
          <t>− ΔWorking capital + other  (= ΔNOA − ΔNetPP&amp;E)</t>
        </is>
      </c>
      <c r="C22" s="101">
        <f>(C10-(1+INDEX(finrate_infl,C4))*B10)-(C21-C20)</f>
        <v/>
      </c>
      <c r="D22" s="101">
        <f>(D10-(1+INDEX(finrate_infl,D4))*C10)-(D21-D20)</f>
        <v/>
      </c>
      <c r="E22" s="101">
        <f>(E10-(1+INDEX(finrate_infl,E4))*D10)-(E21-E20)</f>
        <v/>
      </c>
      <c r="F22" s="101">
        <f>(F10-(1+INDEX(finrate_infl,F4))*E10)-(F21-F20)</f>
        <v/>
      </c>
      <c r="G22" s="101">
        <f>(G10-(1+INDEX(finrate_infl,G4))*F10)-(G21-G20)</f>
        <v/>
      </c>
      <c r="H22" s="101">
        <f>(H10-(1+INDEX(finrate_infl,H4))*G10)-(H21-H20)</f>
        <v/>
      </c>
      <c r="I22" s="101">
        <f>(I10-(1+INDEX(finrate_infl,I4))*H10)-(I21-I20)</f>
        <v/>
      </c>
      <c r="J22" s="101">
        <f>(J10-(1+INDEX(finrate_infl,J4))*I10)-(J21-J20)</f>
        <v/>
      </c>
      <c r="K22" s="101">
        <f>(K10-(1+INDEX(finrate_infl,K4))*J10)-(K21-K20)</f>
        <v/>
      </c>
      <c r="L22" s="101">
        <f>(L10-(1+INDEX(finrate_infl,L4))*K10)-(L21-L20)</f>
        <v/>
      </c>
      <c r="M22" s="101">
        <f>(M10-(1+INDEX(finrate_infl,M4))*L10)-(M21-M20)</f>
        <v/>
      </c>
      <c r="N22" s="101">
        <f>(N10-(1+INDEX(finrate_infl,N4))*M10)-(N21-N20)</f>
        <v/>
      </c>
      <c r="O22" s="101">
        <f>(O10-(1+INDEX(finrate_infl,O4))*N10)-(O21-O20)</f>
        <v/>
      </c>
      <c r="P22" s="86">
        <f>(P10-(1+INDEX(finrate_infl,P4))*O10)-(P21-P20)</f>
        <v/>
      </c>
      <c r="Q22" s="86">
        <f>(Q10-(1+INDEX(finrate_infl,Q4))*P10)-(Q21-Q20)</f>
        <v/>
      </c>
      <c r="R22" s="86">
        <f>(R10-(1+INDEX(finrate_infl,R4))*Q10)-(R21-R20)</f>
        <v/>
      </c>
      <c r="S22" s="86">
        <f>(S10-(1+INDEX(finrate_infl,S4))*R10)-(S21-S20)</f>
        <v/>
      </c>
      <c r="T22" s="86">
        <f>(T10-(1+INDEX(finrate_infl,T4))*S10)-(T21-T20)</f>
        <v/>
      </c>
      <c r="U22" s="86">
        <f>(U10-(1+INDEX(finrate_infl,U4))*T10)-(U21-U20)</f>
        <v/>
      </c>
      <c r="V22" s="86">
        <f>(V10-(1+INDEX(finrate_infl,V4))*U10)-(V21-V20)</f>
        <v/>
      </c>
      <c r="W22" s="86">
        <f>(W10-(1+INDEX(finrate_infl,W4))*V10)-(W21-W20)</f>
        <v/>
      </c>
      <c r="X22" s="86">
        <f>(X10-(1+INDEX(finrate_infl,X4))*W10)-(X21-X20)</f>
        <v/>
      </c>
      <c r="Y22" s="86">
        <f>(Y10-(1+INDEX(finrate_infl,Y4))*X10)-(Y21-Y20)</f>
        <v/>
      </c>
      <c r="Z22" s="86">
        <f>(Z10-(1+INDEX(finrate_infl,Z4))*Y10)-(Z21-Z20)</f>
        <v/>
      </c>
      <c r="AA22" s="86">
        <f>(AA10-(1+INDEX(finrate_infl,AA4))*Z10)-(AA21-AA20)</f>
        <v/>
      </c>
      <c r="AB22" s="86">
        <f>(AB10-(1+INDEX(finrate_infl,AB4))*AA10)-(AB21-AB20)</f>
        <v/>
      </c>
      <c r="AC22" s="86">
        <f>(AC10-(1+INDEX(finrate_infl,AC4))*AB10)-(AC21-AC20)</f>
        <v/>
      </c>
      <c r="AD22" s="86">
        <f>(AD10-(1+INDEX(finrate_infl,AD4))*AC10)-(AD21-AD20)</f>
        <v/>
      </c>
      <c r="AE22" s="86">
        <f>(AE10-(1+INDEX(finrate_infl,AE4))*AD10)-(AE21-AE20)</f>
        <v/>
      </c>
      <c r="AF22" s="86">
        <f>(AF10-(1+INDEX(finrate_infl,AF4))*AE10)-(AF21-AF20)</f>
        <v/>
      </c>
    </row>
    <row r="23" ht="15" customHeight="1" s="62">
      <c r="A23" s="86" t="inlineStr">
        <is>
          <t>FCFF = OI_at − ΔNOA</t>
        </is>
      </c>
      <c r="C23" s="101">
        <f>C8-(C10-(1+INDEX(finrate_infl,C4))*B10)</f>
        <v/>
      </c>
      <c r="D23" s="101">
        <f>D8-(D10-(1+INDEX(finrate_infl,D4))*C10)</f>
        <v/>
      </c>
      <c r="E23" s="101">
        <f>E8-(E10-(1+INDEX(finrate_infl,E4))*D10)</f>
        <v/>
      </c>
      <c r="F23" s="101">
        <f>F8-(F10-(1+INDEX(finrate_infl,F4))*E10)</f>
        <v/>
      </c>
      <c r="G23" s="101">
        <f>G8-(G10-(1+INDEX(finrate_infl,G4))*F10)</f>
        <v/>
      </c>
      <c r="H23" s="101">
        <f>H8-(H10-(1+INDEX(finrate_infl,H4))*G10)</f>
        <v/>
      </c>
      <c r="I23" s="101">
        <f>I8-(I10-(1+INDEX(finrate_infl,I4))*H10)</f>
        <v/>
      </c>
      <c r="J23" s="101">
        <f>J8-(J10-(1+INDEX(finrate_infl,J4))*I10)</f>
        <v/>
      </c>
      <c r="K23" s="101">
        <f>K8-(K10-(1+INDEX(finrate_infl,K4))*J10)</f>
        <v/>
      </c>
      <c r="L23" s="101">
        <f>L8-(L10-(1+INDEX(finrate_infl,L4))*K10)</f>
        <v/>
      </c>
      <c r="M23" s="101">
        <f>M8-(M10-(1+INDEX(finrate_infl,M4))*L10)</f>
        <v/>
      </c>
      <c r="N23" s="101">
        <f>N8-(N10-(1+INDEX(finrate_infl,N4))*M10)</f>
        <v/>
      </c>
      <c r="O23" s="101">
        <f>O8-(O10-(1+INDEX(finrate_infl,O4))*N10)</f>
        <v/>
      </c>
      <c r="P23" s="86">
        <f>P8-(P10-(1+INDEX(finrate_infl,P4))*O10)</f>
        <v/>
      </c>
      <c r="Q23" s="86">
        <f>Q8-(Q10-(1+INDEX(finrate_infl,Q4))*P10)</f>
        <v/>
      </c>
      <c r="R23" s="86">
        <f>R8-(R10-(1+INDEX(finrate_infl,R4))*Q10)</f>
        <v/>
      </c>
      <c r="S23" s="86">
        <f>S8-(S10-(1+INDEX(finrate_infl,S4))*R10)</f>
        <v/>
      </c>
      <c r="T23" s="86">
        <f>T8-(T10-(1+INDEX(finrate_infl,T4))*S10)</f>
        <v/>
      </c>
      <c r="U23" s="86">
        <f>U8-(U10-(1+INDEX(finrate_infl,U4))*T10)</f>
        <v/>
      </c>
      <c r="V23" s="86">
        <f>V8-(V10-(1+INDEX(finrate_infl,V4))*U10)</f>
        <v/>
      </c>
      <c r="W23" s="86">
        <f>W8-(W10-(1+INDEX(finrate_infl,W4))*V10)</f>
        <v/>
      </c>
      <c r="X23" s="86">
        <f>X8-(X10-(1+INDEX(finrate_infl,X4))*W10)</f>
        <v/>
      </c>
      <c r="Y23" s="86">
        <f>Y8-(Y10-(1+INDEX(finrate_infl,Y4))*X10)</f>
        <v/>
      </c>
      <c r="Z23" s="86">
        <f>Z8-(Z10-(1+INDEX(finrate_infl,Z4))*Y10)</f>
        <v/>
      </c>
      <c r="AA23" s="86">
        <f>AA8-(AA10-(1+INDEX(finrate_infl,AA4))*Z10)</f>
        <v/>
      </c>
      <c r="AB23" s="86">
        <f>AB8-(AB10-(1+INDEX(finrate_infl,AB4))*AA10)</f>
        <v/>
      </c>
      <c r="AC23" s="86">
        <f>AC8-(AC10-(1+INDEX(finrate_infl,AC4))*AB10)</f>
        <v/>
      </c>
      <c r="AD23" s="86">
        <f>AD8-(AD10-(1+INDEX(finrate_infl,AD4))*AC10)</f>
        <v/>
      </c>
      <c r="AE23" s="86">
        <f>AE8-(AE10-(1+INDEX(finrate_infl,AE4))*AD10)</f>
        <v/>
      </c>
      <c r="AF23" s="86">
        <f>AF8-(AF10-(1+INDEX(finrate_infl,AF4))*AE10)</f>
        <v/>
      </c>
    </row>
    <row r="24" ht="15" customHeight="1" s="62">
      <c r="A24" s="86" t="inlineStr">
        <is>
          <t>FCFE = NI − ΔCSE  (net distribution)</t>
        </is>
      </c>
      <c r="C24" s="101">
        <f>C7-(C9-(1+INDEX(finrate_infl,C4))*B9)</f>
        <v/>
      </c>
      <c r="D24" s="101">
        <f>D7-(D9-(1+INDEX(finrate_infl,D4))*C9)</f>
        <v/>
      </c>
      <c r="E24" s="101">
        <f>E7-(E9-(1+INDEX(finrate_infl,E4))*D9)</f>
        <v/>
      </c>
      <c r="F24" s="101">
        <f>F7-(F9-(1+INDEX(finrate_infl,F4))*E9)</f>
        <v/>
      </c>
      <c r="G24" s="101">
        <f>G7-(G9-(1+INDEX(finrate_infl,G4))*F9)</f>
        <v/>
      </c>
      <c r="H24" s="101">
        <f>H7-(H9-(1+INDEX(finrate_infl,H4))*G9)</f>
        <v/>
      </c>
      <c r="I24" s="101">
        <f>I7-(I9-(1+INDEX(finrate_infl,I4))*H9)</f>
        <v/>
      </c>
      <c r="J24" s="101">
        <f>J7-(J9-(1+INDEX(finrate_infl,J4))*I9)</f>
        <v/>
      </c>
      <c r="K24" s="101">
        <f>K7-(K9-(1+INDEX(finrate_infl,K4))*J9)</f>
        <v/>
      </c>
      <c r="L24" s="101">
        <f>L7-(L9-(1+INDEX(finrate_infl,L4))*K9)</f>
        <v/>
      </c>
      <c r="M24" s="101">
        <f>M7-(M9-(1+INDEX(finrate_infl,M4))*L9)</f>
        <v/>
      </c>
      <c r="N24" s="101">
        <f>N7-(N9-(1+INDEX(finrate_infl,N4))*M9)</f>
        <v/>
      </c>
      <c r="O24" s="101">
        <f>O7-(O9-(1+INDEX(finrate_infl,O4))*N9)</f>
        <v/>
      </c>
      <c r="P24" s="86">
        <f>P7-(P9-(1+INDEX(finrate_infl,P4))*O9)</f>
        <v/>
      </c>
      <c r="Q24" s="86">
        <f>Q7-(Q9-(1+INDEX(finrate_infl,Q4))*P9)</f>
        <v/>
      </c>
      <c r="R24" s="86">
        <f>R7-(R9-(1+INDEX(finrate_infl,R4))*Q9)</f>
        <v/>
      </c>
      <c r="S24" s="86">
        <f>S7-(S9-(1+INDEX(finrate_infl,S4))*R9)</f>
        <v/>
      </c>
      <c r="T24" s="86">
        <f>T7-(T9-(1+INDEX(finrate_infl,T4))*S9)</f>
        <v/>
      </c>
      <c r="U24" s="86">
        <f>U7-(U9-(1+INDEX(finrate_infl,U4))*T9)</f>
        <v/>
      </c>
      <c r="V24" s="86">
        <f>V7-(V9-(1+INDEX(finrate_infl,V4))*U9)</f>
        <v/>
      </c>
      <c r="W24" s="86">
        <f>W7-(W9-(1+INDEX(finrate_infl,W4))*V9)</f>
        <v/>
      </c>
      <c r="X24" s="86">
        <f>X7-(X9-(1+INDEX(finrate_infl,X4))*W9)</f>
        <v/>
      </c>
      <c r="Y24" s="86">
        <f>Y7-(Y9-(1+INDEX(finrate_infl,Y4))*X9)</f>
        <v/>
      </c>
      <c r="Z24" s="86">
        <f>Z7-(Z9-(1+INDEX(finrate_infl,Z4))*Y9)</f>
        <v/>
      </c>
      <c r="AA24" s="86">
        <f>AA7-(AA9-(1+INDEX(finrate_infl,AA4))*Z9)</f>
        <v/>
      </c>
      <c r="AB24" s="86">
        <f>AB7-(AB9-(1+INDEX(finrate_infl,AB4))*AA9)</f>
        <v/>
      </c>
      <c r="AC24" s="86">
        <f>AC7-(AC9-(1+INDEX(finrate_infl,AC4))*AB9)</f>
        <v/>
      </c>
      <c r="AD24" s="86">
        <f>AD7-(AD9-(1+INDEX(finrate_infl,AD4))*AC9)</f>
        <v/>
      </c>
      <c r="AE24" s="86">
        <f>AE7-(AE9-(1+INDEX(finrate_infl,AE4))*AD9)</f>
        <v/>
      </c>
      <c r="AF24" s="86">
        <f>AF7-(AF9-(1+INDEX(finrate_infl,AF4))*AE9)</f>
        <v/>
      </c>
    </row>
    <row r="25" ht="15" customHeight="1" s="62">
      <c r="A25" s="86" t="inlineStr">
        <is>
          <t>FCFD = NFE − ΔNFO</t>
        </is>
      </c>
      <c r="C25" s="101">
        <f>C12-(C11-(1+INDEX(finrate_infl,C4))*B11)</f>
        <v/>
      </c>
      <c r="D25" s="101">
        <f>D12-(D11-(1+INDEX(finrate_infl,D4))*C11)</f>
        <v/>
      </c>
      <c r="E25" s="101">
        <f>E12-(E11-(1+INDEX(finrate_infl,E4))*D11)</f>
        <v/>
      </c>
      <c r="F25" s="101">
        <f>F12-(F11-(1+INDEX(finrate_infl,F4))*E11)</f>
        <v/>
      </c>
      <c r="G25" s="101">
        <f>G12-(G11-(1+INDEX(finrate_infl,G4))*F11)</f>
        <v/>
      </c>
      <c r="H25" s="101">
        <f>H12-(H11-(1+INDEX(finrate_infl,H4))*G11)</f>
        <v/>
      </c>
      <c r="I25" s="101">
        <f>I12-(I11-(1+INDEX(finrate_infl,I4))*H11)</f>
        <v/>
      </c>
      <c r="J25" s="101">
        <f>J12-(J11-(1+INDEX(finrate_infl,J4))*I11)</f>
        <v/>
      </c>
      <c r="K25" s="101">
        <f>K12-(K11-(1+INDEX(finrate_infl,K4))*J11)</f>
        <v/>
      </c>
      <c r="L25" s="101">
        <f>L12-(L11-(1+INDEX(finrate_infl,L4))*K11)</f>
        <v/>
      </c>
      <c r="M25" s="101">
        <f>M12-(M11-(1+INDEX(finrate_infl,M4))*L11)</f>
        <v/>
      </c>
      <c r="N25" s="101">
        <f>N12-(N11-(1+INDEX(finrate_infl,N4))*M11)</f>
        <v/>
      </c>
      <c r="O25" s="101">
        <f>O12-(O11-(1+INDEX(finrate_infl,O4))*N11)</f>
        <v/>
      </c>
      <c r="P25" s="86">
        <f>P12-(P11-(1+INDEX(finrate_infl,P4))*O11)</f>
        <v/>
      </c>
      <c r="Q25" s="86">
        <f>Q12-(Q11-(1+INDEX(finrate_infl,Q4))*P11)</f>
        <v/>
      </c>
      <c r="R25" s="86">
        <f>R12-(R11-(1+INDEX(finrate_infl,R4))*Q11)</f>
        <v/>
      </c>
      <c r="S25" s="86">
        <f>S12-(S11-(1+INDEX(finrate_infl,S4))*R11)</f>
        <v/>
      </c>
      <c r="T25" s="86">
        <f>T12-(T11-(1+INDEX(finrate_infl,T4))*S11)</f>
        <v/>
      </c>
      <c r="U25" s="86">
        <f>U12-(U11-(1+INDEX(finrate_infl,U4))*T11)</f>
        <v/>
      </c>
      <c r="V25" s="86">
        <f>V12-(V11-(1+INDEX(finrate_infl,V4))*U11)</f>
        <v/>
      </c>
      <c r="W25" s="86">
        <f>W12-(W11-(1+INDEX(finrate_infl,W4))*V11)</f>
        <v/>
      </c>
      <c r="X25" s="86">
        <f>X12-(X11-(1+INDEX(finrate_infl,X4))*W11)</f>
        <v/>
      </c>
      <c r="Y25" s="86">
        <f>Y12-(Y11-(1+INDEX(finrate_infl,Y4))*X11)</f>
        <v/>
      </c>
      <c r="Z25" s="86">
        <f>Z12-(Z11-(1+INDEX(finrate_infl,Z4))*Y11)</f>
        <v/>
      </c>
      <c r="AA25" s="86">
        <f>AA12-(AA11-(1+INDEX(finrate_infl,AA4))*Z11)</f>
        <v/>
      </c>
      <c r="AB25" s="86">
        <f>AB12-(AB11-(1+INDEX(finrate_infl,AB4))*AA11)</f>
        <v/>
      </c>
      <c r="AC25" s="86">
        <f>AC12-(AC11-(1+INDEX(finrate_infl,AC4))*AB11)</f>
        <v/>
      </c>
      <c r="AD25" s="86">
        <f>AD12-(AD11-(1+INDEX(finrate_infl,AD4))*AC11)</f>
        <v/>
      </c>
      <c r="AE25" s="86">
        <f>AE12-(AE11-(1+INDEX(finrate_infl,AE4))*AD11)</f>
        <v/>
      </c>
      <c r="AF25" s="86">
        <f>AF12-(AF11-(1+INDEX(finrate_infl,AF4))*AE11)</f>
        <v/>
      </c>
    </row>
    <row r="27" ht="15" customHeight="1" s="62">
      <c r="A27" s="86" t="inlineStr">
        <is>
          <t>RI = NI − ρE·CSE(prior)</t>
        </is>
      </c>
      <c r="C27" s="101">
        <f>C7-(C5-INDEX(finrate_infl,C4))*B9</f>
        <v/>
      </c>
      <c r="D27" s="101">
        <f>D7-(D5-INDEX(finrate_infl,D4))*C9</f>
        <v/>
      </c>
      <c r="E27" s="101">
        <f>E7-(E5-INDEX(finrate_infl,E4))*D9</f>
        <v/>
      </c>
      <c r="F27" s="101">
        <f>F7-(F5-INDEX(finrate_infl,F4))*E9</f>
        <v/>
      </c>
      <c r="G27" s="101">
        <f>G7-(G5-INDEX(finrate_infl,G4))*F9</f>
        <v/>
      </c>
      <c r="H27" s="101">
        <f>H7-(H5-INDEX(finrate_infl,H4))*G9</f>
        <v/>
      </c>
      <c r="I27" s="101">
        <f>I7-(I5-INDEX(finrate_infl,I4))*H9</f>
        <v/>
      </c>
      <c r="J27" s="101">
        <f>J7-(J5-INDEX(finrate_infl,J4))*I9</f>
        <v/>
      </c>
      <c r="K27" s="101">
        <f>K7-(K5-INDEX(finrate_infl,K4))*J9</f>
        <v/>
      </c>
      <c r="L27" s="101">
        <f>L7-(L5-INDEX(finrate_infl,L4))*K9</f>
        <v/>
      </c>
      <c r="M27" s="101">
        <f>M7-(M5-INDEX(finrate_infl,M4))*L9</f>
        <v/>
      </c>
      <c r="N27" s="101">
        <f>N7-(N5-INDEX(finrate_infl,N4))*M9</f>
        <v/>
      </c>
      <c r="O27" s="101">
        <f>O7-(O5-INDEX(finrate_infl,O4))*N9</f>
        <v/>
      </c>
      <c r="P27" s="86">
        <f>P7-(P5-INDEX(finrate_infl,P4))*O9</f>
        <v/>
      </c>
      <c r="Q27" s="86">
        <f>Q7-(Q5-INDEX(finrate_infl,Q4))*P9</f>
        <v/>
      </c>
      <c r="R27" s="86">
        <f>R7-(R5-INDEX(finrate_infl,R4))*Q9</f>
        <v/>
      </c>
      <c r="S27" s="86">
        <f>S7-(S5-INDEX(finrate_infl,S4))*R9</f>
        <v/>
      </c>
      <c r="T27" s="86">
        <f>T7-(T5-INDEX(finrate_infl,T4))*S9</f>
        <v/>
      </c>
      <c r="U27" s="86">
        <f>U7-(U5-INDEX(finrate_infl,U4))*T9</f>
        <v/>
      </c>
      <c r="V27" s="86">
        <f>V7-(V5-INDEX(finrate_infl,V4))*U9</f>
        <v/>
      </c>
      <c r="W27" s="86">
        <f>W7-(W5-INDEX(finrate_infl,W4))*V9</f>
        <v/>
      </c>
      <c r="X27" s="86">
        <f>X7-(X5-INDEX(finrate_infl,X4))*W9</f>
        <v/>
      </c>
      <c r="Y27" s="86">
        <f>Y7-(Y5-INDEX(finrate_infl,Y4))*X9</f>
        <v/>
      </c>
      <c r="Z27" s="86">
        <f>Z7-(Z5-INDEX(finrate_infl,Z4))*Y9</f>
        <v/>
      </c>
      <c r="AA27" s="86">
        <f>AA7-(AA5-INDEX(finrate_infl,AA4))*Z9</f>
        <v/>
      </c>
      <c r="AB27" s="86">
        <f>AB7-(AB5-INDEX(finrate_infl,AB4))*AA9</f>
        <v/>
      </c>
      <c r="AC27" s="86">
        <f>AC7-(AC5-INDEX(finrate_infl,AC4))*AB9</f>
        <v/>
      </c>
      <c r="AD27" s="86">
        <f>AD7-(AD5-INDEX(finrate_infl,AD4))*AC9</f>
        <v/>
      </c>
      <c r="AE27" s="86">
        <f>AE7-(AE5-INDEX(finrate_infl,AE4))*AD9</f>
        <v/>
      </c>
      <c r="AF27" s="86">
        <f>AF7-(AF5-INDEX(finrate_infl,AF4))*AE9</f>
        <v/>
      </c>
    </row>
    <row r="28" ht="15" customHeight="1" s="62">
      <c r="A28" s="86" t="inlineStr">
        <is>
          <t>ReOI = OI_at − ρF·NOA(prior)</t>
        </is>
      </c>
      <c r="C28" s="101">
        <f>C8-(C14-INDEX(finrate_infl,C4))*B10</f>
        <v/>
      </c>
      <c r="D28" s="101">
        <f>D8-(D14-INDEX(finrate_infl,D4))*C10</f>
        <v/>
      </c>
      <c r="E28" s="101">
        <f>E8-(E14-INDEX(finrate_infl,E4))*D10</f>
        <v/>
      </c>
      <c r="F28" s="101">
        <f>F8-(F14-INDEX(finrate_infl,F4))*E10</f>
        <v/>
      </c>
      <c r="G28" s="101">
        <f>G8-(G14-INDEX(finrate_infl,G4))*F10</f>
        <v/>
      </c>
      <c r="H28" s="101">
        <f>H8-(H14-INDEX(finrate_infl,H4))*G10</f>
        <v/>
      </c>
      <c r="I28" s="101">
        <f>I8-(I14-INDEX(finrate_infl,I4))*H10</f>
        <v/>
      </c>
      <c r="J28" s="101">
        <f>J8-(J14-INDEX(finrate_infl,J4))*I10</f>
        <v/>
      </c>
      <c r="K28" s="101">
        <f>K8-(K14-INDEX(finrate_infl,K4))*J10</f>
        <v/>
      </c>
      <c r="L28" s="101">
        <f>L8-(L14-INDEX(finrate_infl,L4))*K10</f>
        <v/>
      </c>
      <c r="M28" s="101">
        <f>M8-(M14-INDEX(finrate_infl,M4))*L10</f>
        <v/>
      </c>
      <c r="N28" s="101">
        <f>N8-(N14-INDEX(finrate_infl,N4))*M10</f>
        <v/>
      </c>
      <c r="O28" s="101">
        <f>O8-(O14-INDEX(finrate_infl,O4))*N10</f>
        <v/>
      </c>
      <c r="P28" s="86">
        <f>P8-(P14-INDEX(finrate_infl,P4))*O10</f>
        <v/>
      </c>
      <c r="Q28" s="86">
        <f>Q8-(Q14-INDEX(finrate_infl,Q4))*P10</f>
        <v/>
      </c>
      <c r="R28" s="86">
        <f>R8-(R14-INDEX(finrate_infl,R4))*Q10</f>
        <v/>
      </c>
      <c r="S28" s="86">
        <f>S8-(S14-INDEX(finrate_infl,S4))*R10</f>
        <v/>
      </c>
      <c r="T28" s="86">
        <f>T8-(T14-INDEX(finrate_infl,T4))*S10</f>
        <v/>
      </c>
      <c r="U28" s="86">
        <f>U8-(U14-INDEX(finrate_infl,U4))*T10</f>
        <v/>
      </c>
      <c r="V28" s="86">
        <f>V8-(V14-INDEX(finrate_infl,V4))*U10</f>
        <v/>
      </c>
      <c r="W28" s="86">
        <f>W8-(W14-INDEX(finrate_infl,W4))*V10</f>
        <v/>
      </c>
      <c r="X28" s="86">
        <f>X8-(X14-INDEX(finrate_infl,X4))*W10</f>
        <v/>
      </c>
      <c r="Y28" s="86">
        <f>Y8-(Y14-INDEX(finrate_infl,Y4))*X10</f>
        <v/>
      </c>
      <c r="Z28" s="86">
        <f>Z8-(Z14-INDEX(finrate_infl,Z4))*Y10</f>
        <v/>
      </c>
      <c r="AA28" s="86">
        <f>AA8-(AA14-INDEX(finrate_infl,AA4))*Z10</f>
        <v/>
      </c>
      <c r="AB28" s="86">
        <f>AB8-(AB14-INDEX(finrate_infl,AB4))*AA10</f>
        <v/>
      </c>
      <c r="AC28" s="86">
        <f>AC8-(AC14-INDEX(finrate_infl,AC4))*AB10</f>
        <v/>
      </c>
      <c r="AD28" s="86">
        <f>AD8-(AD14-INDEX(finrate_infl,AD4))*AC10</f>
        <v/>
      </c>
      <c r="AE28" s="86">
        <f>AE8-(AE14-INDEX(finrate_infl,AE4))*AD10</f>
        <v/>
      </c>
      <c r="AF28" s="86">
        <f>AF8-(AF14-INDEX(finrate_infl,AF4))*AE10</f>
        <v/>
      </c>
    </row>
    <row r="29" ht="15" customHeight="1" s="62">
      <c r="A29" s="86" t="inlineStr">
        <is>
          <t>RFD = NFE − ρD·NFO(prior)</t>
        </is>
      </c>
      <c r="C29" s="101">
        <f>C12-(C6-INDEX(finrate_infl,C4))*B11</f>
        <v/>
      </c>
      <c r="D29" s="101">
        <f>D12-(D6-INDEX(finrate_infl,D4))*C11</f>
        <v/>
      </c>
      <c r="E29" s="101">
        <f>E12-(E6-INDEX(finrate_infl,E4))*D11</f>
        <v/>
      </c>
      <c r="F29" s="101">
        <f>F12-(F6-INDEX(finrate_infl,F4))*E11</f>
        <v/>
      </c>
      <c r="G29" s="101">
        <f>G12-(G6-INDEX(finrate_infl,G4))*F11</f>
        <v/>
      </c>
      <c r="H29" s="101">
        <f>H12-(H6-INDEX(finrate_infl,H4))*G11</f>
        <v/>
      </c>
      <c r="I29" s="101">
        <f>I12-(I6-INDEX(finrate_infl,I4))*H11</f>
        <v/>
      </c>
      <c r="J29" s="101">
        <f>J12-(J6-INDEX(finrate_infl,J4))*I11</f>
        <v/>
      </c>
      <c r="K29" s="101">
        <f>K12-(K6-INDEX(finrate_infl,K4))*J11</f>
        <v/>
      </c>
      <c r="L29" s="101">
        <f>L12-(L6-INDEX(finrate_infl,L4))*K11</f>
        <v/>
      </c>
      <c r="M29" s="101">
        <f>M12-(M6-INDEX(finrate_infl,M4))*L11</f>
        <v/>
      </c>
      <c r="N29" s="101">
        <f>N12-(N6-INDEX(finrate_infl,N4))*M11</f>
        <v/>
      </c>
      <c r="O29" s="101">
        <f>O12-(O6-INDEX(finrate_infl,O4))*N11</f>
        <v/>
      </c>
      <c r="P29" s="86">
        <f>P12-(P6-INDEX(finrate_infl,P4))*O11</f>
        <v/>
      </c>
      <c r="Q29" s="86">
        <f>Q12-(Q6-INDEX(finrate_infl,Q4))*P11</f>
        <v/>
      </c>
      <c r="R29" s="86">
        <f>R12-(R6-INDEX(finrate_infl,R4))*Q11</f>
        <v/>
      </c>
      <c r="S29" s="86">
        <f>S12-(S6-INDEX(finrate_infl,S4))*R11</f>
        <v/>
      </c>
      <c r="T29" s="86">
        <f>T12-(T6-INDEX(finrate_infl,T4))*S11</f>
        <v/>
      </c>
      <c r="U29" s="86">
        <f>U12-(U6-INDEX(finrate_infl,U4))*T11</f>
        <v/>
      </c>
      <c r="V29" s="86">
        <f>V12-(V6-INDEX(finrate_infl,V4))*U11</f>
        <v/>
      </c>
      <c r="W29" s="86">
        <f>W12-(W6-INDEX(finrate_infl,W4))*V11</f>
        <v/>
      </c>
      <c r="X29" s="86">
        <f>X12-(X6-INDEX(finrate_infl,X4))*W11</f>
        <v/>
      </c>
      <c r="Y29" s="86">
        <f>Y12-(Y6-INDEX(finrate_infl,Y4))*X11</f>
        <v/>
      </c>
      <c r="Z29" s="86">
        <f>Z12-(Z6-INDEX(finrate_infl,Z4))*Y11</f>
        <v/>
      </c>
      <c r="AA29" s="86">
        <f>AA12-(AA6-INDEX(finrate_infl,AA4))*Z11</f>
        <v/>
      </c>
      <c r="AB29" s="86">
        <f>AB12-(AB6-INDEX(finrate_infl,AB4))*AA11</f>
        <v/>
      </c>
      <c r="AC29" s="86">
        <f>AC12-(AC6-INDEX(finrate_infl,AC4))*AB11</f>
        <v/>
      </c>
      <c r="AD29" s="86">
        <f>AD12-(AD6-INDEX(finrate_infl,AD4))*AC11</f>
        <v/>
      </c>
      <c r="AE29" s="86">
        <f>AE12-(AE6-INDEX(finrate_infl,AE4))*AD11</f>
        <v/>
      </c>
      <c r="AF29" s="86">
        <f>AF12-(AF6-INDEX(finrate_infl,AF4))*AE11</f>
        <v/>
      </c>
    </row>
    <row r="31" ht="15" customHeight="1" s="62">
      <c r="A31" s="83" t="inlineStr">
        <is>
          <t>ρE_LR / ρF_LR / ρD_LR</t>
        </is>
      </c>
      <c r="B31" s="112">
        <f>INDEX(finrate_coe,COLUMNS(finrate_coe))</f>
        <v/>
      </c>
      <c r="C31" s="112">
        <f>IF(cfg_rf_mode="Single",in_rf_lr,(O5*0+INDEX(finrate_coe,COLUMNS(finrate_coe))+O13*INDEX(finrate_cod,COLUMNS(finrate_cod)))/(1+O13))</f>
        <v/>
      </c>
      <c r="D31" s="112">
        <f>INDEX(finrate_cod,COLUMNS(finrate_cod))</f>
        <v/>
      </c>
    </row>
    <row r="33" ht="15" customHeight="1" s="62">
      <c r="A33" s="65" t="inlineStr">
        <is>
          <t>VALUES ($mm; equity per-share below)</t>
        </is>
      </c>
    </row>
    <row r="34" ht="15" customHeight="1" s="62">
      <c r="A34" s="86" t="inlineStr">
        <is>
          <t>V(RI) equity = CSE₀ + ΣPV(RI) + CV</t>
        </is>
      </c>
      <c r="B34" s="101">
        <f>B9+SUMPRODUCT(C27:AF27,C15:AF15)+(INDEX(C27:AF27,cfg_N)/B31)*INDEX(C15:AF15,cfg_N)</f>
        <v/>
      </c>
    </row>
    <row r="35" ht="15" customHeight="1" s="62">
      <c r="A35" s="86" t="inlineStr">
        <is>
          <t>V(FCFE) equity = ΣPV(FCFE) + PV(terminal)</t>
        </is>
      </c>
      <c r="B35" s="101">
        <f>SUMPRODUCT(C24:AF24,C15:AF15)+AF9*AF15+(INDEX(C27:AF27,cfg_N)/B31)*INDEX(C15:AF15,cfg_N)</f>
        <v/>
      </c>
    </row>
    <row r="36" ht="15" customHeight="1" s="62">
      <c r="A36" s="86" t="inlineStr">
        <is>
          <t>V(net debt) = NFO₀ + ΣPV(RFD) + CV</t>
        </is>
      </c>
      <c r="B36" s="101">
        <f>B11+SUMPRODUCT(C29:AF29,C17:AF17)</f>
        <v/>
      </c>
    </row>
    <row r="37" ht="15" customHeight="1" s="62">
      <c r="A37" s="86" t="inlineStr">
        <is>
          <t>V(operations) = V(FCFE)+V(net debt)  [additive]</t>
        </is>
      </c>
      <c r="B37" s="101">
        <f>B35+B36</f>
        <v/>
      </c>
    </row>
    <row r="38" ht="15" customHeight="1" s="62">
      <c r="A38" s="86" t="inlineStr">
        <is>
          <t>decorative: Equity via FCFF = B37−B36 and B37:=B35+B36, so this is identically B35. Audit B62 therefore repeats B61.</t>
        </is>
      </c>
      <c r="B38" s="101">
        <f>B37-B36</f>
        <v/>
      </c>
    </row>
    <row r="39" ht="15" customHeight="1" s="62">
      <c r="A39" s="68" t="inlineStr">
        <is>
          <t>diagnostic: V(ops) direct = NOA₀+ΣPV(ReOI at ρF)+CV</t>
        </is>
      </c>
      <c r="B39" s="119">
        <f>B10+SUMPRODUCT(C28:AF28,C16:AF16)+(INDEX(C28:AF28,cfg_N)/C31)*INDEX(C16:AF16,cfg_N)</f>
        <v/>
      </c>
    </row>
    <row r="40" ht="15" customHeight="1" s="62">
      <c r="A40" s="68" t="inlineStr">
        <is>
          <t>diagnostic: direct−additive at the BOOK-weighted rhoF. Cannot tie by construction — see row 48 and Audit CHECK 7.</t>
        </is>
      </c>
      <c r="B40" s="119">
        <f>(B39-B36)-B38</f>
        <v/>
      </c>
    </row>
    <row r="42" ht="15" customHeight="1" s="62">
      <c r="A42" s="65" t="inlineStr">
        <is>
          <t>★ RECONCILIATION (equity, $mm)</t>
        </is>
      </c>
    </row>
    <row r="43" ht="15" customHeight="1" s="62">
      <c r="A43" s="83" t="inlineStr">
        <is>
          <t>V(FCFE) − V(RI)</t>
        </is>
      </c>
      <c r="B43" s="120">
        <f>B35-B34</f>
        <v/>
      </c>
    </row>
    <row r="44" ht="15" customHeight="1" s="62">
      <c r="A44" s="83" t="inlineStr">
        <is>
          <t>Equity(FCFF) − V(RI)</t>
        </is>
      </c>
      <c r="B44" s="120">
        <f>B38-B34</f>
        <v/>
      </c>
    </row>
    <row r="45" ht="15" customHeight="1" s="62">
      <c r="A45" s="114" t="inlineStr">
        <is>
          <t>per-share intrinsic (V(RI)/shares)</t>
        </is>
      </c>
      <c r="B45" s="115">
        <f>B34/anchor_shares0</f>
        <v/>
      </c>
    </row>
    <row r="46" ht="15" customHeight="1" s="62">
      <c r="A46" s="83" t="inlineStr">
        <is>
          <t>status</t>
        </is>
      </c>
      <c r="B46" s="83">
        <f>IF(AND(ABS(B43)&lt;in_tie_tol*B34,ABS(B44)&lt;in_tie_tol*B34),"ALL SPOKES TIE ✓","investigate")</f>
        <v/>
      </c>
    </row>
    <row r="48">
      <c r="A48" s="61" t="inlineStr">
        <is>
          <t>★ CHECK 7 SUPPORT — value-weighted enterprise rate. rho_F on row 14 is BOOK-weighted, which makes ReOI identical to RI; the enterprise identity needs VALUE weights.</t>
        </is>
      </c>
    </row>
    <row r="49">
      <c r="A49" s="61" t="inlineStr">
        <is>
          <t>V_E(t) — equity value at end of t  [P5 value-weighted enterprise rate]</t>
        </is>
      </c>
      <c r="B49" s="61">
        <f>B35</f>
        <v/>
      </c>
      <c r="C49" s="61">
        <f>B49*(1+C5)-C24</f>
        <v/>
      </c>
      <c r="D49" s="61">
        <f>C49*(1+D5)-D24</f>
        <v/>
      </c>
      <c r="E49" s="61">
        <f>D49*(1+E5)-E24</f>
        <v/>
      </c>
      <c r="F49" s="61">
        <f>E49*(1+F5)-F24</f>
        <v/>
      </c>
      <c r="G49" s="61">
        <f>F49*(1+G5)-G24</f>
        <v/>
      </c>
      <c r="H49" s="61">
        <f>G49*(1+H5)-H24</f>
        <v/>
      </c>
      <c r="I49" s="61">
        <f>H49*(1+I5)-I24</f>
        <v/>
      </c>
      <c r="J49" s="61">
        <f>I49*(1+J5)-J24</f>
        <v/>
      </c>
      <c r="K49" s="61">
        <f>J49*(1+K5)-K24</f>
        <v/>
      </c>
      <c r="L49" s="61">
        <f>K49*(1+L5)-L24</f>
        <v/>
      </c>
      <c r="M49" s="61">
        <f>L49*(1+M5)-M24</f>
        <v/>
      </c>
      <c r="N49" s="61">
        <f>M49*(1+N5)-N24</f>
        <v/>
      </c>
      <c r="O49" s="61">
        <f>N49*(1+O5)-O24</f>
        <v/>
      </c>
      <c r="P49" s="61">
        <f>O49*(1+P5)-P24</f>
        <v/>
      </c>
      <c r="Q49" s="61">
        <f>P49*(1+Q5)-Q24</f>
        <v/>
      </c>
      <c r="R49" s="61">
        <f>Q49*(1+R5)-R24</f>
        <v/>
      </c>
      <c r="S49" s="61">
        <f>R49*(1+S5)-S24</f>
        <v/>
      </c>
      <c r="T49" s="61">
        <f>S49*(1+T5)-T24</f>
        <v/>
      </c>
      <c r="U49" s="61">
        <f>T49*(1+U5)-U24</f>
        <v/>
      </c>
      <c r="V49" s="61">
        <f>U49*(1+V5)-V24</f>
        <v/>
      </c>
      <c r="W49" s="61">
        <f>V49*(1+W5)-W24</f>
        <v/>
      </c>
      <c r="X49" s="61">
        <f>W49*(1+X5)-X24</f>
        <v/>
      </c>
      <c r="Y49" s="61">
        <f>X49*(1+Y5)-Y24</f>
        <v/>
      </c>
      <c r="Z49" s="61">
        <f>Y49*(1+Z5)-Z24</f>
        <v/>
      </c>
      <c r="AA49" s="61">
        <f>Z49*(1+AA5)-AA24</f>
        <v/>
      </c>
      <c r="AB49" s="61">
        <f>AA49*(1+AB5)-AB24</f>
        <v/>
      </c>
      <c r="AC49" s="61">
        <f>AB49*(1+AC5)-AC24</f>
        <v/>
      </c>
      <c r="AD49" s="61">
        <f>AC49*(1+AD5)-AD24</f>
        <v/>
      </c>
      <c r="AE49" s="61">
        <f>AD49*(1+AE5)-AE24</f>
        <v/>
      </c>
      <c r="AF49" s="61">
        <f>AE49*(1+AF5)-AF24</f>
        <v/>
      </c>
    </row>
    <row r="50">
      <c r="A50" s="61" t="inlineStr">
        <is>
          <t>V_D(t) — debt value at end of t</t>
        </is>
      </c>
      <c r="B50" s="61">
        <f>B36</f>
        <v/>
      </c>
      <c r="C50" s="61">
        <f>B50*(1+C6)-C25</f>
        <v/>
      </c>
      <c r="D50" s="61">
        <f>C50*(1+D6)-D25</f>
        <v/>
      </c>
      <c r="E50" s="61">
        <f>D50*(1+E6)-E25</f>
        <v/>
      </c>
      <c r="F50" s="61">
        <f>E50*(1+F6)-F25</f>
        <v/>
      </c>
      <c r="G50" s="61">
        <f>F50*(1+G6)-G25</f>
        <v/>
      </c>
      <c r="H50" s="61">
        <f>G50*(1+H6)-H25</f>
        <v/>
      </c>
      <c r="I50" s="61">
        <f>H50*(1+I6)-I25</f>
        <v/>
      </c>
      <c r="J50" s="61">
        <f>I50*(1+J6)-J25</f>
        <v/>
      </c>
      <c r="K50" s="61">
        <f>J50*(1+K6)-K25</f>
        <v/>
      </c>
      <c r="L50" s="61">
        <f>K50*(1+L6)-L25</f>
        <v/>
      </c>
      <c r="M50" s="61">
        <f>L50*(1+M6)-M25</f>
        <v/>
      </c>
      <c r="N50" s="61">
        <f>M50*(1+N6)-N25</f>
        <v/>
      </c>
      <c r="O50" s="61">
        <f>N50*(1+O6)-O25</f>
        <v/>
      </c>
      <c r="P50" s="61">
        <f>O50*(1+P6)-P25</f>
        <v/>
      </c>
      <c r="Q50" s="61">
        <f>P50*(1+Q6)-Q25</f>
        <v/>
      </c>
      <c r="R50" s="61">
        <f>Q50*(1+R6)-R25</f>
        <v/>
      </c>
      <c r="S50" s="61">
        <f>R50*(1+S6)-S25</f>
        <v/>
      </c>
      <c r="T50" s="61">
        <f>S50*(1+T6)-T25</f>
        <v/>
      </c>
      <c r="U50" s="61">
        <f>T50*(1+U6)-U25</f>
        <v/>
      </c>
      <c r="V50" s="61">
        <f>U50*(1+V6)-V25</f>
        <v/>
      </c>
      <c r="W50" s="61">
        <f>V50*(1+W6)-W25</f>
        <v/>
      </c>
      <c r="X50" s="61">
        <f>W50*(1+X6)-X25</f>
        <v/>
      </c>
      <c r="Y50" s="61">
        <f>X50*(1+Y6)-Y25</f>
        <v/>
      </c>
      <c r="Z50" s="61">
        <f>Y50*(1+Z6)-Z25</f>
        <v/>
      </c>
      <c r="AA50" s="61">
        <f>Z50*(1+AA6)-AA25</f>
        <v/>
      </c>
      <c r="AB50" s="61">
        <f>AA50*(1+AB6)-AB25</f>
        <v/>
      </c>
      <c r="AC50" s="61">
        <f>AB50*(1+AC6)-AC25</f>
        <v/>
      </c>
      <c r="AD50" s="61">
        <f>AC50*(1+AD6)-AD25</f>
        <v/>
      </c>
      <c r="AE50" s="61">
        <f>AD50*(1+AE6)-AE25</f>
        <v/>
      </c>
      <c r="AF50" s="61">
        <f>AE50*(1+AF6)-AF25</f>
        <v/>
      </c>
    </row>
    <row r="51">
      <c r="A51" s="61" t="inlineStr">
        <is>
          <t>rho_F*(t) — VALUE-weighted = (rhoE*V_E + rhoD*V_D)/(V_E+V_D), lagged</t>
        </is>
      </c>
      <c r="C51" s="61">
        <f>IF((B49+B50)=0,0,(C5*B49+C6*B50)/(B49+B50))</f>
        <v/>
      </c>
      <c r="D51" s="61">
        <f>IF((C49+C50)=0,0,(D5*C49+D6*C50)/(C49+C50))</f>
        <v/>
      </c>
      <c r="E51" s="61">
        <f>IF((D49+D50)=0,0,(E5*D49+E6*D50)/(D49+D50))</f>
        <v/>
      </c>
      <c r="F51" s="61">
        <f>IF((E49+E50)=0,0,(F5*E49+F6*E50)/(E49+E50))</f>
        <v/>
      </c>
      <c r="G51" s="61">
        <f>IF((F49+F50)=0,0,(G5*F49+G6*F50)/(F49+F50))</f>
        <v/>
      </c>
      <c r="H51" s="61">
        <f>IF((G49+G50)=0,0,(H5*G49+H6*G50)/(G49+G50))</f>
        <v/>
      </c>
      <c r="I51" s="61">
        <f>IF((H49+H50)=0,0,(I5*H49+I6*H50)/(H49+H50))</f>
        <v/>
      </c>
      <c r="J51" s="61">
        <f>IF((I49+I50)=0,0,(J5*I49+J6*I50)/(I49+I50))</f>
        <v/>
      </c>
      <c r="K51" s="61">
        <f>IF((J49+J50)=0,0,(K5*J49+K6*J50)/(J49+J50))</f>
        <v/>
      </c>
      <c r="L51" s="61">
        <f>IF((K49+K50)=0,0,(L5*K49+L6*K50)/(K49+K50))</f>
        <v/>
      </c>
      <c r="M51" s="61">
        <f>IF((L49+L50)=0,0,(M5*L49+M6*L50)/(L49+L50))</f>
        <v/>
      </c>
      <c r="N51" s="61">
        <f>IF((M49+M50)=0,0,(N5*M49+N6*M50)/(M49+M50))</f>
        <v/>
      </c>
      <c r="O51" s="61">
        <f>IF((N49+N50)=0,0,(O5*N49+O6*N50)/(N49+N50))</f>
        <v/>
      </c>
      <c r="P51" s="61">
        <f>IF((O49+O50)=0,0,(P5*O49+P6*O50)/(O49+O50))</f>
        <v/>
      </c>
      <c r="Q51" s="61">
        <f>IF((P49+P50)=0,0,(Q5*P49+Q6*P50)/(P49+P50))</f>
        <v/>
      </c>
      <c r="R51" s="61">
        <f>IF((Q49+Q50)=0,0,(R5*Q49+R6*Q50)/(Q49+Q50))</f>
        <v/>
      </c>
      <c r="S51" s="61">
        <f>IF((R49+R50)=0,0,(S5*R49+S6*R50)/(R49+R50))</f>
        <v/>
      </c>
      <c r="T51" s="61">
        <f>IF((S49+S50)=0,0,(T5*S49+T6*S50)/(S49+S50))</f>
        <v/>
      </c>
      <c r="U51" s="61">
        <f>IF((T49+T50)=0,0,(U5*T49+U6*T50)/(T49+T50))</f>
        <v/>
      </c>
      <c r="V51" s="61">
        <f>IF((U49+U50)=0,0,(V5*U49+V6*U50)/(U49+U50))</f>
        <v/>
      </c>
      <c r="W51" s="61">
        <f>IF((V49+V50)=0,0,(W5*V49+W6*V50)/(V49+V50))</f>
        <v/>
      </c>
      <c r="X51" s="61">
        <f>IF((W49+W50)=0,0,(X5*W49+X6*W50)/(W49+W50))</f>
        <v/>
      </c>
      <c r="Y51" s="61">
        <f>IF((X49+X50)=0,0,(Y5*X49+Y6*X50)/(X49+X50))</f>
        <v/>
      </c>
      <c r="Z51" s="61">
        <f>IF((Y49+Y50)=0,0,(Z5*Y49+Z6*Y50)/(Y49+Y50))</f>
        <v/>
      </c>
      <c r="AA51" s="61">
        <f>IF((Z49+Z50)=0,0,(AA5*Z49+AA6*Z50)/(Z49+Z50))</f>
        <v/>
      </c>
      <c r="AB51" s="61">
        <f>IF((AA49+AA50)=0,0,(AB5*AA49+AB6*AA50)/(AA49+AA50))</f>
        <v/>
      </c>
      <c r="AC51" s="61">
        <f>IF((AB49+AB50)=0,0,(AC5*AB49+AC6*AB50)/(AB49+AB50))</f>
        <v/>
      </c>
      <c r="AD51" s="61">
        <f>IF((AC49+AC50)=0,0,(AD5*AC49+AD6*AC50)/(AC49+AC50))</f>
        <v/>
      </c>
      <c r="AE51" s="61">
        <f>IF((AD49+AD50)=0,0,(AE5*AD49+AE6*AD50)/(AD49+AD50))</f>
        <v/>
      </c>
      <c r="AF51" s="61">
        <f>IF((AE49+AE50)=0,0,(AF5*AE49+AF6*AE50)/(AE49+AE50))</f>
        <v/>
      </c>
    </row>
    <row r="52">
      <c r="A52" s="61" t="inlineStr">
        <is>
          <t>DF^F*(t) cumulative at rho_F*</t>
        </is>
      </c>
      <c r="B52" s="61" t="n">
        <v>1</v>
      </c>
      <c r="C52" s="61">
        <f>B52/(1+C51)</f>
        <v/>
      </c>
      <c r="D52" s="61">
        <f>C52/(1+D51)</f>
        <v/>
      </c>
      <c r="E52" s="61">
        <f>D52/(1+E51)</f>
        <v/>
      </c>
      <c r="F52" s="61">
        <f>E52/(1+F51)</f>
        <v/>
      </c>
      <c r="G52" s="61">
        <f>F52/(1+G51)</f>
        <v/>
      </c>
      <c r="H52" s="61">
        <f>G52/(1+H51)</f>
        <v/>
      </c>
      <c r="I52" s="61">
        <f>H52/(1+I51)</f>
        <v/>
      </c>
      <c r="J52" s="61">
        <f>I52/(1+J51)</f>
        <v/>
      </c>
      <c r="K52" s="61">
        <f>J52/(1+K51)</f>
        <v/>
      </c>
      <c r="L52" s="61">
        <f>K52/(1+L51)</f>
        <v/>
      </c>
      <c r="M52" s="61">
        <f>L52/(1+M51)</f>
        <v/>
      </c>
      <c r="N52" s="61">
        <f>M52/(1+N51)</f>
        <v/>
      </c>
      <c r="O52" s="61">
        <f>N52/(1+O51)</f>
        <v/>
      </c>
      <c r="P52" s="61">
        <f>O52/(1+P51)</f>
        <v/>
      </c>
      <c r="Q52" s="61">
        <f>P52/(1+Q51)</f>
        <v/>
      </c>
      <c r="R52" s="61">
        <f>Q52/(1+R51)</f>
        <v/>
      </c>
      <c r="S52" s="61">
        <f>R52/(1+S51)</f>
        <v/>
      </c>
      <c r="T52" s="61">
        <f>S52/(1+T51)</f>
        <v/>
      </c>
      <c r="U52" s="61">
        <f>T52/(1+U51)</f>
        <v/>
      </c>
      <c r="V52" s="61">
        <f>U52/(1+V51)</f>
        <v/>
      </c>
      <c r="W52" s="61">
        <f>V52/(1+W51)</f>
        <v/>
      </c>
      <c r="X52" s="61">
        <f>W52/(1+X51)</f>
        <v/>
      </c>
      <c r="Y52" s="61">
        <f>X52/(1+Y51)</f>
        <v/>
      </c>
      <c r="Z52" s="61">
        <f>Y52/(1+Z51)</f>
        <v/>
      </c>
      <c r="AA52" s="61">
        <f>Z52/(1+AA51)</f>
        <v/>
      </c>
      <c r="AB52" s="61">
        <f>AA52/(1+AB51)</f>
        <v/>
      </c>
      <c r="AC52" s="61">
        <f>AB52/(1+AC51)</f>
        <v/>
      </c>
      <c r="AD52" s="61">
        <f>AC52/(1+AD51)</f>
        <v/>
      </c>
      <c r="AE52" s="61">
        <f>AD52/(1+AE51)</f>
        <v/>
      </c>
      <c r="AF52" s="61">
        <f>AE52/(1+AF51)</f>
        <v/>
      </c>
    </row>
    <row r="53">
      <c r="A53" s="61" t="inlineStr">
        <is>
          <t>ReOI*(t) = OI_at − (rho_F*(t) − pi_t)*NOA(t−1)   [Stage A: the capital charge is at the REAL rate, because the NOA roll is NOA_t = (1+pi)*NOA_(t−1) + OI_at − FCFF]</t>
        </is>
      </c>
      <c r="C53" s="61">
        <f>C8-(C51-INDEX(finrate_infl,C4))*B10</f>
        <v/>
      </c>
      <c r="D53" s="61">
        <f>D8-(D51-INDEX(finrate_infl,D4))*C10</f>
        <v/>
      </c>
      <c r="E53" s="61">
        <f>E8-(E51-INDEX(finrate_infl,E4))*D10</f>
        <v/>
      </c>
      <c r="F53" s="61">
        <f>F8-(F51-INDEX(finrate_infl,F4))*E10</f>
        <v/>
      </c>
      <c r="G53" s="61">
        <f>G8-(G51-INDEX(finrate_infl,G4))*F10</f>
        <v/>
      </c>
      <c r="H53" s="61">
        <f>H8-(H51-INDEX(finrate_infl,H4))*G10</f>
        <v/>
      </c>
      <c r="I53" s="61">
        <f>I8-(I51-INDEX(finrate_infl,I4))*H10</f>
        <v/>
      </c>
      <c r="J53" s="61">
        <f>J8-(J51-INDEX(finrate_infl,J4))*I10</f>
        <v/>
      </c>
      <c r="K53" s="61">
        <f>K8-(K51-INDEX(finrate_infl,K4))*J10</f>
        <v/>
      </c>
      <c r="L53" s="61">
        <f>L8-(L51-INDEX(finrate_infl,L4))*K10</f>
        <v/>
      </c>
      <c r="M53" s="61">
        <f>M8-(M51-INDEX(finrate_infl,M4))*L10</f>
        <v/>
      </c>
      <c r="N53" s="61">
        <f>N8-(N51-INDEX(finrate_infl,N4))*M10</f>
        <v/>
      </c>
      <c r="O53" s="61">
        <f>O8-(O51-INDEX(finrate_infl,O4))*N10</f>
        <v/>
      </c>
      <c r="P53" s="61">
        <f>P8-(P51-INDEX(finrate_infl,P4))*O10</f>
        <v/>
      </c>
      <c r="Q53" s="61">
        <f>Q8-(Q51-INDEX(finrate_infl,Q4))*P10</f>
        <v/>
      </c>
      <c r="R53" s="61">
        <f>R8-(R51-INDEX(finrate_infl,R4))*Q10</f>
        <v/>
      </c>
      <c r="S53" s="61">
        <f>S8-(S51-INDEX(finrate_infl,S4))*R10</f>
        <v/>
      </c>
      <c r="T53" s="61">
        <f>T8-(T51-INDEX(finrate_infl,T4))*S10</f>
        <v/>
      </c>
      <c r="U53" s="61">
        <f>U8-(U51-INDEX(finrate_infl,U4))*T10</f>
        <v/>
      </c>
      <c r="V53" s="61">
        <f>V8-(V51-INDEX(finrate_infl,V4))*U10</f>
        <v/>
      </c>
      <c r="W53" s="61">
        <f>W8-(W51-INDEX(finrate_infl,W4))*V10</f>
        <v/>
      </c>
      <c r="X53" s="61">
        <f>X8-(X51-INDEX(finrate_infl,X4))*W10</f>
        <v/>
      </c>
      <c r="Y53" s="61">
        <f>Y8-(Y51-INDEX(finrate_infl,Y4))*X10</f>
        <v/>
      </c>
      <c r="Z53" s="61">
        <f>Z8-(Z51-INDEX(finrate_infl,Z4))*Y10</f>
        <v/>
      </c>
      <c r="AA53" s="61">
        <f>AA8-(AA51-INDEX(finrate_infl,AA4))*Z10</f>
        <v/>
      </c>
      <c r="AB53" s="61">
        <f>AB8-(AB51-INDEX(finrate_infl,AB4))*AA10</f>
        <v/>
      </c>
      <c r="AC53" s="61">
        <f>AC8-(AC51-INDEX(finrate_infl,AC4))*AB10</f>
        <v/>
      </c>
      <c r="AD53" s="61">
        <f>AD8-(AD51-INDEX(finrate_infl,AD4))*AC10</f>
        <v/>
      </c>
      <c r="AE53" s="61">
        <f>AE8-(AE51-INDEX(finrate_infl,AE4))*AD10</f>
        <v/>
      </c>
      <c r="AF53" s="61">
        <f>AF8-(AF51-INDEX(finrate_infl,AF4))*AE10</f>
        <v/>
      </c>
    </row>
    <row r="54">
      <c r="A54" s="61" t="inlineStr">
        <is>
          <t>PV(ReOI*) [t&lt;=N]</t>
        </is>
      </c>
      <c r="C54" s="61">
        <f>IF(C4&lt;=cfg_N,C53*C52,0)</f>
        <v/>
      </c>
      <c r="D54" s="61">
        <f>IF(D4&lt;=cfg_N,D53*D52,0)</f>
        <v/>
      </c>
      <c r="E54" s="61">
        <f>IF(E4&lt;=cfg_N,E53*E52,0)</f>
        <v/>
      </c>
      <c r="F54" s="61">
        <f>IF(F4&lt;=cfg_N,F53*F52,0)</f>
        <v/>
      </c>
      <c r="G54" s="61">
        <f>IF(G4&lt;=cfg_N,G53*G52,0)</f>
        <v/>
      </c>
      <c r="H54" s="61">
        <f>IF(H4&lt;=cfg_N,H53*H52,0)</f>
        <v/>
      </c>
      <c r="I54" s="61">
        <f>IF(I4&lt;=cfg_N,I53*I52,0)</f>
        <v/>
      </c>
      <c r="J54" s="61">
        <f>IF(J4&lt;=cfg_N,J53*J52,0)</f>
        <v/>
      </c>
      <c r="K54" s="61">
        <f>IF(K4&lt;=cfg_N,K53*K52,0)</f>
        <v/>
      </c>
      <c r="L54" s="61">
        <f>IF(L4&lt;=cfg_N,L53*L52,0)</f>
        <v/>
      </c>
      <c r="M54" s="61">
        <f>IF(M4&lt;=cfg_N,M53*M52,0)</f>
        <v/>
      </c>
      <c r="N54" s="61">
        <f>IF(N4&lt;=cfg_N,N53*N52,0)</f>
        <v/>
      </c>
      <c r="O54" s="61">
        <f>IF(O4&lt;=cfg_N,O53*O52,0)</f>
        <v/>
      </c>
      <c r="P54" s="61">
        <f>IF(P4&lt;=cfg_N,P53*P52,0)</f>
        <v/>
      </c>
      <c r="Q54" s="61">
        <f>IF(Q4&lt;=cfg_N,Q53*Q52,0)</f>
        <v/>
      </c>
      <c r="R54" s="61">
        <f>IF(R4&lt;=cfg_N,R53*R52,0)</f>
        <v/>
      </c>
      <c r="S54" s="61">
        <f>IF(S4&lt;=cfg_N,S53*S52,0)</f>
        <v/>
      </c>
      <c r="T54" s="61">
        <f>IF(T4&lt;=cfg_N,T53*T52,0)</f>
        <v/>
      </c>
      <c r="U54" s="61">
        <f>IF(U4&lt;=cfg_N,U53*U52,0)</f>
        <v/>
      </c>
      <c r="V54" s="61">
        <f>IF(V4&lt;=cfg_N,V53*V52,0)</f>
        <v/>
      </c>
      <c r="W54" s="61">
        <f>IF(W4&lt;=cfg_N,W53*W52,0)</f>
        <v/>
      </c>
      <c r="X54" s="61">
        <f>IF(X4&lt;=cfg_N,X53*X52,0)</f>
        <v/>
      </c>
      <c r="Y54" s="61">
        <f>IF(Y4&lt;=cfg_N,Y53*Y52,0)</f>
        <v/>
      </c>
      <c r="Z54" s="61">
        <f>IF(Z4&lt;=cfg_N,Z53*Z52,0)</f>
        <v/>
      </c>
      <c r="AA54" s="61">
        <f>IF(AA4&lt;=cfg_N,AA53*AA52,0)</f>
        <v/>
      </c>
      <c r="AB54" s="61">
        <f>IF(AB4&lt;=cfg_N,AB53*AB52,0)</f>
        <v/>
      </c>
      <c r="AC54" s="61">
        <f>IF(AC4&lt;=cfg_N,AC53*AC52,0)</f>
        <v/>
      </c>
      <c r="AD54" s="61">
        <f>IF(AD4&lt;=cfg_N,AD53*AD52,0)</f>
        <v/>
      </c>
      <c r="AE54" s="61">
        <f>IF(AE4&lt;=cfg_N,AE53*AE52,0)</f>
        <v/>
      </c>
      <c r="AF54" s="61">
        <f>IF(AF4&lt;=cfg_N,AF53*AF52,0)</f>
        <v/>
      </c>
    </row>
    <row r="55">
      <c r="A55" s="61" t="inlineStr">
        <is>
          <t>V(ops) direct @ rho_F* = NOA0 + ΣPV(ReOI*) + PV_N(V_ops,N − NOA_N) — the terminal is the PREMIUM over book, not the whole value</t>
        </is>
      </c>
      <c r="B55" s="61">
        <f>B10+SUM(C54:AF54)+INDEX(C52:AF52,cfg_N)*(INDEX(C49:AF49,cfg_N)+INDEX(C50:AF50,cfg_N)-INDEX(C10:AF10,cfg_N))</f>
        <v/>
      </c>
    </row>
    <row r="56">
      <c r="A56" s="61" t="inlineStr">
        <is>
          <t>★ TIE: V(ops)@rho_F* − V(ops) additive   [GATE: Audit CHECK 7]</t>
        </is>
      </c>
      <c r="B56" s="61">
        <f>B55-B37</f>
        <v/>
      </c>
    </row>
    <row r="57">
      <c r="A57" s="61" t="inlineStr">
        <is>
          <t>Σ |FCFF − (FCFE + FCFD)|  flow additivity   [GATE: Audit CHECK 7]</t>
        </is>
      </c>
      <c r="B57" s="61">
        <f>SUMPRODUCT(ABS(C23:AF23-C24:AF24-C25:AF25))</f>
        <v/>
      </c>
    </row>
    <row r="58">
      <c r="A58" s="61" t="inlineStr">
        <is>
          <t>memo: rho_F row 14 stays BOOK-weighted — it is what zeroes residual income in the continuing period. Do not 'fix' it there.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2026-07-10T07:00:08Z</dcterms:created>
  <dcterms:modified xmlns:dcterms="http://purl.org/dc/terms/" xmlns:xsi="http://www.w3.org/2001/XMLSchema-instance" xsi:type="dcterms:W3CDTF">2026-08-20T02:07:18Z</dcterms:modified>
  <cp:revision>0</cp:revision>
</cp:coreProperties>
</file>
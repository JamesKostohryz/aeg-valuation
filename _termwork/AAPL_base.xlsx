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Audit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Market Data" sheetId="6" state="visible" r:id="rId8"/>
    <sheet name="Cap Engine" sheetId="7" state="visible" r:id="rId9"/>
    <sheet name="Econ Statements" sheetId="8" state="visible" r:id="rId10"/>
    <sheet name="Forecast" sheetId="9" state="visible" r:id="rId11"/>
    <sheet name="Valuation" sheetId="10" state="visible" r:id="rId12"/>
    <sheet name="Scenarios" sheetId="11" state="visible" r:id="rId13"/>
    <sheet name="Implied" sheetId="12" state="visible" r:id="rId14"/>
    <sheet name="DCF Reconciliation" sheetId="13" state="visible" r:id="rId15"/>
  </sheets>
  <definedNames>
    <definedName function="false" hidden="false" name="anchor_cse0" vbProcedure="false">Inputs!$B$10</definedName>
    <definedName function="false" hidden="false" name="anchor_dps0" vbProcedure="false">Inputs!$B$15</definedName>
    <definedName function="false" hidden="false" name="anchor_econ_dep" vbProcedure="false">'Cap Engine'!$B$49</definedName>
    <definedName function="false" hidden="false" name="anchor_eps0" vbProcedure="false">Inputs!$B$13</definedName>
    <definedName function="false" hidden="false" name="anchor_gp0" vbProcedure="false">'Econ Statements'!$S$83</definedName>
    <definedName function="false" hidden="false" name="anchor_nfo0" vbProcedure="false">Inputs!$B$18</definedName>
    <definedName function="false" hidden="false" name="anchor_ni0" vbProcedure="false">'Econ Statements'!$S$77</definedName>
    <definedName function="false" hidden="false" name="anchor_oi_at0" vbProcedure="false">'Econ Statements'!$S$76</definedName>
    <definedName function="false" hidden="false" name="anchor_rd_reserve" vbProcedure="false">'Cap Engine'!$B$61</definedName>
    <definedName function="false" hidden="false" name="anchor_real_accum_dep" vbProcedure="false">'Cap Engine'!$B$48</definedName>
    <definedName function="false" hidden="false" name="anchor_real_cse0" vbProcedure="false">'Econ Statements'!$S$75</definedName>
    <definedName function="false" hidden="false" name="anchor_real_gross_ppe" vbProcedure="false">'Cap Engine'!$B$46</definedName>
    <definedName function="false" hidden="false" name="anchor_real_net_ppe" vbProcedure="false">'Cap Engine'!$B$47</definedName>
    <definedName function="false" hidden="false" name="anchor_real_nfo0" vbProcedure="false">'Econ Statements'!$S$74</definedName>
    <definedName function="false" hidden="false" name="anchor_real_noa0" vbProcedure="false">'Econ Statements'!$S$73</definedName>
    <definedName function="false" hidden="false" name="anchor_rev0" vbProcedure="false">'Econ Statements'!$S$81</definedName>
    <definedName function="false" hidden="false" name="anchor_rnoa0" vbProcedure="false">'Econ Statements'!$S$78</definedName>
    <definedName function="false" hidden="false" name="anchor_sga0" vbProcedure="false">'Econ Statements'!$S$84</definedName>
    <definedName function="false" hidden="false" name="anchor_shares0" vbProcedure="false">Inputs!$B$9</definedName>
    <definedName function="false" hidden="false" name="bb_vp6_tie" vbProcedure="false">'Econ Statements'!$B$114</definedName>
    <definedName function="false" hidden="false" name="ce_econ_dep_series" vbProcedure="false">'Cap Engine'!$B$68:$S$68</definedName>
    <definedName function="false" hidden="false" name="ce_real_gross_series" vbProcedure="false">'Cap Engine'!$B$66:$S$66</definedName>
    <definedName function="false" hidden="false" name="ce_real_net_series" vbProcedure="false">'Cap Engine'!$B$67:$S$67</definedName>
    <definedName function="false" hidden="false" name="ce_years" vbProcedure="false">'Cap Engine'!$B$65:$S$65</definedName>
    <definedName function="false" hidden="false" name="cfg_buyback" vbProcedure="false">Inputs!$B$47</definedName>
    <definedName function="false" hidden="false" name="cfg_coe_mode" vbProcedure="false">Inputs!$B$29</definedName>
    <definedName function="false" hidden="false" name="cfg_funding" vbProcedure="false">Inputs!$B$68</definedName>
    <definedName function="false" hidden="false" name="cfg_mode" vbProcedure="false">Inputs!$B$37</definedName>
    <definedName function="false" hidden="false" name="cfg_N" vbProcedure="false">Inputs!$B$26</definedName>
    <definedName function="false" hidden="false" name="cfg_rd_mode" vbProcedure="false">Inputs!$B$33</definedName>
    <definedName function="false" hidden="false" name="cfg_restatement" vbProcedure="false">Inputs!$B$67</definedName>
    <definedName function="false" hidden="false" name="cfg_rf_mode" vbProcedure="false">Inputs!$B$30</definedName>
    <definedName function="false" hidden="false" name="cfg_scenario" vbProcedure="false">Inputs!$B$69</definedName>
    <definedName function="false" hidden="false" name="cfg_valread" vbProcedure="false">Inputs!$B$34</definedName>
    <definedName function="false" hidden="false" name="dcf_fcfe" vbProcedure="false">'DCF Reconciliation'!$B$35</definedName>
    <definedName function="false" hidden="false" name="dcf_fcff_eq" vbProcedure="false">'DCF Reconciliation'!$B$38</definedName>
    <definedName function="false" hidden="false" name="dcf_ri" vbProcedure="false">'DCF Reconciliation'!$B$34</definedName>
    <definedName function="false" hidden="false" name="dcf_tie_fcfe" vbProcedure="false">'DCF Reconciliation'!$B$43</definedName>
    <definedName function="false" hidden="false" name="dcf_tie_fcff" vbProcedure="false">'DCF Reconciliation'!$B$44</definedName>
    <definedName function="false" hidden="false" name="es_cse" vbProcedure="false">'Econ Statements'!$B$45:$S$45</definedName>
    <definedName function="false" hidden="false" name="es_dep" vbProcedure="false">'Econ Statements'!$B$50:$S$50</definedName>
    <definedName function="false" hidden="false" name="es_nfo" vbProcedure="false">'Econ Statements'!$B$44:$S$44</definedName>
    <definedName function="false" hidden="false" name="es_ni" vbProcedure="false">'Econ Statements'!$B$54:$S$54</definedName>
    <definedName function="false" hidden="false" name="es_noa" vbProcedure="false">'Econ Statements'!$B$43:$S$43</definedName>
    <definedName function="false" hidden="false" name="es_oiat" vbProcedure="false">'Econ Statements'!$B$52:$S$52</definedName>
    <definedName function="false" hidden="false" name="es_ppe" vbProcedure="false">'Econ Statements'!$B$40:$S$40</definedName>
    <definedName function="false" hidden="false" name="es_real_gp" vbProcedure="false">'Econ Statements'!$B$83:$S$83</definedName>
    <definedName function="false" hidden="false" name="es_real_rev" vbProcedure="false">'Econ Statements'!$B$81:$S$81</definedName>
    <definedName function="false" hidden="false" name="es_real_sga" vbProcedure="false">'Econ Statements'!$B$84:$S$84</definedName>
    <definedName function="false" hidden="false" name="es_tie_partition" vbProcedure="false">'Econ Statements'!$B$37:$S$37</definedName>
    <definedName function="false" hidden="false" name="es_tie_real" vbProcedure="false">'Econ Statements'!$B$46:$S$46</definedName>
    <definedName function="false" hidden="false" name="es_years" vbProcedure="false">'Econ Statements'!$B$5:$S$5</definedName>
    <definedName function="false" hidden="false" name="ev_equityps" vbProcedure="false">Valuation!$B$39</definedName>
    <definedName function="false" hidden="false" name="ev_tie" vbProcedure="false">Valuation!$B$40</definedName>
    <definedName function="false" hidden="false" name="fc_capex" vbProcedure="false">Forecast!$G$42:$AJ$42</definedName>
    <definedName function="false" hidden="false" name="fc_cse" vbProcedure="false">Forecast!$G$45:$AJ$45</definedName>
    <definedName function="false" hidden="false" name="fc_dep" vbProcedure="false">Forecast!$G$39:$AJ$39</definedName>
    <definedName function="false" hidden="false" name="fc_dps" vbProcedure="false">Forecast!$G$46:$AJ$46</definedName>
    <definedName function="false" hidden="false" name="fc_eps" vbProcedure="false">Forecast!$G$47:$AJ$47</definedName>
    <definedName function="false" hidden="false" name="fc_nfo" vbProcedure="false">Forecast!$G$44:$AJ$44</definedName>
    <definedName function="false" hidden="false" name="fc_ni" vbProcedure="false">Forecast!$G$41:$AJ$41</definedName>
    <definedName function="false" hidden="false" name="fc_noa" vbProcedure="false">Forecast!$G$43:$AJ$43</definedName>
    <definedName function="false" hidden="false" name="fc_oiat" vbProcedure="false">Forecast!$G$40:$AJ$40</definedName>
    <definedName function="false" hidden="false" name="fc_shares" vbProcedure="false">Forecast!$G$20:$AJ$20</definedName>
    <definedName function="false" hidden="false" name="fc_tie_bs" vbProcedure="false">Forecast!$G$56:$AJ$56</definedName>
    <definedName function="false" hidden="false" name="fc_tie_eps" vbProcedure="false">Forecast!$G$57:$AJ$57</definedName>
    <definedName function="false" hidden="false" name="fc_tie_fcfe" vbProcedure="false">Forecast!$G$58:$AJ$58</definedName>
    <definedName function="false" hidden="false" name="finrate_cod" vbProcedure="false">'Market Data'!$B$29:$AE$29</definedName>
    <definedName function="false" hidden="false" name="finrate_coe" vbProcedure="false">'Market Data'!$B$26:$AE$26</definedName>
    <definedName function="false" hidden="false" name="finrate_erp" vbProcedure="false">'Market Data'!$B$25</definedName>
    <definedName function="false" hidden="false" name="finrate_infl" vbProcedure="false">'Market Data'!$B$22:$AE$22</definedName>
    <definedName function="false" hidden="false" name="finrate_tenor" vbProcedure="false">'Market Data'!$B$20:$AE$20</definedName>
    <definedName function="false" hidden="false" name="in_anchor_year" vbProcedure="false">Inputs!$B$66</definedName>
    <definedName function="false" hidden="false" name="in_bps0" vbProcedure="false">Inputs!$B$21</definedName>
    <definedName function="false" hidden="false" name="in_cash" vbProcedure="false">Inputs!$B$6</definedName>
    <definedName function="false" hidden="false" name="in_daycount" vbProcedure="false">Inputs!$B$51</definedName>
    <definedName function="false" hidden="false" name="in_debt" vbProcedure="false">Inputs!$B$5</definedName>
    <definedName function="false" hidden="false" name="in_deflator_base" vbProcedure="false">Inputs!$B$44</definedName>
    <definedName function="false" hidden="false" name="in_econ_thresh" vbProcedure="false">Inputs!$B$50</definedName>
    <definedName function="false" hidden="false" name="in_ent_noa_growth" vbProcedure="false">Inputs!$B$60</definedName>
    <definedName function="false" hidden="false" name="in_erp" vbProcedure="false">Inputs!$B$28</definedName>
    <definedName function="false" hidden="false" name="in_finlease" vbProcedure="false">Inputs!$B$8</definedName>
    <definedName function="false" hidden="false" name="in_flev0" vbProcedure="false">Inputs!$B$22</definedName>
    <definedName function="false" hidden="false" name="in_g_terminal" vbProcedure="false">Inputs!$B$27</definedName>
    <definedName function="false" hidden="false" name="in_implied_g_start" vbProcedure="false">Inputs!$B$70</definedName>
    <definedName function="false" hidden="false" name="in_implied_g_step" vbProcedure="false">Inputs!$B$71</definedName>
    <definedName function="false" hidden="false" name="in_intexp0" vbProcedure="false">Inputs!$B$11</definedName>
    <definedName function="false" hidden="false" name="in_nfops0" vbProcedure="false">Inputs!$B$20</definedName>
    <definedName function="false" hidden="false" name="in_noa0" vbProcedure="false">Inputs!$B$19</definedName>
    <definedName function="false" hidden="false" name="in_oiadj0" vbProcedure="false">Inputs!$B$12</definedName>
    <definedName function="false" hidden="false" name="in_payout_seed" vbProcedure="false">Inputs!$B$39</definedName>
    <definedName function="false" hidden="false" name="in_ppe_life" vbProcedure="false">Inputs!$B$42</definedName>
    <definedName function="false" hidden="false" name="in_pres_coe1" vbProcedure="false">Inputs!$B$52</definedName>
    <definedName function="false" hidden="false" name="in_pres_coe2" vbProcedure="false">Inputs!$B$53</definedName>
    <definedName function="false" hidden="false" name="in_pres_coe3" vbProcedure="false">Inputs!$B$54</definedName>
    <definedName function="false" hidden="false" name="in_pres_coe4" vbProcedure="false">Inputs!$B$55</definedName>
    <definedName function="false" hidden="false" name="in_pres_coe5" vbProcedure="false">Inputs!$B$56</definedName>
    <definedName function="false" hidden="false" name="in_pres_ghi" vbProcedure="false">Inputs!$B$59</definedName>
    <definedName function="false" hidden="false" name="in_pres_glo" vbProcedure="false">Inputs!$B$57</definedName>
    <definedName function="false" hidden="false" name="in_pres_gmid" vbProcedure="false">Inputs!$B$58</definedName>
    <definedName function="false" hidden="false" name="in_price" vbProcedure="false">Inputs!$B$25</definedName>
    <definedName function="false" hidden="false" name="in_rd_expense0" vbProcedure="false">Inputs!$B$45</definedName>
    <definedName function="false" hidden="false" name="in_rd_life" vbProcedure="false">Inputs!$B$43</definedName>
    <definedName function="false" hidden="false" name="in_rf_lr" vbProcedure="false">Inputs!$B$32</definedName>
    <definedName function="false" hidden="false" name="in_rf_single" vbProcedure="false">Inputs!$B$31</definedName>
    <definedName function="false" hidden="false" name="in_sti" vbProcedure="false">Inputs!$B$7</definedName>
    <definedName function="false" hidden="false" name="in_tax0" vbProcedure="false">Inputs!$B$14</definedName>
    <definedName function="false" hidden="false" name="in_tie_tol" vbProcedure="false">Inputs!$B$64</definedName>
    <definedName function="false" hidden="false" name="md_bea" vbProcedure="false">'Market Data'!$B$14:$AP$14</definedName>
    <definedName function="false" hidden="false" name="md_bea_base" vbProcedure="false">'Market Data'!$B$12</definedName>
    <definedName function="false" hidden="false" name="md_cpi" vbProcedure="false">'Market Data'!$B$8:$AP$8</definedName>
    <definedName function="false" hidden="false" name="md_cpi_base" vbProcedure="false">'Market Data'!$B$5</definedName>
    <definedName function="false" hidden="false" name="md_deflator" vbProcedure="false">'Market Data'!$B$9:$AP$9</definedName>
    <definedName function="false" hidden="false" name="md_deflator_ppe" vbProcedure="false">'Market Data'!$B$15:$AP$15</definedName>
    <definedName function="false" hidden="false" name="md_years" vbProcedure="false">'Market Data'!$B$7:$AP$7</definedName>
    <definedName function="false" hidden="false" name="md_years_bea" vbProcedure="false">'Market Data'!$B$13:$AP$13</definedName>
    <definedName function="false" hidden="false" name="md_yeprice" vbProcedure="false">'Market Data'!$B$16:$AP$16</definedName>
    <definedName function="false" hidden="false" name="md_yeprice_adj" vbProcedure="false">'Market Data'!$B$17:$AP$17</definedName>
    <definedName function="false" hidden="false" name="rep_capex" vbProcedure="false">'Cash Flow'!$B$76:$AL$76</definedName>
    <definedName function="false" hidden="false" name="rep_cash" vbProcedure="false">'Balance Sheet'!$B$7:$AP$7</definedName>
    <definedName function="false" hidden="false" name="rep_cash_fy0" vbProcedure="false">'Balance Sheet'!$AP$7</definedName>
    <definedName function="false" hidden="false" name="rep_cogs" vbProcedure="false">'Income Statement'!$B$6:$AP$6</definedName>
    <definedName function="false" hidden="false" name="rep_cse" vbProcedure="false">'Balance Sheet'!$B$94:$AP$94</definedName>
    <definedName function="false" hidden="false" name="rep_cse_fy0" vbProcedure="false">'Balance Sheet'!$AP$94</definedName>
    <definedName function="false" hidden="false" name="rep_da" vbProcedure="false">'Income Statement'!$B$54:$AP$54</definedName>
    <definedName function="false" hidden="false" name="rep_debt_fy0" vbProcedure="false">'Balance Sheet'!$AP$100</definedName>
    <definedName function="false" hidden="false" name="rep_div" vbProcedure="false">'Cash Flow'!$B$66:$AL$66</definedName>
    <definedName function="false" hidden="false" name="rep_eps_fy0" vbProcedure="false">'Income Statement'!$AP$41</definedName>
    <definedName function="false" hidden="false" name="rep_gross_ppe" vbProcedure="false">'Balance Sheet'!$B$27:$AP$27</definedName>
    <definedName function="false" hidden="false" name="rep_intexp" vbProcedure="false">'Income Statement'!$B$49:$AP$49</definedName>
    <definedName function="false" hidden="false" name="rep_intexp_fy0" vbProcedure="false">'Income Statement'!$AP$49</definedName>
    <definedName function="false" hidden="false" name="rep_mi" vbProcedure="false">'Balance Sheet'!$B$92:$AP$92</definedName>
    <definedName function="false" hidden="false" name="rep_net_ppe" vbProcedure="false">'Balance Sheet'!$B$26:$AP$26</definedName>
    <definedName function="false" hidden="false" name="rep_ni" vbProcedure="false">'Income Statement'!$B$28:$AP$28</definedName>
    <definedName function="false" hidden="false" name="rep_oci" vbProcedure="false">'Balance Sheet'!$B$86:$AP$86</definedName>
    <definedName function="false" hidden="false" name="rep_oi" vbProcedure="false">'Income Statement'!$B$13:$AP$13</definedName>
    <definedName function="false" hidden="false" name="rep_oi_fy0" vbProcedure="false">'Income Statement'!$AP$13</definedName>
    <definedName function="false" hidden="false" name="rep_pension" vbProcedure="false">'Balance Sheet'!$B$75:$AP$75</definedName>
    <definedName function="false" hidden="false" name="rep_repurch" vbProcedure="false">'Cash Flow'!$B$80:$AL$80</definedName>
    <definedName function="false" hidden="false" name="rep_revenue" vbProcedure="false">'Income Statement'!$B$4:$AP$4</definedName>
    <definedName function="false" hidden="false" name="rep_sga" vbProcedure="false">'Income Statement'!$B$9:$AP$9</definedName>
    <definedName function="false" hidden="false" name="rep_shares" vbProcedure="false">'Balance Sheet'!$B$103:$AP$103</definedName>
    <definedName function="false" hidden="false" name="rep_shares_fy0" vbProcedure="false">'Balance Sheet'!$AP$103</definedName>
    <definedName function="false" hidden="false" name="rep_sti" vbProcedure="false">'Balance Sheet'!$B$10:$AP$10</definedName>
    <definedName function="false" hidden="false" name="rep_taxrate" vbProcedure="false">'Income Statement'!$B$59:$AP$59</definedName>
    <definedName function="false" hidden="false" name="rep_tax_fy0" vbProcedure="false">'Income Statement'!$AP$59</definedName>
    <definedName function="false" hidden="false" name="rep_total_assets" vbProcedure="false">'Balance Sheet'!$B$4:$AP$4</definedName>
    <definedName function="false" hidden="false" name="rep_total_debt" vbProcedure="false">'Balance Sheet'!$B$100:$AP$100</definedName>
    <definedName function="false" hidden="false" name="rep_total_liab" vbProcedure="false">'Balance Sheet'!$B$46:$AP$46</definedName>
    <definedName function="false" hidden="false" name="rep_years_bs" vbProcedure="false">'Balance Sheet'!$B$3:$AP$3</definedName>
    <definedName function="false" hidden="false" name="rep_years_cf" vbProcedure="false">'Cash Flow'!$B$3:$AL$3</definedName>
    <definedName function="false" hidden="false" name="rep_years_is" vbProcedure="false">'Income Statement'!$B$3:$AP$3</definedName>
    <definedName function="false" hidden="false" name="scen_buyback" vbProcedure="false">Scenarios!$B$7:$E$7</definedName>
    <definedName function="false" hidden="false" name="scen_cols" vbProcedure="false">Scenarios!$B$4:$E$4</definedName>
    <definedName function="false" hidden="false" name="scen_noagrowth" vbProcedure="false">Scenarios!$B$6:$E$6</definedName>
    <definedName function="false" hidden="false" name="scen_revgrowth" vbProcedure="false">Scenarios!$B$5:$E$5</definedName>
    <definedName function="false" hidden="false" name="val_active" vbProcedure="false">Valuation!$B$54</definedName>
    <definedName function="false" hidden="false" name="val_eps1" vbProcedure="false">Valuation!$C$7</definedName>
    <definedName function="false" hidden="false" name="val_growthprem" vbProcedure="false">Valuation!$B$49</definedName>
    <definedName function="false" hidden="false" name="val_impliedg" vbProcedure="false">Implied!$B$15</definedName>
    <definedName function="false" hidden="false" name="val_impliedPE" vbProcedure="false">Valuation!$B$47</definedName>
    <definedName function="false" hidden="false" name="val_intrinsic" vbProcedure="false">Valuation!$B$36</definedName>
    <definedName function="false" hidden="false" name="val_normalPE" vbProcedure="false">Valuation!$B$48</definedName>
    <definedName function="false" hidden="false" name="val_normalval" vbProcedure="false">Valuation!$B$43</definedName>
    <definedName function="false" hidden="false" name="val_pvgo" vbProcedure="false">Valuation!$B$46</definedName>
    <definedName function="false" hidden="false" name="val_realprice" vbProcedure="false">Valuation!$B$45</definedName>
    <definedName function="false" hidden="false" name="val_rhod_lr" vbProcedure="false">Valuation!$C$20</definedName>
    <definedName function="false" hidden="false" name="val_rhoe_lr" vbProcedure="false">Valuation!$B$20</definedName>
    <definedName function="false" hidden="false" name="val_rhof_lr" vbProcedure="false">Valuation!$D$20</definedName>
    <definedName function="false" hidden="false" name="val_vnfe" vbProcedure="false">Valuation!$B$37</definedName>
    <definedName function="false" hidden="false" name="val_voi" vbProcedure="false">Valuation!$B$38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<sst xmlns="http://schemas.openxmlformats.org/spreadsheetml/2006/main" count="1040" uniqueCount="816">
  <si>
    <t xml:space="preserve">INPUTS  —  SINGLE SOURCE OF TRUTH</t>
  </si>
  <si>
    <t xml:space="preserve">Blue = input (edit here). Black = derived formula. Green (other tabs) = link into this tab. No numeric constant may live outside this tab and the reported-data tabs (IS/BS/CF).</t>
  </si>
  <si>
    <t xml:space="preserve">COMPANY BASE — Apple Inc. (AAPL) · FY2025 · nominal $mm unless noted</t>
  </si>
  <si>
    <t xml:space="preserve">Total debt incl. finance leases</t>
  </si>
  <si>
    <t xml:space="preserve">$mm</t>
  </si>
  <si>
    <t xml:space="preserve">Source: uploaded BS, Total Debt FY2025</t>
  </si>
  <si>
    <t xml:space="preserve">Cash &amp; equivalents</t>
  </si>
  <si>
    <t xml:space="preserve">Source: uploaded BS FY2025</t>
  </si>
  <si>
    <t xml:space="preserve">Short-term investments</t>
  </si>
  <si>
    <t xml:space="preserve">Source: uploaded BS FY2025 (none reported)</t>
  </si>
  <si>
    <t xml:space="preserve">  of which finance/capital lease obligation</t>
  </si>
  <si>
    <t xml:space="preserve">Source: uploaded BS FY2025 (LT capital lease)</t>
  </si>
  <si>
    <t xml:space="preserve">Common shares outstanding</t>
  </si>
  <si>
    <t xml:space="preserve">mm</t>
  </si>
  <si>
    <t xml:space="preserve">Source: Ordinary Shares Number FY2025 (7,037,502,356 / 1e6) — full precision</t>
  </si>
  <si>
    <t xml:space="preserve">Common stock equity (CSE)</t>
  </si>
  <si>
    <t xml:space="preserve">Source: Common Stock Equity FY2025 (excl. $17.96bn minority int.)</t>
  </si>
  <si>
    <t xml:space="preserve">Interest expense (FY2025)</t>
  </si>
  <si>
    <t xml:space="preserve">Source: uploaded IS FY2025</t>
  </si>
  <si>
    <t xml:space="preserve">Operating income, adjusted (FY2025)</t>
  </si>
  <si>
    <t xml:space="preserve">Source: Operating Income FY2025</t>
  </si>
  <si>
    <t xml:space="preserve">Diluted EPS (FY2025)</t>
  </si>
  <si>
    <t xml:space="preserve">$</t>
  </si>
  <si>
    <t xml:space="preserve">Effective tax rate (FY2025)</t>
  </si>
  <si>
    <t xml:space="preserve">frac</t>
  </si>
  <si>
    <t xml:space="preserve">Source: Tax Rate for Calcs FY2025</t>
  </si>
  <si>
    <t xml:space="preserve">Dividends per share, period-0 (FY2025)</t>
  </si>
  <si>
    <t xml:space="preserve">Source: uploaded dividends CSV, 4×0.278 ex-2025</t>
  </si>
  <si>
    <t xml:space="preserve">— derived —</t>
  </si>
  <si>
    <t xml:space="preserve">NFO = debt − cash − STI</t>
  </si>
  <si>
    <t xml:space="preserve">NOA = CSE + NFO</t>
  </si>
  <si>
    <t xml:space="preserve">[ADD] completes A.1 anchor</t>
  </si>
  <si>
    <t xml:space="preserve">NFO per share (nominal $)</t>
  </si>
  <si>
    <t xml:space="preserve">BPS = CSE / shares (nominal $)</t>
  </si>
  <si>
    <t xml:space="preserve">FLEV = NFO / CSE</t>
  </si>
  <si>
    <t xml:space="preserve">VALUATION CONTROLS</t>
  </si>
  <si>
    <t xml:space="preserve">Current price ($/sh)  [LIVE — refresh each session]</t>
  </si>
  <si>
    <t xml:space="preserve">Explicit forecast horizon N  (≤ 30)</t>
  </si>
  <si>
    <t xml:space="preserve">Terminal growth g (continuing, real)</t>
  </si>
  <si>
    <t xml:space="preserve">Enterprise continuing NOA growth; equity AEG tail is normal-earnings capitalisation (no separate g)</t>
  </si>
  <si>
    <t xml:space="preserve">Equity risk premium ERP (real)</t>
  </si>
  <si>
    <t xml:space="preserve">flat; replace with beta/ERP build (Backlog)</t>
  </si>
  <si>
    <t xml:space="preserve">COE mode  {Single | Term}   (ρE)</t>
  </si>
  <si>
    <t xml:space="preserve">Term</t>
  </si>
  <si>
    <t xml:space="preserve">equity ρE term-structure vs single</t>
  </si>
  <si>
    <t xml:space="preserve">Enterprise ρF mode  {Single | Term}</t>
  </si>
  <si>
    <t xml:space="preserve">Enterprise ρF single (real)</t>
  </si>
  <si>
    <t xml:space="preserve">Enterprise ρF long-run r_LR (real)</t>
  </si>
  <si>
    <t xml:space="preserve">ρD mode  {Single | Term}</t>
  </si>
  <si>
    <t xml:space="preserve">Valuation READ toggle  {Equity path | Enterprise path}</t>
  </si>
  <si>
    <t xml:space="preserve">Equity path</t>
  </si>
  <si>
    <t xml:space="preserve">[ADD] second toggle (C.2): which forecast series valuation reads</t>
  </si>
  <si>
    <t xml:space="preserve">FORECAST CONTROLS   (toggle wired in Step 5)</t>
  </si>
  <si>
    <t xml:space="preserve">Forecast-side  {Equity | Enterprise}</t>
  </si>
  <si>
    <t xml:space="preserve">Enterprise</t>
  </si>
  <si>
    <t xml:space="preserve">Equity default: type EPS/DPS → derive OI, NOA</t>
  </si>
  <si>
    <t xml:space="preserve">EPS / DPS path</t>
  </si>
  <si>
    <t xml:space="preserve">(forecast-tab driver rows)</t>
  </si>
  <si>
    <t xml:space="preserve">per-year drivers on the forecast tab (G.1); migrate in Step 5</t>
  </si>
  <si>
    <t xml:space="preserve">Default dividend payout (seed; per-year driver in Step 5)</t>
  </si>
  <si>
    <t xml:space="preserve">[ADD reserved] seed = DPS0/EPS0 = 1.112/3.04; payout is a driver, not a scalar (fork 2)</t>
  </si>
  <si>
    <t xml:space="preserve">REFORMULATION ASSUMPTIONS   (wired in Step 3)</t>
  </si>
  <si>
    <t xml:space="preserve">PP&amp;E composite depreciable life L (yr)</t>
  </si>
  <si>
    <t xml:space="preserve">gross PP&amp;E $370B ÷ deprec $20.7B ≈ 18; avg age ≈11</t>
  </si>
  <si>
    <t xml:space="preserve">R&amp;D amortization life (yr; ≈0 telecom)</t>
  </si>
  <si>
    <t xml:space="preserve">R&amp;D reserve life (yr); 0 if R&amp;D immaterial</t>
  </si>
  <si>
    <t xml:space="preserve">Deflator base year</t>
  </si>
  <si>
    <t xml:space="preserve">R&amp;D expense, period-0 ($mm)</t>
  </si>
  <si>
    <t xml:space="preserve">Reported R&amp;D read here; 0 if none reported.</t>
  </si>
  <si>
    <t xml:space="preserve">BUYBACK CONTROLS   (wired in Step 7)</t>
  </si>
  <si>
    <t xml:space="preserve">Buyback adjustment  {On | Off}</t>
  </si>
  <si>
    <t xml:space="preserve">On</t>
  </si>
  <si>
    <t xml:space="preserve">default On; wire into mainline equity+enterprise</t>
  </si>
  <si>
    <t xml:space="preserve">PROMOTED MAGIC NUMBERS   (named here; formulas repointed in their step)</t>
  </si>
  <si>
    <t xml:space="preserve">Econ materiality threshold (frac)</t>
  </si>
  <si>
    <t xml:space="preserve">Econ Statements flag; Step 3</t>
  </si>
  <si>
    <t xml:space="preserve">Bridge day-count (days/yr)</t>
  </si>
  <si>
    <t xml:space="preserve">Bridge tenor conversion; also allow-list structural</t>
  </si>
  <si>
    <t xml:space="preserve">Presentation COE grid — pt 1 (low)</t>
  </si>
  <si>
    <t xml:space="preserve">Presentation COE grid — pt 2</t>
  </si>
  <si>
    <t xml:space="preserve">Presentation COE grid — pt 3 (mid)</t>
  </si>
  <si>
    <t xml:space="preserve">Presentation COE grid — pt 4</t>
  </si>
  <si>
    <t xml:space="preserve">Presentation COE grid — pt 5 (high)</t>
  </si>
  <si>
    <t xml:space="preserve">Presentation growth axis — low</t>
  </si>
  <si>
    <t xml:space="preserve">Presentation growth axis — mid</t>
  </si>
  <si>
    <t xml:space="preserve">Presentation growth axis — high</t>
  </si>
  <si>
    <t xml:space="preserve">Enterprise NOA growth (real) — placeholder</t>
  </si>
  <si>
    <t xml:space="preserve">Step 3 rebuild redefines the enterprise growth path</t>
  </si>
  <si>
    <t xml:space="preserve">ALLOW-LIST  (structural constants tolerated inside formulas)</t>
  </si>
  <si>
    <t xml:space="preserve">0, 1, unit conversion 1e6, day-count 365, tenor index 1..30. Market Data rate SPOT rows and tenor axis are SOURCED market observations — the rate-side data tab — not violations.</t>
  </si>
  <si>
    <t xml:space="preserve">Tie tolerance (structural ε)</t>
  </si>
  <si>
    <t xml:space="preserve">AS-OF / GLOBAL</t>
  </si>
  <si>
    <t xml:space="preserve">Anchor / period-0 fiscal year</t>
  </si>
  <si>
    <t xml:space="preserve">Latest reported FY; the reformulation period-0.</t>
  </si>
  <si>
    <t xml:space="preserve">Restatement view  {Economic | Reported}</t>
  </si>
  <si>
    <t xml:space="preserve">Economic</t>
  </si>
  <si>
    <t xml:space="preserve">Economic = BEA-restated real 2026$; Reported = as-filed nominal basic reformulation.</t>
  </si>
  <si>
    <t xml:space="preserve">Financing mode  {Target FLEV | Funding policy}</t>
  </si>
  <si>
    <t xml:space="preserve">Target FLEV</t>
  </si>
  <si>
    <t xml:space="preserve">Scenario  {Bear | Consensus | Bull | Normal}</t>
  </si>
  <si>
    <t xml:space="preserve">Consensus</t>
  </si>
  <si>
    <t xml:space="preserve">Normal = zero-economic-profit structural floor (no growth, no buyback).</t>
  </si>
  <si>
    <t xml:space="preserve">Implied grid — g start</t>
  </si>
  <si>
    <t xml:space="preserve">Implied grid — g step</t>
  </si>
  <si>
    <t xml:space="preserve">AUDIT — STANDING FORMULA-INTEGRITY &amp; TIE CHECKS</t>
  </si>
  <si>
    <t xml:space="preserve">B5/B6 cover the LIVE in-sheet identity ties only. Constants/magic/colour are NOT computed in-sheet: run the out-of-band auditor (audit.py) separately — it must read TOTAL 0. BOTH gates (this PASS and audit.py TOTAL 0) must be green to trust output.</t>
  </si>
  <si>
    <t xml:space="preserve">MASTER STATUS</t>
  </si>
  <si>
    <t xml:space="preserve">Grand total (LIVE identity residuals only; target 0) — tautological terms excluded, see rows 27/28</t>
  </si>
  <si>
    <t xml:space="preserve">Status</t>
  </si>
  <si>
    <t xml:space="preserve">tolerance 1e-5 absorbs floating-point residuals on the FCFE/clean-surplus ties</t>
  </si>
  <si>
    <t xml:space="preserve">CHECK 1-3 — EXTERNAL AUDITOR (audit.py): constants / magic / colour. Run separately; NOT summed into B5.</t>
  </si>
  <si>
    <t xml:space="preserve">  (external) stray-constant count — informational mirror, may be stale</t>
  </si>
  <si>
    <t xml:space="preserve">  Tab</t>
  </si>
  <si>
    <t xml:space="preserve">count</t>
  </si>
  <si>
    <t xml:space="preserve">target</t>
  </si>
  <si>
    <t xml:space="preserve">(no calc tabs yet — rows added as IS/BS/CF/reform/rates/forecast/val land)</t>
  </si>
  <si>
    <t xml:space="preserve">CHECK 2 — Magic numbers in formulas (auditor-fed; run audit.py to refresh)</t>
  </si>
  <si>
    <t xml:space="preserve">  (external) magic-literal count — informational mirror, may be stale</t>
  </si>
  <si>
    <t xml:space="preserve">→ target 0</t>
  </si>
  <si>
    <t xml:space="preserve">auditor diagnostic readout; 0 = fresh book, no formulas off-surface</t>
  </si>
  <si>
    <t xml:space="preserve">CHECK 3 — Colour integrity (auditor-fed)</t>
  </si>
  <si>
    <t xml:space="preserve">  (external) colour-violation count — informational mirror, may be stale</t>
  </si>
  <si>
    <t xml:space="preserve">blue only on Inputs / reported-data / forecast driver surface (G.1)</t>
  </si>
  <si>
    <t xml:space="preserve">CHECK 4 — Tie block (identities = 0; live in-sheet)</t>
  </si>
  <si>
    <t xml:space="preserve">  Identity</t>
  </si>
  <si>
    <t xml:space="preserve">residual</t>
  </si>
  <si>
    <t xml:space="preserve">status</t>
  </si>
  <si>
    <t xml:space="preserve">  NOA = CSE + NFO</t>
  </si>
  <si>
    <t xml:space="preserve">  FLEV·CSE = NFO</t>
  </si>
  <si>
    <t xml:space="preserve">  BPS·shares = CSE</t>
  </si>
  <si>
    <t xml:space="preserve">  NFO/sh·shares = NFO</t>
  </si>
  <si>
    <t xml:space="preserve">  Clean-surplus articulation (Step 3)</t>
  </si>
  <si>
    <t xml:space="preserve">(reserved)</t>
  </si>
  <si>
    <t xml:space="preserve">  (decorative) Equity↔Enterprise tie — identically 0; NOT summed into B5</t>
  </si>
  <si>
    <t xml:space="preserve">  (decorative) Value-additivity V(OI)=V(EPS)+V(NFE) — identically 0 by definition; NOT summed into B5</t>
  </si>
  <si>
    <t xml:space="preserve">  Buyback VP6 invariance (V_with=V_without)</t>
  </si>
  <si>
    <t xml:space="preserve">Σ |tie residuals| (target 0)</t>
  </si>
  <si>
    <t xml:space="preserve">CHECK 4b — Inputs anchor = reported FY2025 (reconciliation ties)</t>
  </si>
  <si>
    <t xml:space="preserve">  in_debt = reported Total Debt</t>
  </si>
  <si>
    <t xml:space="preserve">  in_cash = reported Cash</t>
  </si>
  <si>
    <t xml:space="preserve">  anchor_cse0 = reported CSE</t>
  </si>
  <si>
    <t xml:space="preserve">  anchor_shares0 = reported shares</t>
  </si>
  <si>
    <t xml:space="preserve">  anchor_eps0 = reported Diluted EPS</t>
  </si>
  <si>
    <t xml:space="preserve">  in_intexp0 = reported Interest Exp</t>
  </si>
  <si>
    <t xml:space="preserve">  in_oiadj0 = reported Operating Income</t>
  </si>
  <si>
    <t xml:space="preserve">  in_tax0 = reported Tax Rate</t>
  </si>
  <si>
    <t xml:space="preserve">Σ |reconciliation residuals| (target 0)</t>
  </si>
  <si>
    <t xml:space="preserve">CHECK 4c — Reformulation ties (=0)</t>
  </si>
  <si>
    <t xml:space="preserve">  Σ|partition tie NOA−NFO−CSE (nom)|</t>
  </si>
  <si>
    <t xml:space="preserve">  Σ|real tie NOA−NFO−CSE|</t>
  </si>
  <si>
    <t xml:space="preserve">  Cap Engine anchor = per-year 2025</t>
  </si>
  <si>
    <t xml:space="preserve">Σ |reformulation ties|</t>
  </si>
  <si>
    <t xml:space="preserve">memo: clean-surplus is a dirty-surplus residual (Econ St r70), not a =0 tie; reformulated CI absorbs it.</t>
  </si>
  <si>
    <t xml:space="preserve">CHECK 4d — Forecast engine identities (=0)</t>
  </si>
  <si>
    <t xml:space="preserve">  Σ|NOA−NFO−CSE|</t>
  </si>
  <si>
    <t xml:space="preserve">  Σ|EPS×sh−NI|</t>
  </si>
  <si>
    <t xml:space="preserve">  Σ|FCFE−distribution|</t>
  </si>
  <si>
    <t xml:space="preserve">Σ |forecast ties|</t>
  </si>
  <si>
    <t xml:space="preserve">CHECK 5 — DCF / RI / FCFE / FCFF reconciliation (=0)</t>
  </si>
  <si>
    <t xml:space="preserve">  V(FCFE) − V(RI)</t>
  </si>
  <si>
    <t xml:space="preserve">  Equity(FCFF) − V(RI)</t>
  </si>
  <si>
    <t xml:space="preserve">Σ |DCF recon ties|</t>
  </si>
  <si>
    <t xml:space="preserve">CHECK 6 — cross-tab: Valuation AEG form vs DCF Reconciliation RI form (=0)</t>
  </si>
  <si>
    <t xml:space="preserve">  Valuation V(EPS) $/sh  [HEADLINE, AEG form]</t>
  </si>
  <si>
    <t xml:space="preserve">  DCF Rec V(RI) $/sh     [residual-income form, four-method tied]</t>
  </si>
  <si>
    <t xml:space="preserve">  gap $/sh  (AEG - RI)</t>
  </si>
  <si>
    <t xml:space="preserve">  gap as % of RI form</t>
  </si>
  <si>
    <t xml:space="preserve">  NOTE: identical only when the AEG terms are capitalised with the annuity factor implied by the ACTUAL cost-of-equity curve.</t>
  </si>
  <si>
    <t xml:space="preserve">Sigma |cross-tab tie|   [GATE: summed into B5]</t>
  </si>
  <si>
    <t xml:space="preserve">CHECK 7 — operations: value-weighted direct vs additive, and flow additivity  [both LIVE, both summed into B5]</t>
  </si>
  <si>
    <t xml:space="preserve">  V(ops)@rho_F* − V(ops) additive</t>
  </si>
  <si>
    <t xml:space="preserve">  Σ|FCFF − (FCFE + FCFD)|</t>
  </si>
  <si>
    <t xml:space="preserve">Σ |CHECK 7|   [GATE: summed into B5]</t>
  </si>
  <si>
    <t xml:space="preserve">INCOME STATEMENT — Apple Inc. (AAPL)</t>
  </si>
  <si>
    <t xml:space="preserve">Filed data (Apple Inc.). $mm unless noted · per-share $ · ratios frac · shares mm. Blue = filed input. Loaded by the AEG data pipeline.</t>
  </si>
  <si>
    <t xml:space="preserve">Line item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</si>
  <si>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</si>
  <si>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</si>
  <si>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</si>
  <si>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</si>
  <si>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</si>
  <si>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</si>
  <si>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</si>
  <si>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</si>
  <si>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</si>
  <si>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</si>
  <si>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</si>
  <si>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</si>
  <si>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</si>
  <si>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</si>
  <si>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</si>
  <si>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</si>
  <si>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</si>
  <si>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</si>
  <si>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</si>
  <si>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</si>
  <si>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</si>
  <si>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</si>
  <si>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</si>
  <si>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</si>
  <si>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</si>
  <si>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</si>
  <si>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</si>
  <si>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</si>
  <si>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</si>
  <si>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</si>
  <si>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</si>
  <si>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</si>
  <si>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</si>
  <si>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</si>
  <si>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</si>
  <si>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</si>
  <si>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</si>
  <si>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</si>
  <si>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</si>
  <si>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</si>
  <si>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</si>
  <si>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 Revenue</t>
  </si>
  <si>
    <t xml:space="preserve">  Operating Revenue</t>
  </si>
  <si>
    <t xml:space="preserve">Cost of Revenue</t>
  </si>
  <si>
    <t xml:space="preserve">Gross Profit</t>
  </si>
  <si>
    <t xml:space="preserve">Operating Expense</t>
  </si>
  <si>
    <t xml:space="preserve">  Selling General and Administrative</t>
  </si>
  <si>
    <t xml:space="preserve">  Depreciation Amortization Depletion</t>
  </si>
  <si>
    <t xml:space="preserve">    Depreciation &amp; amortization</t>
  </si>
  <si>
    <t xml:space="preserve">  Other Operating Expenses</t>
  </si>
  <si>
    <t xml:space="preserve">Operating Income</t>
  </si>
  <si>
    <t xml:space="preserve">Net Non Operating Interest Income Expense</t>
  </si>
  <si>
    <t xml:space="preserve">  Interest Income Non Operating</t>
  </si>
  <si>
    <t xml:space="preserve">  Interest Expense Non Operating</t>
  </si>
  <si>
    <t xml:space="preserve">Other Income Expense</t>
  </si>
  <si>
    <t xml:space="preserve">  Earnings from Equity Interest</t>
  </si>
  <si>
    <t xml:space="preserve">  Special Income Charges</t>
  </si>
  <si>
    <t xml:space="preserve">    Restructuring &amp; Mergers Acquisition</t>
  </si>
  <si>
    <t xml:space="preserve">    Impairment of Capital Assets</t>
  </si>
  <si>
    <t xml:space="preserve">    Write Off</t>
  </si>
  <si>
    <t xml:space="preserve">    Other Special Charges</t>
  </si>
  <si>
    <t xml:space="preserve">    Gain on Sale of PPE</t>
  </si>
  <si>
    <t xml:space="preserve">  Other Non Operating Income Expenses</t>
  </si>
  <si>
    <t xml:space="preserve">Pretax Income</t>
  </si>
  <si>
    <t xml:space="preserve">Tax Provision</t>
  </si>
  <si>
    <t xml:space="preserve">Net Income Common Stockholders</t>
  </si>
  <si>
    <t xml:space="preserve">  Net Income</t>
  </si>
  <si>
    <t xml:space="preserve">    Net Income Including Non-Controlling Interests</t>
  </si>
  <si>
    <t xml:space="preserve">      Net Income Continuous Operations</t>
  </si>
  <si>
    <t xml:space="preserve">      Net Income Discontinuous Operations</t>
  </si>
  <si>
    <t xml:space="preserve">      Net Income Extraordinary</t>
  </si>
  <si>
    <t xml:space="preserve">      Net Income from Tax Loss Carryforward</t>
  </si>
  <si>
    <t xml:space="preserve">    Minority Interests</t>
  </si>
  <si>
    <t xml:space="preserve">  Preferred Stock Dividends</t>
  </si>
  <si>
    <t xml:space="preserve">  Otherunder Preferred Stock Dividend</t>
  </si>
  <si>
    <t xml:space="preserve">Average Dilution Earnings</t>
  </si>
  <si>
    <t xml:space="preserve">Diluted NI Available to Com Stockholders</t>
  </si>
  <si>
    <t xml:space="preserve">Basic EPS</t>
  </si>
  <si>
    <t xml:space="preserve">Diluted EPS</t>
  </si>
  <si>
    <t xml:space="preserve">Basic Average Shares</t>
  </si>
  <si>
    <t xml:space="preserve">Diluted Average Shares</t>
  </si>
  <si>
    <t xml:space="preserve">Total Operating Income as Reported</t>
  </si>
  <si>
    <t xml:space="preserve">Total Expenses</t>
  </si>
  <si>
    <t xml:space="preserve">Net Income from Continuing &amp; Discontinued Operation</t>
  </si>
  <si>
    <t xml:space="preserve">Normalized Income</t>
  </si>
  <si>
    <t xml:space="preserve">Interest Income</t>
  </si>
  <si>
    <t xml:space="preserve">Interest Expense</t>
  </si>
  <si>
    <t xml:space="preserve">Net Interest Income</t>
  </si>
  <si>
    <t xml:space="preserve">EBIT</t>
  </si>
  <si>
    <t xml:space="preserve">EBITDA</t>
  </si>
  <si>
    <t xml:space="preserve">Reconciled Cost of Revenue</t>
  </si>
  <si>
    <t xml:space="preserve">Reconciled Depreciation</t>
  </si>
  <si>
    <t xml:space="preserve">Net Income from Continuing Operation Net Minority Interest</t>
  </si>
  <si>
    <t xml:space="preserve">Total Unusual Items Excluding Goodwill</t>
  </si>
  <si>
    <t xml:space="preserve">Total Unusual Items</t>
  </si>
  <si>
    <t xml:space="preserve">Normalized EBITDA</t>
  </si>
  <si>
    <t xml:space="preserve">Tax Rate for Calcs</t>
  </si>
  <si>
    <t xml:space="preserve">Tax Effect of Unusual Items</t>
  </si>
  <si>
    <t xml:space="preserve">BALANCE SHEET — Apple Inc. (AAPL)</t>
  </si>
  <si>
    <t xml:space="preserve">Total Assets</t>
  </si>
  <si>
    <t xml:space="preserve">  Current Assets</t>
  </si>
  <si>
    <t xml:space="preserve">    Cash, Cash Equivalents &amp; Short Term Investments</t>
  </si>
  <si>
    <t xml:space="preserve">      Cash And Cash Equivalents</t>
  </si>
  <si>
    <t xml:space="preserve">        Cash</t>
  </si>
  <si>
    <t xml:space="preserve">        Cash Equivalents</t>
  </si>
  <si>
    <t xml:space="preserve">      Other Short Term Investments</t>
  </si>
  <si>
    <t xml:space="preserve">    Receivables</t>
  </si>
  <si>
    <t xml:space="preserve">      Accounts receivable</t>
  </si>
  <si>
    <t xml:space="preserve">        Gross Accounts Receivable</t>
  </si>
  <si>
    <t xml:space="preserve">        Allowance For Doubtful Accounts Receivable</t>
  </si>
  <si>
    <t xml:space="preserve">      Loans Receivable</t>
  </si>
  <si>
    <t xml:space="preserve">      Notes Receivable</t>
  </si>
  <si>
    <t xml:space="preserve">    Inventory</t>
  </si>
  <si>
    <t xml:space="preserve">      Raw Materials</t>
  </si>
  <si>
    <t xml:space="preserve">    Prepaid Assets</t>
  </si>
  <si>
    <t xml:space="preserve">    Restricted Cash</t>
  </si>
  <si>
    <t xml:space="preserve">    Current Deferred Assets</t>
  </si>
  <si>
    <t xml:space="preserve">      Current Deferred Taxes Assets</t>
  </si>
  <si>
    <t xml:space="preserve">    Assets Held for Sale Current</t>
  </si>
  <si>
    <t xml:space="preserve">    Other Current Assets</t>
  </si>
  <si>
    <t xml:space="preserve">  Total non-current assets</t>
  </si>
  <si>
    <t xml:space="preserve">    Net PPE</t>
  </si>
  <si>
    <t xml:space="preserve">      Gross PPE</t>
  </si>
  <si>
    <t xml:space="preserve">        Properties</t>
  </si>
  <si>
    <t xml:space="preserve">        Land And Improvements</t>
  </si>
  <si>
    <t xml:space="preserve">        Buildings And Improvements</t>
  </si>
  <si>
    <t xml:space="preserve">        Machinery Furniture Equipment</t>
  </si>
  <si>
    <t xml:space="preserve">        Other Properties</t>
  </si>
  <si>
    <t xml:space="preserve">        Construction in Progress</t>
  </si>
  <si>
    <t xml:space="preserve">      Accumulated Depreciation</t>
  </si>
  <si>
    <t xml:space="preserve">    Goodwill And Other Intangible Assets</t>
  </si>
  <si>
    <t xml:space="preserve">      Goodwill</t>
  </si>
  <si>
    <t xml:space="preserve">      Other Intangible Assets</t>
  </si>
  <si>
    <t xml:space="preserve">    Investments And Advances</t>
  </si>
  <si>
    <t xml:space="preserve">      Long Term Equity Investment</t>
  </si>
  <si>
    <t xml:space="preserve">        Investments in Subsidiariesat Cost</t>
  </si>
  <si>
    <t xml:space="preserve">        Investments in Associatesat Cost</t>
  </si>
  <si>
    <t xml:space="preserve">        Investments in Joint Venturesat Cost</t>
  </si>
  <si>
    <t xml:space="preserve">    Non Current Note Receivables</t>
  </si>
  <si>
    <t xml:space="preserve">    Defined Pension Benefit</t>
  </si>
  <si>
    <t xml:space="preserve">    Other Non Current Assets</t>
  </si>
  <si>
    <t xml:space="preserve">Total Liabilities Net Minority Interest</t>
  </si>
  <si>
    <t xml:space="preserve">  Current Liabilities</t>
  </si>
  <si>
    <t xml:space="preserve">    Payables And Accrued Expenses</t>
  </si>
  <si>
    <t xml:space="preserve">      Payables</t>
  </si>
  <si>
    <t xml:space="preserve">        Accounts Payable</t>
  </si>
  <si>
    <t xml:space="preserve">        Total Tax Payable</t>
  </si>
  <si>
    <t xml:space="preserve">          Income Tax Payable</t>
  </si>
  <si>
    <t xml:space="preserve">        Dividends Payable</t>
  </si>
  <si>
    <t xml:space="preserve">        Other Payable</t>
  </si>
  <si>
    <t xml:space="preserve">      Current Accrued Expenses</t>
  </si>
  <si>
    <t xml:space="preserve">        Interest Payable</t>
  </si>
  <si>
    <t xml:space="preserve">    Pension &amp; Other Post Retirement Benefit Plans Current</t>
  </si>
  <si>
    <t xml:space="preserve">    Current Debt And Capital Lease Obligation</t>
  </si>
  <si>
    <t xml:space="preserve">      Current Debt</t>
  </si>
  <si>
    <t xml:space="preserve">        Current Notes Payable</t>
  </si>
  <si>
    <t xml:space="preserve">        Commercial Paper</t>
  </si>
  <si>
    <t xml:space="preserve">        Line of Credit</t>
  </si>
  <si>
    <t xml:space="preserve">        Other Current Borrowings</t>
  </si>
  <si>
    <t xml:space="preserve">      Current Capital Lease Obligation</t>
  </si>
  <si>
    <t xml:space="preserve">    Current Deferred Liabilities</t>
  </si>
  <si>
    <t xml:space="preserve">      Current Deferred Revenue</t>
  </si>
  <si>
    <t xml:space="preserve">    Other Current Liabilities</t>
  </si>
  <si>
    <t xml:space="preserve">  Total Non Current Liabilities Net Minority Interest</t>
  </si>
  <si>
    <t xml:space="preserve">    Long Term Debt And Capital Lease Obligation</t>
  </si>
  <si>
    <t xml:space="preserve">      Long Term Debt</t>
  </si>
  <si>
    <t xml:space="preserve">      Long Term Capital Lease Obligation</t>
  </si>
  <si>
    <t xml:space="preserve">    Non Current Deferred Liabilities</t>
  </si>
  <si>
    <t xml:space="preserve">      Non Current Deferred Taxes Liabilities</t>
  </si>
  <si>
    <t xml:space="preserve">    Employee Benefits</t>
  </si>
  <si>
    <t xml:space="preserve">      Non Current Pension And Other Post-Retirement Benefit Plans</t>
  </si>
  <si>
    <t xml:space="preserve">    Preferred Securities Outside Stock Equity</t>
  </si>
  <si>
    <t xml:space="preserve">    Other Non Current Liabilities</t>
  </si>
  <si>
    <t xml:space="preserve">Total Equity Gross Minority Interest</t>
  </si>
  <si>
    <t xml:space="preserve">  Stockholders' Equity</t>
  </si>
  <si>
    <t xml:space="preserve">    Capital Stock</t>
  </si>
  <si>
    <t xml:space="preserve">      Preferred Stock</t>
  </si>
  <si>
    <t xml:space="preserve">      Common Stock</t>
  </si>
  <si>
    <t xml:space="preserve">    Additional Paid in Capital</t>
  </si>
  <si>
    <t xml:space="preserve">    Retained Earnings</t>
  </si>
  <si>
    <t xml:space="preserve">    Treasury Stock</t>
  </si>
  <si>
    <t xml:space="preserve">    Gains Losses Not Affecting Retained Earnings</t>
  </si>
  <si>
    <t xml:space="preserve">      Unrealized Gain Loss</t>
  </si>
  <si>
    <t xml:space="preserve">      Minimum Pension Liabilities</t>
  </si>
  <si>
    <t xml:space="preserve">      Foreign Currency Translation Adjustments</t>
  </si>
  <si>
    <t xml:space="preserve">      Other Equity Adjustments</t>
  </si>
  <si>
    <t xml:space="preserve">    Other Equity Interest</t>
  </si>
  <si>
    <t xml:space="preserve">  Minority Interest</t>
  </si>
  <si>
    <t xml:space="preserve">Total Capitalization</t>
  </si>
  <si>
    <t xml:space="preserve">Common Stock Equity</t>
  </si>
  <si>
    <t xml:space="preserve">Capital Lease Obligations</t>
  </si>
  <si>
    <t xml:space="preserve">Net Tangible Assets</t>
  </si>
  <si>
    <t xml:space="preserve">Working Capital</t>
  </si>
  <si>
    <t xml:space="preserve">Invested Capital</t>
  </si>
  <si>
    <t xml:space="preserve">Tangible Book Value</t>
  </si>
  <si>
    <t xml:space="preserve">Total Debt</t>
  </si>
  <si>
    <t xml:space="preserve">Net Debt</t>
  </si>
  <si>
    <t xml:space="preserve">Share Issued</t>
  </si>
  <si>
    <t xml:space="preserve">Ordinary Shares Number</t>
  </si>
  <si>
    <t xml:space="preserve">Preferred Shares Number</t>
  </si>
  <si>
    <t xml:space="preserve">Treasury Shares Number</t>
  </si>
  <si>
    <t xml:space="preserve">CASH FLOW — Apple Inc. (AAPL)</t>
  </si>
  <si>
    <t xml:space="preserve">Operating Cash Flow</t>
  </si>
  <si>
    <t xml:space="preserve">  Cash Flow from Continuing Operating Activities</t>
  </si>
  <si>
    <t xml:space="preserve">    Net Income from Continuing Operations</t>
  </si>
  <si>
    <t xml:space="preserve">    Operating Gains Losses</t>
  </si>
  <si>
    <t xml:space="preserve">      Gain Loss On Sale of Business</t>
  </si>
  <si>
    <t xml:space="preserve">      Gain Loss On Sale of PPE</t>
  </si>
  <si>
    <t xml:space="preserve">      Gain Loss On Investment Securities</t>
  </si>
  <si>
    <t xml:space="preserve">      Earnings Losses from Equity Investments</t>
  </si>
  <si>
    <t xml:space="preserve">      Pension And Employee Benefit Expense</t>
  </si>
  <si>
    <t xml:space="preserve">    Depreciation Amortization Depletion</t>
  </si>
  <si>
    <t xml:space="preserve">      Depreciation &amp; amortization</t>
  </si>
  <si>
    <t xml:space="preserve">        Depreciation</t>
  </si>
  <si>
    <t xml:space="preserve">        Amortization</t>
  </si>
  <si>
    <t xml:space="preserve">          Amortization of Intangibles</t>
  </si>
  <si>
    <t xml:space="preserve">    Deferred Tax</t>
  </si>
  <si>
    <t xml:space="preserve">      Deferred Income Tax</t>
  </si>
  <si>
    <t xml:space="preserve">    Asset Impairment Charge</t>
  </si>
  <si>
    <t xml:space="preserve">    Provision &amp; Write Off of Assets</t>
  </si>
  <si>
    <t xml:space="preserve">    Unrealized Gain Loss On Investment Securities</t>
  </si>
  <si>
    <t xml:space="preserve">    Excess Tax Benefit from Stock Based Compensation</t>
  </si>
  <si>
    <t xml:space="preserve">    Other non-cash items</t>
  </si>
  <si>
    <t xml:space="preserve">    Change in working capital</t>
  </si>
  <si>
    <t xml:space="preserve">      Change in Receivables</t>
  </si>
  <si>
    <t xml:space="preserve">        Changes in Account Receivables</t>
  </si>
  <si>
    <t xml:space="preserve">      Change in Inventory</t>
  </si>
  <si>
    <t xml:space="preserve">      Change in Payables And Accrued Expense</t>
  </si>
  <si>
    <t xml:space="preserve">      Change in Other Current Assets</t>
  </si>
  <si>
    <t xml:space="preserve">      Change in Other Current Liabilities</t>
  </si>
  <si>
    <t xml:space="preserve">      Change in Other Working Capital</t>
  </si>
  <si>
    <t xml:space="preserve">  Cash from Discontinued Operating Activities</t>
  </si>
  <si>
    <t xml:space="preserve">Investing Cash Flow</t>
  </si>
  <si>
    <t xml:space="preserve">  Cash Flow from Continuing Investing Activities</t>
  </si>
  <si>
    <t xml:space="preserve">    Capital Expenditure Reported</t>
  </si>
  <si>
    <t xml:space="preserve">    Net PPE Purchase And Sale</t>
  </si>
  <si>
    <t xml:space="preserve">      Purchase of PPE</t>
  </si>
  <si>
    <t xml:space="preserve">      Sale of PPE</t>
  </si>
  <si>
    <t xml:space="preserve">    Net Business Purchase And Sale</t>
  </si>
  <si>
    <t xml:space="preserve">      Purchase of Business</t>
  </si>
  <si>
    <t xml:space="preserve">      Sale of Business</t>
  </si>
  <si>
    <t xml:space="preserve">    Net Investment Purchase And Sale</t>
  </si>
  <si>
    <t xml:space="preserve">      Purchase of Investment</t>
  </si>
  <si>
    <t xml:space="preserve">      Sale of Investment</t>
  </si>
  <si>
    <t xml:space="preserve">    Dividends Received CFI</t>
  </si>
  <si>
    <t xml:space="preserve">    Interest Received CFI</t>
  </si>
  <si>
    <t xml:space="preserve">    Net Other Investing Changes</t>
  </si>
  <si>
    <t xml:space="preserve">  Cash from Discontinued Investing Activities</t>
  </si>
  <si>
    <t xml:space="preserve">Financing Cash Flow</t>
  </si>
  <si>
    <t xml:space="preserve">  Cash Flow from Continuing Financing Activities</t>
  </si>
  <si>
    <t xml:space="preserve">    Net Issuance Payments of Debt</t>
  </si>
  <si>
    <t xml:space="preserve">      Net Long Term Debt Issuance</t>
  </si>
  <si>
    <t xml:space="preserve">        Long Term Debt Issuance</t>
  </si>
  <si>
    <t xml:space="preserve">        Long Term Debt Payments</t>
  </si>
  <si>
    <t xml:space="preserve">      Net Short Term Debt Issuance</t>
  </si>
  <si>
    <t xml:space="preserve">        Short Term Debt Issuance</t>
  </si>
  <si>
    <t xml:space="preserve">        Short Term Debt Payments</t>
  </si>
  <si>
    <t xml:space="preserve">    Net Common Stock Issuance</t>
  </si>
  <si>
    <t xml:space="preserve">      Common Stock Issuance</t>
  </si>
  <si>
    <t xml:space="preserve">      Common Stock Payments</t>
  </si>
  <si>
    <t xml:space="preserve">    Net Preferred Stock Issuance</t>
  </si>
  <si>
    <t xml:space="preserve">      Preferred Stock Issuance</t>
  </si>
  <si>
    <t xml:space="preserve">      Preferred Stock Payments</t>
  </si>
  <si>
    <t xml:space="preserve">    Cash Dividends Paid</t>
  </si>
  <si>
    <t xml:space="preserve">      Common Stock Dividend Paid</t>
  </si>
  <si>
    <t xml:space="preserve">      Preferred Stock Dividend Paid</t>
  </si>
  <si>
    <t xml:space="preserve">    Net Other Financing Charges</t>
  </si>
  <si>
    <t xml:space="preserve">  Cash from Discontinued Financing Activities</t>
  </si>
  <si>
    <t xml:space="preserve">End Cash Position</t>
  </si>
  <si>
    <t xml:space="preserve">  Changes in Cash</t>
  </si>
  <si>
    <t xml:space="preserve">  Beginning Cash Position</t>
  </si>
  <si>
    <t xml:space="preserve">  Other Cash Adjustment Outside Change in Cash</t>
  </si>
  <si>
    <t xml:space="preserve">Income Tax Paid Supplemental Data</t>
  </si>
  <si>
    <t xml:space="preserve">Interest Paid Supplemental Data</t>
  </si>
  <si>
    <t xml:space="preserve">Capital Expenditure</t>
  </si>
  <si>
    <t xml:space="preserve">Issuance of Capital Stock</t>
  </si>
  <si>
    <t xml:space="preserve">Issuance of Debt</t>
  </si>
  <si>
    <t xml:space="preserve">Repayment of Debt</t>
  </si>
  <si>
    <t xml:space="preserve">Repurchase of Capital Stock</t>
  </si>
  <si>
    <t xml:space="preserve">Free Cash Flow</t>
  </si>
  <si>
    <t xml:space="preserve">MARKET DATA — sourced rate/price series</t>
  </si>
  <si>
    <t xml:space="preserve">Two deflators (real 2026$): CPI-U for general items; BEA private nonresidential fixed-investment chain price index for PP&amp;E vintages. Full history loaded; consumers subset via lookup.</t>
  </si>
  <si>
    <t xml:space="preserve">CPI-U (general deflator)</t>
  </si>
  <si>
    <t xml:space="preserve">Year-end close: Yahoo daily T.csv, last trading day; x1.324 pre-2022 to reverse WBD-spin back-adjustment.</t>
  </si>
  <si>
    <t xml:space="preserve">CPI-U base (2026 ref)</t>
  </si>
  <si>
    <t xml:space="preserve">BLS CPI-U, May 2026 = 335.123 (latest). 1982-84=100.</t>
  </si>
  <si>
    <t xml:space="preserve">Year</t>
  </si>
  <si>
    <t xml:space="preserve">CPI-U (annual avg)</t>
  </si>
  <si>
    <t xml:space="preserve">Deflator = base/CPI</t>
  </si>
  <si>
    <t xml:space="preserve">BEA nonresidential fixed-investment (PP&amp;E deflator)</t>
  </si>
  <si>
    <t xml:space="preserve">BEA base (2026 ref)</t>
  </si>
  <si>
    <t xml:space="preserve">BEA B008RG (nonres. FI chain price idx), 2017=100; Q1 2026 = 118.040 (latest). FRED.</t>
  </si>
  <si>
    <t xml:space="preserve">BEA nonres-FI (annual avg)</t>
  </si>
  <si>
    <t xml:space="preserve">Deflator = base/BEA</t>
  </si>
  <si>
    <t xml:space="preserve">Apple Inc. year-end close (contemp., $/sh)  [buyback reserve]</t>
  </si>
  <si>
    <t xml:space="preserve">year-end close (split-adjusted, today's basis, $/sh)  [market cap only -- NOT the buyback reserve]</t>
  </si>
  <si>
    <t xml:space="preserve">RATE CONSTRUCTION (real 2026$; 1yr-forward curves)</t>
  </si>
  <si>
    <t xml:space="preserve">Treasury nominal par (CMT) &amp; TIPS real par → breakeven infl = nominal−TIPS; 1–4yr infl stub = Cleveland Fed EXPINF (TIPS knots ≥5yr). Company ρD from issued-bond YTW ladder. Refresh each session.</t>
  </si>
  <si>
    <t xml:space="preserve">Tenor t</t>
  </si>
  <si>
    <t xml:space="preserve">Expected inflation — SPOT (breakeven)</t>
  </si>
  <si>
    <t xml:space="preserve">Expected inflation — 1yr FORWARD  [finrate_infl]</t>
  </si>
  <si>
    <t xml:space="preserve">Real risk-free — SPOT (TIPS)</t>
  </si>
  <si>
    <t xml:space="preserve">Real risk-free — 1yr FORWARD</t>
  </si>
  <si>
    <t xml:space="preserve">Equity risk premium (real)  [= in_erp; finrate_erp]</t>
  </si>
  <si>
    <t xml:space="preserve">COE ρE real fwd = real fwd rf + ERP  [finrate_coe]</t>
  </si>
  <si>
    <t xml:space="preserve">ρD nominal — SPOT (AAPL YTW ladder)</t>
  </si>
  <si>
    <t xml:space="preserve">ρD nominal — 1yr FORWARD</t>
  </si>
  <si>
    <t xml:space="preserve">ρD real — 1yr FORWARD  [finrate_cod]</t>
  </si>
  <si>
    <t xml:space="preserve">memo: implied credit spread (nom spot)</t>
  </si>
  <si>
    <t xml:space="preserve">CAP ENGINE — economic restatement (PP&amp;E vintage · R&amp;D capitalization)</t>
  </si>
  <si>
    <t xml:space="preserve">PP&amp;E vintages deflated on the BEA nonresidential fixed-investment index (capital-goods prices), gated by age&lt;L, straight-line composite. L=in_ppe_life, anchor=in_anchor_year.</t>
  </si>
  <si>
    <t xml:space="preserve">PP&amp;E VINTAGE RESTATEMENT</t>
  </si>
  <si>
    <t xml:space="preserve">Vintage yr</t>
  </si>
  <si>
    <t xml:space="preserve">Nominal capex</t>
  </si>
  <si>
    <t xml:space="preserve">Deflator(BEA)→2026$</t>
  </si>
  <si>
    <t xml:space="preserve">Real capex 2026$</t>
  </si>
  <si>
    <t xml:space="preserve">Age = A−v</t>
  </si>
  <si>
    <t xml:space="preserve">Live (age&lt;L)</t>
  </si>
  <si>
    <t xml:space="preserve">Remaining (L−age)/L</t>
  </si>
  <si>
    <t xml:space="preserve">Real gross contrib</t>
  </si>
  <si>
    <t xml:space="preserve">Real net = real×rem</t>
  </si>
  <si>
    <t xml:space="preserve">v (num)</t>
  </si>
  <si>
    <t xml:space="preserve">REAL PP&amp;E ANCHOR (FY = in_anchor_year, real 2026$)</t>
  </si>
  <si>
    <t xml:space="preserve">Real gross PP&amp;E = Σ gross contrib</t>
  </si>
  <si>
    <t xml:space="preserve">Real net PP&amp;E = Σ real net</t>
  </si>
  <si>
    <t xml:space="preserve">Real accum. deprec. = gross − net</t>
  </si>
  <si>
    <t xml:space="preserve">Economic depreciation = real gross / L</t>
  </si>
  <si>
    <t xml:space="preserve">RECONCILIATION vs reported nominal PP&amp;E</t>
  </si>
  <si>
    <t xml:space="preserve">Reported nominal gross PP&amp;E</t>
  </si>
  <si>
    <t xml:space="preserve">Reported nominal net PP&amp;E</t>
  </si>
  <si>
    <t xml:space="preserve">Real/nominal gross ratio</t>
  </si>
  <si>
    <t xml:space="preserve">Real/nominal net ratio</t>
  </si>
  <si>
    <t xml:space="preserve">Live-vintage count</t>
  </si>
  <si>
    <t xml:space="preserve">R&amp;D CAPITALIZATION (general)</t>
  </si>
  <si>
    <t xml:space="preserve">R&amp;D expense reported ($mm) [Inputs]</t>
  </si>
  <si>
    <t xml:space="preserve">R&amp;D amortization life (Inputs)</t>
  </si>
  <si>
    <t xml:space="preserve">R&amp;D reserve = expense × life</t>
  </si>
  <si>
    <t xml:space="preserve">PER-YEAR ECONOMIC PP&amp;E SERIES (real 2026$; each year re-ages live vintages)</t>
  </si>
  <si>
    <t xml:space="preserve">Anchor year t</t>
  </si>
  <si>
    <t xml:space="preserve">Real gross PP&amp;E(t)</t>
  </si>
  <si>
    <t xml:space="preserve">Real net PP&amp;E(t)</t>
  </si>
  <si>
    <t xml:space="preserve">Economic depreciation(t)</t>
  </si>
  <si>
    <t xml:space="preserve">ECON STATEMENTS — reformulated IS/BS (real 2026$)  [historical restatement stays REAL 2026$ — presentation basis]</t>
  </si>
  <si>
    <t xml:space="preserve">General: pulls reported rows by named range + INDEX/MATCH, Cap Engine real PP&amp;E, Market Data deflators, Inputs assumptions. Partition: MI+pension in NFO. PP&amp;E on BEA; other items on CPI. Effective-rate tax.</t>
  </si>
  <si>
    <t xml:space="preserve">Restatement view (cfg_restatement):</t>
  </si>
  <si>
    <t xml:space="preserve">Fiscal year</t>
  </si>
  <si>
    <t xml:space="preserve">CPI deflator  [MULTIPLIER: nominal x this = base-year 2026$. Do NOT divide.]</t>
  </si>
  <si>
    <t xml:space="preserve">BEA deflator  [MULTIPLIER: nominal x this = base-year 2026$. Do NOT divide.]</t>
  </si>
  <si>
    <t xml:space="preserve">REPORTED (nominal $mm)</t>
  </si>
  <si>
    <t xml:space="preserve">Total assets</t>
  </si>
  <si>
    <t xml:space="preserve">Total liabilities</t>
  </si>
  <si>
    <t xml:space="preserve">Cash</t>
  </si>
  <si>
    <t xml:space="preserve">Total debt</t>
  </si>
  <si>
    <t xml:space="preserve">Pension (NC)</t>
  </si>
  <si>
    <t xml:space="preserve">Minority interest</t>
  </si>
  <si>
    <t xml:space="preserve">Reported net PP&amp;E</t>
  </si>
  <si>
    <t xml:space="preserve">Reported CSE (common)</t>
  </si>
  <si>
    <t xml:space="preserve">Shares (mm)</t>
  </si>
  <si>
    <t xml:space="preserve">Operating income</t>
  </si>
  <si>
    <t xml:space="preserve">D&amp;A (reconciled)</t>
  </si>
  <si>
    <t xml:space="preserve">Net income (common)</t>
  </si>
  <si>
    <t xml:space="preserve">Interest expense</t>
  </si>
  <si>
    <t xml:space="preserve">Tax rate</t>
  </si>
  <si>
    <t xml:space="preserve">OCI</t>
  </si>
  <si>
    <t xml:space="preserve">Dividends paid</t>
  </si>
  <si>
    <t xml:space="preserve">Repurchases</t>
  </si>
  <si>
    <t xml:space="preserve">PARTITION (nominal)</t>
  </si>
  <si>
    <t xml:space="preserve">Financial obligations</t>
  </si>
  <si>
    <t xml:space="preserve">Financial assets</t>
  </si>
  <si>
    <t xml:space="preserve">NFO (nominal)</t>
  </si>
  <si>
    <t xml:space="preserve">Operating assets</t>
  </si>
  <si>
    <t xml:space="preserve">Operating liabilities</t>
  </si>
  <si>
    <t xml:space="preserve">NOA (nominal, reported PP&amp;E)</t>
  </si>
  <si>
    <t xml:space="preserve">CSE (reported)</t>
  </si>
  <si>
    <t xml:space="preserve">tie: NOA−NFO−CSE (nom)</t>
  </si>
  <si>
    <t xml:space="preserve">ECONOMIC RESTATEMENT (real 2026$)</t>
  </si>
  <si>
    <t xml:space="preserve">Real net PP&amp;E (BEA)</t>
  </si>
  <si>
    <t xml:space="preserve">Non-PP&amp;E op net (nom)</t>
  </si>
  <si>
    <t xml:space="preserve">Real non-PP&amp;E op net</t>
  </si>
  <si>
    <t xml:space="preserve">Real NOA</t>
  </si>
  <si>
    <t xml:space="preserve">Real NFO</t>
  </si>
  <si>
    <t xml:space="preserve">Real CSE</t>
  </si>
  <si>
    <t xml:space="preserve">tie: Real NOA−NFO−CSE</t>
  </si>
  <si>
    <t xml:space="preserve">ECONOMIC FLOWS (real 2026$)</t>
  </si>
  <si>
    <t xml:space="preserve">Real EBITDA</t>
  </si>
  <si>
    <t xml:space="preserve">Economic depreciation</t>
  </si>
  <si>
    <t xml:space="preserve">Economic OI (pretax)</t>
  </si>
  <si>
    <t xml:space="preserve">Economic OI-after-tax</t>
  </si>
  <si>
    <t xml:space="preserve">NFE after-tax (real)</t>
  </si>
  <si>
    <t xml:space="preserve">Economic NI</t>
  </si>
  <si>
    <t xml:space="preserve">OCI (real)</t>
  </si>
  <si>
    <t xml:space="preserve">Comprehensive income</t>
  </si>
  <si>
    <t xml:space="preserve">METRICS (economic, ending-balance)</t>
  </si>
  <si>
    <t xml:space="preserve">RNOA (econ)</t>
  </si>
  <si>
    <t xml:space="preserve">FLEV (econ)</t>
  </si>
  <si>
    <t xml:space="preserve">NBC</t>
  </si>
  <si>
    <t xml:space="preserve">Spread</t>
  </si>
  <si>
    <t xml:space="preserve">ROCE</t>
  </si>
  <si>
    <t xml:space="preserve">Reported ROE (memo)</t>
  </si>
  <si>
    <t xml:space="preserve">CLEAN-SURPLUS (nominal check)</t>
  </si>
  <si>
    <t xml:space="preserve">Net distribution D = −(div+repurch)</t>
  </si>
  <si>
    <t xml:space="preserve">Reported CI (nom) = NI+OCI</t>
  </si>
  <si>
    <t xml:space="preserve">ΔCSE (nom)</t>
  </si>
  <si>
    <t xml:space="preserve">Clean-surplus residual (dirty)</t>
  </si>
  <si>
    <t xml:space="preserve">ACTIVE (cfg_restatement-selected)</t>
  </si>
  <si>
    <t xml:space="preserve">Active NOA</t>
  </si>
  <si>
    <t xml:space="preserve">Active NFO</t>
  </si>
  <si>
    <t xml:space="preserve">Active CSE</t>
  </si>
  <si>
    <t xml:space="preserve">Active OI-after-tax</t>
  </si>
  <si>
    <t xml:space="preserve">Active NI</t>
  </si>
  <si>
    <t xml:space="preserve">Active RNOA</t>
  </si>
  <si>
    <t xml:space="preserve">REAL IS LINES (real 2026$; forecast build-up base)</t>
  </si>
  <si>
    <t xml:space="preserve">Real revenue</t>
  </si>
  <si>
    <t xml:space="preserve">Real COGS</t>
  </si>
  <si>
    <t xml:space="preserve">Real gross profit</t>
  </si>
  <si>
    <t xml:space="preserve">Real SG&amp;A</t>
  </si>
  <si>
    <t xml:space="preserve">BUYBACK / REPURCHASE-PREMIUM ROE ADJUSTMENT  (JK-original · premium-only)</t>
  </si>
  <si>
    <t xml:space="preserve">Additive capital-efficiency view only; never enters AEG value (Penman Ch.5/6). RNOA untouched. Reserve raises the economic-CSE base so ROE falls; cfg_buyback {On|Off}. VP6 proves value-invariance.</t>
  </si>
  <si>
    <t xml:space="preserve">cfg_buyback active (1=On)</t>
  </si>
  <si>
    <t xml:space="preserve">Year-end price (contemp.)</t>
  </si>
  <si>
    <t xml:space="preserve">Market cap = adj. price x shares  [split-consistent]</t>
  </si>
  <si>
    <t xml:space="preserve">Book/market = repCSE/mktcap</t>
  </si>
  <si>
    <t xml:space="preserve">Premium fraction = 1−book/mkt</t>
  </si>
  <si>
    <t xml:space="preserve">Buyback $ (nominal)</t>
  </si>
  <si>
    <t xml:space="preserve">Annual premium reserve (real)</t>
  </si>
  <si>
    <t xml:space="preserve">Cumulative premium reserve</t>
  </si>
  <si>
    <t xml:space="preserve">Economic CSE (real)</t>
  </si>
  <si>
    <t xml:space="preserve">Adjusted base = CSE+reserve</t>
  </si>
  <si>
    <t xml:space="preserve">Economic CI (real)</t>
  </si>
  <si>
    <t xml:space="preserve">ROE unadjusted</t>
  </si>
  <si>
    <t xml:space="preserve">ROE ADJUSTED (premium)</t>
  </si>
  <si>
    <t xml:space="preserve">VP6 INVARIANCE — adjustment nets to zero in equity residual-income value</t>
  </si>
  <si>
    <t xml:space="preserve">flat real COE r (ρE_LR)</t>
  </si>
  <si>
    <t xml:space="preserve">DF_t = 1/(1+r)^(t−t0)</t>
  </si>
  <si>
    <t xml:space="preserve">RI without = CI − r·CSE(prior)</t>
  </si>
  <si>
    <t xml:space="preserve">RI with = (CI+Δres) − r·adjbase(prior)</t>
  </si>
  <si>
    <t xml:space="preserve">V_without = CSE₀ + ΣPV(RI_wo) − DF_N·CSE_N</t>
  </si>
  <si>
    <t xml:space="preserve">V_with = adjbase₀ + ΣPV(RI_w) − DF_N·adjbase_N</t>
  </si>
  <si>
    <t xml:space="preserve">★ VP6 tie = V_with − V_without</t>
  </si>
  <si>
    <t xml:space="preserve">FORECAST — merged cfg_mode engine (real spine 2026$; NOMINAL published series rows 39-47; cash tax on historical-cost depreciation)</t>
  </si>
  <si>
    <t xml:space="preserve">One dual-mode tab. REAL spine (rows 5-36) drives the build; rows 37-38 carry pi_t and the cumulative index; rows 39-47 publish the NOMINAL series consumed by Valuation and DCF Reconciliation. Rows 48-52/34-35 compute cash tax on historical-cost depreciation.</t>
  </si>
  <si>
    <t xml:space="preserve">cfg_mode:</t>
  </si>
  <si>
    <t xml:space="preserve">financing:</t>
  </si>
  <si>
    <t xml:space="preserve">Period t  (0 = last actual)</t>
  </si>
  <si>
    <t xml:space="preserve">INCOME STATEMENT — build to EPS</t>
  </si>
  <si>
    <t xml:space="preserve">Revenue</t>
  </si>
  <si>
    <t xml:space="preserve">  real revenue growth</t>
  </si>
  <si>
    <t xml:space="preserve">Gross profit</t>
  </si>
  <si>
    <t xml:space="preserve">  gross margin</t>
  </si>
  <si>
    <t xml:space="preserve">SG&amp;A</t>
  </si>
  <si>
    <t xml:space="preserve">  SG&amp;A % of revenue</t>
  </si>
  <si>
    <t xml:space="preserve">D&amp;A (economic depreciation)</t>
  </si>
  <si>
    <t xml:space="preserve">  depreciation rate (on prior PP&amp;E)</t>
  </si>
  <si>
    <t xml:space="preserve">Operating income (EBIT)</t>
  </si>
  <si>
    <t xml:space="preserve">Operating income, after tax (OI)</t>
  </si>
  <si>
    <t xml:space="preserve">  tax rate</t>
  </si>
  <si>
    <t xml:space="preserve">Net financial expense (NFE) = ρD × prior NFO</t>
  </si>
  <si>
    <t xml:space="preserve">Net income (comprehensive)</t>
  </si>
  <si>
    <t xml:space="preserve">Shares outstanding (mm)</t>
  </si>
  <si>
    <t xml:space="preserve">  net buyback rate  [E-driver]</t>
  </si>
  <si>
    <t xml:space="preserve">Net PP&amp;E (within NOA)</t>
  </si>
  <si>
    <t xml:space="preserve">  capital expenditure</t>
  </si>
  <si>
    <t xml:space="preserve">Net operating assets (NOA)</t>
  </si>
  <si>
    <t xml:space="preserve">  NFO  (financed by)</t>
  </si>
  <si>
    <t xml:space="preserve">  CSE = NOA − NFO  (equity: clean-surplus roll)</t>
  </si>
  <si>
    <t xml:space="preserve">FLEV target / funding policy δ  [E-driver]</t>
  </si>
  <si>
    <t xml:space="preserve">Dividends per share (DPS)</t>
  </si>
  <si>
    <t xml:space="preserve">Earnings per share (EPS = NI ÷ shares)</t>
  </si>
  <si>
    <t xml:space="preserve">Share repurchases ($) = shares retired × price</t>
  </si>
  <si>
    <t xml:space="preserve">  share price (constant P/B, off prior book)</t>
  </si>
  <si>
    <t xml:space="preserve">  constant P/B  = real price0 / real book0</t>
  </si>
  <si>
    <t xml:space="preserve">  depreciation tax penalty (nominal) = t x (econ - tax) dep   &lt;STAGE B1&gt;</t>
  </si>
  <si>
    <t xml:space="preserve">  depreciation tax penalty (real 2026$)  -&gt; charged to OI after tax   &lt;STAGE B1&gt;</t>
  </si>
  <si>
    <t xml:space="preserve">  capex % of revenue  [driver]</t>
  </si>
  <si>
    <t xml:space="preserve">  pi_t  expected inflation fwd [finrate_infl]   &lt;STAGE A&gt;</t>
  </si>
  <si>
    <t xml:space="preserve">  I_t  cumulative inflation index (I_0=1)       &lt;STAGE A&gt;</t>
  </si>
  <si>
    <t xml:space="preserve">  NOMINAL D&amp;A (economic depreciation)  &lt;STAGE A&gt;</t>
  </si>
  <si>
    <t xml:space="preserve">  NOMINAL Operating income, after tax (OI)  &lt;STAGE A&gt;</t>
  </si>
  <si>
    <t xml:space="preserve">  NOMINAL Net income (comprehensive)  &lt;STAGE A&gt;</t>
  </si>
  <si>
    <t xml:space="preserve">  NOMINAL   capital expenditure  &lt;STAGE A&gt;</t>
  </si>
  <si>
    <t xml:space="preserve">  NOMINAL Net operating assets (NOA)  &lt;STAGE A&gt;</t>
  </si>
  <si>
    <t xml:space="preserve">  NOMINAL   NFO  (financed by)  &lt;STAGE A&gt;</t>
  </si>
  <si>
    <t xml:space="preserve">  NOMINAL   CSE = NOA − NFO  (equity: clean-surplus roll)  &lt;STAGE A&gt;</t>
  </si>
  <si>
    <t xml:space="preserve">  NOMINAL Dividends per share (DPS)  &lt;STAGE A&gt;</t>
  </si>
  <si>
    <t xml:space="preserve">  NOMINAL Earnings per share (EPS = NI ÷ shares)  &lt;STAGE A&gt;</t>
  </si>
  <si>
    <t xml:space="preserve">  legacy nominal live gross PP&amp;E(t)  [tax basis, pre-anchor vintages]   &lt;STAGE B1&gt;</t>
  </si>
  <si>
    <t xml:space="preserve">  TAX depreciation (nominal, historical cost)   &lt;STAGE B1&gt;</t>
  </si>
  <si>
    <t xml:space="preserve">  NOA growth (real)  [E-driver]</t>
  </si>
  <si>
    <t xml:space="preserve">  FLEV target (or δ)  [driver]</t>
  </si>
  <si>
    <t xml:space="preserve">  economic depreciation (nominal, current cost)   &lt;STAGE B1&gt;</t>
  </si>
  <si>
    <t xml:space="preserve">DuPont &amp; Identity checks</t>
  </si>
  <si>
    <t xml:space="preserve">RNOA = OI ÷ prior NOA</t>
  </si>
  <si>
    <t xml:space="preserve">FLEV = NFO ÷ CSE</t>
  </si>
  <si>
    <t xml:space="preserve">tie: NOA − NFO − CSE</t>
  </si>
  <si>
    <t xml:space="preserve">tie: EPS×shares − NI</t>
  </si>
  <si>
    <t xml:space="preserve">tie: FCFE − total distribution</t>
  </si>
  <si>
    <t xml:space="preserve">rF_t (leverage-implied, normal-fill charge)</t>
  </si>
  <si>
    <t xml:space="preserve">R&amp;D econ charge (real; reconciles fwd EBIT to OI anchor)</t>
  </si>
  <si>
    <t xml:space="preserve">VALUATION — AEG equity decomposition · NOMINAL forecast, nominal discounting, real-rate capitalisation, curve-implied annuity factors (value in 2026$/sh)</t>
  </si>
  <si>
    <t xml:space="preserve">Equity: AEG on forecast EPS/DPS at ρE (finrate_coe). Financing at ρD (finrate_cod), constant structure. ρF leverage-implied → V(OI)−V(NFE)=V(EPS) as an identity. cfg_valread picks the read; tie proves agreement.</t>
  </si>
  <si>
    <t xml:space="preserve">Period t  (0 = anchor)</t>
  </si>
  <si>
    <t xml:space="preserve">rhoE  (NOMINAL per-year = Fisher(finrate_coe, finrate_infl))</t>
  </si>
  <si>
    <t xml:space="preserve">rhoD  (NOMINAL per-year = Fisher(finrate_cod, finrate_infl))</t>
  </si>
  <si>
    <t xml:space="preserve">EPS/sh (real) — per ANCHOR share in Enterprise mode</t>
  </si>
  <si>
    <t xml:space="preserve">DPS/sh (real) — TOTAL distribution (divs+buybacks) per ANCHOR share in Enterprise mode</t>
  </si>
  <si>
    <t xml:space="preserve">retained/sh = EPS − DPS</t>
  </si>
  <si>
    <t xml:space="preserve">BPS/sh (book, clean surplus) — per ANCHOR share in Enterprise mode</t>
  </si>
  <si>
    <t xml:space="preserve">NFO/sh — live forecast financing path (per ANCHOR share in Enterprise mode)  &lt;P4&gt;</t>
  </si>
  <si>
    <t xml:space="preserve">NFE/sh = ρD × NFO/sh</t>
  </si>
  <si>
    <t xml:space="preserve">OI/sh = EPS + NFE</t>
  </si>
  <si>
    <t xml:space="preserve">FLEV = NFO/sh ÷ BPS</t>
  </si>
  <si>
    <t xml:space="preserve">ρF = (ρE + FLEV·ρD)/(1+FLEV)  [levering identity]</t>
  </si>
  <si>
    <t xml:space="preserve">DF^E cumulative</t>
  </si>
  <si>
    <t xml:space="preserve">DF^D cumulative</t>
  </si>
  <si>
    <t xml:space="preserve">DF^F cumulative</t>
  </si>
  <si>
    <t xml:space="preserve">Long-run REAL rates (last tenor) — capitalisation BASE; cap rows 58-60 apply (1+pi_t)</t>
  </si>
  <si>
    <t xml:space="preserve">← ρE_LR | ρD_LR | ρF_LR</t>
  </si>
  <si>
    <t xml:space="preserve">normal EPS = (1+pi)*EPS(t-1) + (rhoE_nom - pi)*retained(t-1)</t>
  </si>
  <si>
    <t xml:space="preserve">AEG(EPS)</t>
  </si>
  <si>
    <t xml:space="preserve">contrib EPS [t&lt;=N] = dRI^E_t x A^E_t</t>
  </si>
  <si>
    <t xml:space="preserve">normal NFE</t>
  </si>
  <si>
    <t xml:space="preserve">AEG(NFE)</t>
  </si>
  <si>
    <t xml:space="preserve">contrib NFE [t&lt;=N] = dRI^D_t x A^D_t</t>
  </si>
  <si>
    <t xml:space="preserve">normal OI</t>
  </si>
  <si>
    <t xml:space="preserve">AEG(OI)</t>
  </si>
  <si>
    <t xml:space="preserve">contrib OI  [t&lt;=N] = dRI^F_t x A^F_t</t>
  </si>
  <si>
    <t xml:space="preserve">VALUES ($/share)</t>
  </si>
  <si>
    <t xml:space="preserve">V(EPS) = equity  = [BPS0 + normal-RI1 x A^E1] + Sum contrib</t>
  </si>
  <si>
    <t xml:space="preserve">V(NFE) = financing = [NFO0 + normal-RFD1 x A^D1] + Sum contrib</t>
  </si>
  <si>
    <t xml:space="preserve">V(OI) = operations  = V(EPS) + V(NFE)  [value-additive]</t>
  </si>
  <si>
    <t xml:space="preserve">Equity via enterprise = V(OI) − V(NFE)</t>
  </si>
  <si>
    <t xml:space="preserve">decorative: V(OI)−V(NFE)−V(EPS). B38 is DEFINED as B36+B37, so this is identically 0 for any inputs. Proves nothing.</t>
  </si>
  <si>
    <t xml:space="preserve">diagnostic: V(OI) direct @ BOOK-weighted rhoF — expected to differ from B38; the real check is Audit CHECK 7 on the DCF tab.</t>
  </si>
  <si>
    <t xml:space="preserve">illustration only; differs from additive by the multi-rate WACC gap</t>
  </si>
  <si>
    <t xml:space="preserve">EQUITY READOUTS ($/share)</t>
  </si>
  <si>
    <t xml:space="preserve">Normal value = BPS0 + (normal EPS1 - rho*E1 x BPS0) x A^E1</t>
  </si>
  <si>
    <t xml:space="preserve">Intrinsic value in 2026$ (= V(EPS); a time-0 PV, so nominal==real at t=0)</t>
  </si>
  <si>
    <t xml:space="preserve">Price in 2026$ = in_price x deflator</t>
  </si>
  <si>
    <t xml:space="preserve">PVGO = price − normal value</t>
  </si>
  <si>
    <t xml:space="preserve">Implied P/E = intrinsic / EPS1 (both real 2026$)</t>
  </si>
  <si>
    <t xml:space="preserve">Normal P/E = 1 ÷ ρE_LR</t>
  </si>
  <si>
    <t xml:space="preserve">Growth premium (turns) = implied − normal</t>
  </si>
  <si>
    <t xml:space="preserve">READ (cfg_valread)</t>
  </si>
  <si>
    <t xml:space="preserve">Equity path read  → V(EPS)</t>
  </si>
  <si>
    <t xml:space="preserve">Enterprise path read → V(OI)−V(NFE)</t>
  </si>
  <si>
    <t xml:space="preserve">ACTIVE VALUE (toggle-selected)</t>
  </si>
  <si>
    <t xml:space="preserve">agreement: equity read − enterprise read</t>
  </si>
  <si>
    <t xml:space="preserve">  pi_t expected inflation fwd [finrate_infl]   &lt;STAGE A&gt;</t>
  </si>
  <si>
    <t xml:space="preserve">  I_t cumulative inflation index (I_0=1)   &lt;STAGE A&gt;</t>
  </si>
  <si>
    <t xml:space="preserve">  cap rate E = rhoE_LR(real) x (1+pi_t)   &lt;STAGE A&gt;</t>
  </si>
  <si>
    <t xml:space="preserve">  cap rate D = rhoD_LR(real) x (1+pi_t)   &lt;STAGE A&gt;</t>
  </si>
  <si>
    <t xml:space="preserve">  cap rate F = rhoF_LR(real) x (1+pi_t)   &lt;STAGE A&gt;</t>
  </si>
  <si>
    <t xml:space="preserve">  rho*E = rhoE(nom) - pi   [Stage A real capital-charge rate]   &lt;AEG-TS&gt;</t>
  </si>
  <si>
    <t xml:space="preserve">  A^E_t = SUM(DF^E_t..DF^E_N) + DF^E_N/rhoE_LR   [curve-implied annuity]   &lt;AEG-TS&gt;</t>
  </si>
  <si>
    <t xml:space="preserve">  dRI^E_t = AEG(EPS)_t + pi_t*EPS_(t-1) + [rho*E_(t-1)-rho*E_t(1+pi_(t-1))]*BPS_(t-2)   &lt;AEG-TS&gt;</t>
  </si>
  <si>
    <t xml:space="preserve">  rho*D = rhoD(nom) - pi   &lt;AEG-TS&gt;</t>
  </si>
  <si>
    <t xml:space="preserve">  A^D_t = SUM(DF^D_t..DF^D_N) + DF^D_N/rhoD_LR   &lt;AEG-TS&gt;</t>
  </si>
  <si>
    <t xml:space="preserve">  dRI^D_t = AEG(NFE)_t + pi_t*NFE_(t-1) + [rho*D_(t-1)-rho*D_t(1+pi_(t-1))]*NFO_(t-2)   &lt;AEG-TS&gt;</t>
  </si>
  <si>
    <t xml:space="preserve">  rho*F = rhoF(nom) - pi   &lt;AEG-TS&gt;</t>
  </si>
  <si>
    <t xml:space="preserve">  A^F_t = SUM(DF^F_t..DF^F_N) + DF^F_N/rhoF_LR   &lt;AEG-TS&gt;</t>
  </si>
  <si>
    <t xml:space="preserve">  dRI^F_t = AEG(OI)_t + pi_t*OI_(t-1) + [rho*F_(t-1)-rho*F_t(1+pi_(t-1))]*NOA_(t-2)   &lt;AEG-TS&gt;</t>
  </si>
  <si>
    <t xml:space="preserve">  NOA/sh = BPS/sh + NFO/sh   [operating stock for the OI leg]   &lt;AEG-TS&gt;</t>
  </si>
  <si>
    <t xml:space="preserve">  CSE per ANCHOR share (nominal) = fc_cse / anchor_shares0   [Enterprise-mode book basis]   &lt;ENT-FIX&gt;</t>
  </si>
  <si>
    <t xml:space="preserve">SCENARIOS — driver overlay (real 2026$)</t>
  </si>
  <si>
    <t xml:space="preserve">Blue = scenario driver inputs (the G.1 surface). cfg_scenario picks the active column; the Forecast tab pulls it. Normal ≈ zero-economic-profit floor (no real growth, no buyback).</t>
  </si>
  <si>
    <t xml:space="preserve">Driver</t>
  </si>
  <si>
    <t xml:space="preserve">Bear</t>
  </si>
  <si>
    <t xml:space="preserve">Bull</t>
  </si>
  <si>
    <t xml:space="preserve">Normal</t>
  </si>
  <si>
    <t xml:space="preserve">Real revenue growth</t>
  </si>
  <si>
    <t xml:space="preserve">NOA growth (real)</t>
  </si>
  <si>
    <t xml:space="preserve">Net buyback rate</t>
  </si>
  <si>
    <t xml:space="preserve">IMPLIED EXPECTATIONS — what the price embeds</t>
  </si>
  <si>
    <t xml:space="preserve">PVGO decomposition + implied constant real EPS growth (Gordon-equivalent). Re-bracketed to admit negative growth (g &gt; −100%, guarded g &lt; ρE_LR).</t>
  </si>
  <si>
    <t xml:space="preserve">PVGO DECOMPOSITION (real 2026$/sh)</t>
  </si>
  <si>
    <t xml:space="preserve">Real price</t>
  </si>
  <si>
    <t xml:space="preserve">Normal (no-growth) value</t>
  </si>
  <si>
    <t xml:space="preserve">PVGO = price − normal</t>
  </si>
  <si>
    <t xml:space="preserve">Implied P/E (price ÷ EPS₁)</t>
  </si>
  <si>
    <t xml:space="preserve">Normal P/E = 1/ρE_LR</t>
  </si>
  <si>
    <t xml:space="preserve">Growth premium (turns)</t>
  </si>
  <si>
    <t xml:space="preserve">IMPLIED CONSTANT REAL EPS GROWTH</t>
  </si>
  <si>
    <t xml:space="preserve">EPS₁ (real)</t>
  </si>
  <si>
    <t xml:space="preserve">ρE_LR</t>
  </si>
  <si>
    <t xml:space="preserve">Implied g* = ρE_LR − EPS₁/price  [closed form]</t>
  </si>
  <si>
    <t xml:space="preserve">SENSITIVITY GRID — value vs implied growth g  (guarded g&lt;ρE_LR)</t>
  </si>
  <si>
    <t xml:space="preserve">g</t>
  </si>
  <si>
    <t xml:space="preserve">V(g) = EPS₁/(ρE_LR − g)</t>
  </si>
  <si>
    <t xml:space="preserve">vs price</t>
  </si>
  <si>
    <t xml:space="preserve">DCF RECONCILIATION — five spokes, one hub (NOMINAL forecast; value in 2026$)</t>
  </si>
  <si>
    <t xml:space="preserve">DDM · RI · AEG · FCFE-DCF · FCFF-DCF on the SAME forecast, common terminal (constant-RI continuation), leverage-implied ρF. Per Lundholm-O'Keefe (2001): properly implemented, all give one value.</t>
  </si>
  <si>
    <t xml:space="preserve">Period t</t>
  </si>
  <si>
    <t xml:space="preserve">ρE (finrate_coe)</t>
  </si>
  <si>
    <t xml:space="preserve">ρD (finrate_cod)</t>
  </si>
  <si>
    <t xml:space="preserve">NI</t>
  </si>
  <si>
    <t xml:space="preserve">OI after tax</t>
  </si>
  <si>
    <t xml:space="preserve">CSE</t>
  </si>
  <si>
    <t xml:space="preserve">NOA</t>
  </si>
  <si>
    <t xml:space="preserve">NFO</t>
  </si>
  <si>
    <t xml:space="preserve">NFE = OI_at − NI</t>
  </si>
  <si>
    <t xml:space="preserve">FLEV = NFO/CSE (prior)</t>
  </si>
  <si>
    <t xml:space="preserve">ρF = (ρE+FLEV·ρD)/(1+FLEV)</t>
  </si>
  <si>
    <t xml:space="preserve">DF^E</t>
  </si>
  <si>
    <t xml:space="preserve">DF^F</t>
  </si>
  <si>
    <t xml:space="preserve">DF^D</t>
  </si>
  <si>
    <t xml:space="preserve">FCF BUILD-UP</t>
  </si>
  <si>
    <t xml:space="preserve">FCFF = OI_at + D&amp;A − capex − ΔWC  ≡  OI_at − ΔNOA  (identity)</t>
  </si>
  <si>
    <t xml:space="preserve">+ D&amp;A (economic)</t>
  </si>
  <si>
    <t xml:space="preserve">− capex</t>
  </si>
  <si>
    <t xml:space="preserve">− ΔWorking capital + other  (= ΔNOA − ΔNetPP&amp;E)</t>
  </si>
  <si>
    <t xml:space="preserve">FCFF = OI_at − ΔNOA</t>
  </si>
  <si>
    <t xml:space="preserve">FCFE = NI − ΔCSE  (net distribution)</t>
  </si>
  <si>
    <t xml:space="preserve">FCFD = NFE − ΔNFO</t>
  </si>
  <si>
    <t xml:space="preserve">RI = NI − ρE·CSE(prior)</t>
  </si>
  <si>
    <t xml:space="preserve">ReOI = OI_at − ρF·NOA(prior)</t>
  </si>
  <si>
    <t xml:space="preserve">RFD = NFE − ρD·NFO(prior)</t>
  </si>
  <si>
    <t xml:space="preserve">ρE_LR / ρF_LR / ρD_LR</t>
  </si>
  <si>
    <t xml:space="preserve">VALUES ($mm; equity per-share below)</t>
  </si>
  <si>
    <t xml:space="preserve">V(RI) equity = CSE₀ + ΣPV(RI) + CV</t>
  </si>
  <si>
    <t xml:space="preserve">V(FCFE) equity = ΣPV(FCFE) + PV(terminal)</t>
  </si>
  <si>
    <t xml:space="preserve">V(net debt) = NFO₀ + ΣPV(RFD) + CV</t>
  </si>
  <si>
    <t xml:space="preserve">V(operations) = V(FCFE)+V(net debt)  [additive]</t>
  </si>
  <si>
    <t xml:space="preserve">decorative: Equity via FCFF = B37−B36 and B37:=B35+B36, so this is identically B35. Audit B62 therefore repeats B61.</t>
  </si>
  <si>
    <t xml:space="preserve">diagnostic: V(ops) direct = NOA₀+ΣPV(ReOI at ρF)+CV</t>
  </si>
  <si>
    <t xml:space="preserve">diagnostic: direct−additive at the BOOK-weighted rhoF. Cannot tie by construction — see row 48 and Audit CHECK 7.</t>
  </si>
  <si>
    <t xml:space="preserve">★ RECONCILIATION (equity, $mm)</t>
  </si>
  <si>
    <t xml:space="preserve">V(FCFE) − V(RI)</t>
  </si>
  <si>
    <t xml:space="preserve">Equity(FCFF) − V(RI)</t>
  </si>
  <si>
    <t xml:space="preserve">per-share intrinsic (V(RI)/shares)</t>
  </si>
  <si>
    <t xml:space="preserve">★ CHECK 7 SUPPORT — value-weighted enterprise rate. rho_F on row 14 is BOOK-weighted, which makes ReOI identical to RI; the enterprise identity needs VALUE weights.</t>
  </si>
  <si>
    <t xml:space="preserve">V_E(t) — equity value at end of t  [P5 value-weighted enterprise rate]</t>
  </si>
  <si>
    <t xml:space="preserve">V_D(t) — debt value at end of t</t>
  </si>
  <si>
    <t xml:space="preserve">rho_F*(t) — VALUE-weighted = (rhoE*V_E + rhoD*V_D)/(V_E+V_D), lagged</t>
  </si>
  <si>
    <t xml:space="preserve">DF^F*(t) cumulative at rho_F*</t>
  </si>
  <si>
    <t xml:space="preserve">ReOI*(t) = OI_at − (rho_F*(t) − pi_t)*NOA(t−1)   [Stage A: the capital charge is at the REAL rate, because the NOA roll is NOA_t = (1+pi)*NOA_(t−1) + OI_at − FCFF]</t>
  </si>
  <si>
    <t xml:space="preserve">PV(ReOI*) [t&lt;=N]</t>
  </si>
  <si>
    <t xml:space="preserve">V(ops) direct @ rho_F* = NOA0 + ΣPV(ReOI*) + PV_N(V_ops,N − NOA_N) — the terminal is the PREMIUM over book, not the whole value</t>
  </si>
  <si>
    <t xml:space="preserve">★ TIE: V(ops)@rho_F* − V(ops) additive   [GATE: Audit CHECK 7]</t>
  </si>
  <si>
    <t xml:space="preserve">Σ |FCFF − (FCFE + FCFD)|  flow additivity   [GATE: Audit CHECK 7]</t>
  </si>
  <si>
    <t xml:space="preserve">memo: rho_F row 14 stays BOOK-weighted — it is what zeroes residual income in the continuing period. Do not 'fix' it there.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</si>
</sst>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$#,##0;&quot;($&quot;#,##0\);\-"/>
    <numFmt numFmtId="166" formatCode="#,##0.0"/>
    <numFmt numFmtId="167" formatCode="\$#,##0.00;&quot;($&quot;#,##0.00\);\-"/>
    <numFmt numFmtId="168" formatCode="0.0%"/>
    <numFmt numFmtId="169" formatCode="0.00\x"/>
    <numFmt numFmtId="170" formatCode="0"/>
    <numFmt numFmtId="171" formatCode="0.00%"/>
    <numFmt numFmtId="172" formatCode="0.000000"/>
    <numFmt numFmtId="173" formatCode="@"/>
    <numFmt numFmtId="174" formatCode="\$#,##0.00"/>
    <numFmt numFmtId="175" formatCode="0.000"/>
    <numFmt numFmtId="176" formatCode="0.0000"/>
    <numFmt numFmtId="177" formatCode="0.0000%"/>
    <numFmt numFmtId="178" formatCode="0.000001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80808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5"/>
    <col collapsed="false" customWidth="true" hidden="false" outlineLevel="0" max="3" min="3" style="1" width="8"/>
    <col collapsed="false" customWidth="true" hidden="false" outlineLevel="0" max="4" min="4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0.112377</v>
      </c>
      <c r="C5" s="7" t="s">
        <v>4</v>
      </c>
      <c r="D5" s="7" t="s">
        <v>5</v>
      </c>
    </row>
    <row r="6" customFormat="false" ht="15" hidden="false" customHeight="true" outlineLevel="0" collapsed="false">
      <c r="A6" s="5" t="s">
        <v>6</v>
      </c>
      <c r="B6" s="6" t="n">
        <v>0.035934</v>
      </c>
      <c r="C6" s="7" t="s">
        <v>4</v>
      </c>
      <c r="D6" s="7" t="s">
        <v>7</v>
      </c>
    </row>
    <row r="7" customFormat="false" ht="15" hidden="false" customHeight="true" outlineLevel="0" collapsed="false">
      <c r="A7" s="5" t="s">
        <v>8</v>
      </c>
      <c r="B7" s="6" t="n">
        <v>0.018763</v>
      </c>
      <c r="C7" s="7" t="s">
        <v>4</v>
      </c>
      <c r="D7" s="7" t="s">
        <v>9</v>
      </c>
    </row>
    <row r="8" customFormat="false" ht="15" hidden="false" customHeight="true" outlineLevel="0" collapsed="false">
      <c r="A8" s="5" t="s">
        <v>10</v>
      </c>
      <c r="B8" s="6" t="n">
        <v>0</v>
      </c>
      <c r="C8" s="7" t="s">
        <v>4</v>
      </c>
      <c r="D8" s="7" t="s">
        <v>11</v>
      </c>
    </row>
    <row r="9" customFormat="false" ht="15" hidden="false" customHeight="true" outlineLevel="0" collapsed="false">
      <c r="A9" s="5" t="s">
        <v>12</v>
      </c>
      <c r="B9" s="8" t="n">
        <v>0.015005</v>
      </c>
      <c r="C9" s="7" t="s">
        <v>13</v>
      </c>
      <c r="D9" s="7" t="s">
        <v>14</v>
      </c>
    </row>
    <row r="10" customFormat="false" ht="15" hidden="false" customHeight="true" outlineLevel="0" collapsed="false">
      <c r="A10" s="5" t="s">
        <v>15</v>
      </c>
      <c r="B10" s="6" t="n">
        <v>0.073733</v>
      </c>
      <c r="C10" s="7" t="s">
        <v>4</v>
      </c>
      <c r="D10" s="7" t="s">
        <v>16</v>
      </c>
    </row>
    <row r="11" customFormat="false" ht="15" hidden="false" customHeight="true" outlineLevel="0" collapsed="false">
      <c r="A11" s="5" t="s">
        <v>17</v>
      </c>
      <c r="B11" s="6" t="n">
        <v>0</v>
      </c>
      <c r="C11" s="7" t="s">
        <v>4</v>
      </c>
      <c r="D11" s="7" t="s">
        <v>18</v>
      </c>
    </row>
    <row r="12" customFormat="false" ht="15" hidden="false" customHeight="true" outlineLevel="0" collapsed="false">
      <c r="A12" s="5" t="s">
        <v>19</v>
      </c>
      <c r="B12" s="6" t="n">
        <v>0.13305</v>
      </c>
      <c r="C12" s="7" t="s">
        <v>4</v>
      </c>
      <c r="D12" s="7" t="s">
        <v>20</v>
      </c>
    </row>
    <row r="13" customFormat="false" ht="15" hidden="false" customHeight="true" outlineLevel="0" collapsed="false">
      <c r="A13" s="5" t="s">
        <v>21</v>
      </c>
      <c r="B13" s="9" t="n">
        <v>7.464996</v>
      </c>
      <c r="C13" s="7" t="s">
        <v>22</v>
      </c>
      <c r="D13" s="7" t="s">
        <v>18</v>
      </c>
    </row>
    <row r="14" customFormat="false" ht="15" hidden="false" customHeight="true" outlineLevel="0" collapsed="false">
      <c r="A14" s="5" t="s">
        <v>23</v>
      </c>
      <c r="B14" s="10" t="n">
        <v>0.1561</v>
      </c>
      <c r="C14" s="7" t="s">
        <v>24</v>
      </c>
      <c r="D14" s="7" t="s">
        <v>25</v>
      </c>
    </row>
    <row r="15" customFormat="false" ht="15" hidden="false" customHeight="true" outlineLevel="0" collapsed="false">
      <c r="A15" s="5" t="s">
        <v>26</v>
      </c>
      <c r="B15" s="9" t="n">
        <v>0.96</v>
      </c>
      <c r="C15" s="7" t="s">
        <v>22</v>
      </c>
      <c r="D15" s="7" t="s">
        <v>27</v>
      </c>
    </row>
    <row r="17" customFormat="false" ht="15" hidden="false" customHeight="true" outlineLevel="0" collapsed="false">
      <c r="A17" s="11" t="s">
        <v>28</v>
      </c>
    </row>
    <row r="18" customFormat="false" ht="15" hidden="false" customHeight="true" outlineLevel="0" collapsed="false">
      <c r="A18" s="5" t="s">
        <v>29</v>
      </c>
      <c r="B18" s="12" t="n">
        <f aca="false">in_debt-in_cash-in_sti</f>
        <v>0.05768</v>
      </c>
      <c r="C18" s="7" t="s">
        <v>4</v>
      </c>
    </row>
    <row r="19" customFormat="false" ht="15" hidden="false" customHeight="true" outlineLevel="0" collapsed="false">
      <c r="A19" s="5" t="s">
        <v>30</v>
      </c>
      <c r="B19" s="12" t="n">
        <f aca="false">anchor_cse0+anchor_nfo0</f>
        <v>0.131413</v>
      </c>
      <c r="C19" s="7" t="s">
        <v>4</v>
      </c>
      <c r="D19" s="7" t="s">
        <v>31</v>
      </c>
    </row>
    <row r="20" customFormat="false" ht="15" hidden="false" customHeight="true" outlineLevel="0" collapsed="false">
      <c r="A20" s="5" t="s">
        <v>32</v>
      </c>
      <c r="B20" s="13" t="n">
        <f aca="false">anchor_nfo0/anchor_shares0</f>
        <v>3.84405198267244</v>
      </c>
    </row>
    <row r="21" customFormat="false" ht="15" hidden="false" customHeight="true" outlineLevel="0" collapsed="false">
      <c r="A21" s="5" t="s">
        <v>33</v>
      </c>
      <c r="B21" s="13" t="n">
        <f aca="false">anchor_cse0/anchor_shares0</f>
        <v>4.9138953682106</v>
      </c>
    </row>
    <row r="22" customFormat="false" ht="15" hidden="false" customHeight="true" outlineLevel="0" collapsed="false">
      <c r="A22" s="5" t="s">
        <v>34</v>
      </c>
      <c r="B22" s="14" t="n">
        <f aca="false">anchor_nfo0/anchor_cse0</f>
        <v>0.782282017549808</v>
      </c>
    </row>
    <row r="24" customFormat="false" ht="15" hidden="false" customHeight="true" outlineLevel="0" collapsed="false">
      <c r="A24" s="4" t="s">
        <v>35</v>
      </c>
    </row>
    <row r="25" customFormat="false" ht="15" hidden="false" customHeight="true" outlineLevel="0" collapsed="false">
      <c r="A25" s="5" t="s">
        <v>36</v>
      </c>
      <c r="B25" s="9" t="n">
        <v>315</v>
      </c>
    </row>
    <row r="26" customFormat="false" ht="15" hidden="false" customHeight="true" outlineLevel="0" collapsed="false">
      <c r="A26" s="5" t="s">
        <v>37</v>
      </c>
      <c r="B26" s="15" t="n">
        <v>4</v>
      </c>
    </row>
    <row r="27" customFormat="false" ht="15" hidden="false" customHeight="true" outlineLevel="0" collapsed="false">
      <c r="A27" s="5" t="s">
        <v>38</v>
      </c>
      <c r="B27" s="10" t="n">
        <v>0</v>
      </c>
      <c r="D27" s="7" t="s">
        <v>39</v>
      </c>
    </row>
    <row r="28" customFormat="false" ht="15" hidden="false" customHeight="true" outlineLevel="0" collapsed="false">
      <c r="A28" s="5" t="s">
        <v>40</v>
      </c>
      <c r="B28" s="10" t="n">
        <v>0.04</v>
      </c>
      <c r="D28" s="7" t="s">
        <v>41</v>
      </c>
    </row>
    <row r="29" customFormat="false" ht="15" hidden="false" customHeight="true" outlineLevel="0" collapsed="false">
      <c r="A29" s="5" t="s">
        <v>42</v>
      </c>
      <c r="B29" s="16" t="s">
        <v>43</v>
      </c>
      <c r="D29" s="7" t="s">
        <v>44</v>
      </c>
    </row>
    <row r="30" customFormat="false" ht="15" hidden="false" customHeight="true" outlineLevel="0" collapsed="false">
      <c r="A30" s="5" t="s">
        <v>45</v>
      </c>
      <c r="B30" s="16" t="s">
        <v>43</v>
      </c>
    </row>
    <row r="31" customFormat="false" ht="15" hidden="false" customHeight="true" outlineLevel="0" collapsed="false">
      <c r="A31" s="5" t="s">
        <v>46</v>
      </c>
      <c r="B31" s="17" t="n">
        <v>0.06</v>
      </c>
    </row>
    <row r="32" customFormat="false" ht="15" hidden="false" customHeight="true" outlineLevel="0" collapsed="false">
      <c r="A32" s="5" t="s">
        <v>47</v>
      </c>
      <c r="B32" s="17" t="n">
        <v>0.07</v>
      </c>
    </row>
    <row r="33" customFormat="false" ht="15" hidden="false" customHeight="true" outlineLevel="0" collapsed="false">
      <c r="A33" s="5" t="s">
        <v>48</v>
      </c>
      <c r="B33" s="16" t="s">
        <v>43</v>
      </c>
    </row>
    <row r="34" customFormat="false" ht="15" hidden="false" customHeight="true" outlineLevel="0" collapsed="false">
      <c r="A34" s="5" t="s">
        <v>49</v>
      </c>
      <c r="B34" s="16" t="s">
        <v>50</v>
      </c>
      <c r="D34" s="7" t="s">
        <v>51</v>
      </c>
    </row>
    <row r="36" customFormat="false" ht="15" hidden="false" customHeight="true" outlineLevel="0" collapsed="false">
      <c r="A36" s="4" t="s">
        <v>52</v>
      </c>
    </row>
    <row r="37" customFormat="false" ht="15" hidden="false" customHeight="true" outlineLevel="0" collapsed="false">
      <c r="A37" s="5" t="s">
        <v>53</v>
      </c>
      <c r="B37" s="16" t="s">
        <v>54</v>
      </c>
      <c r="D37" s="7" t="s">
        <v>55</v>
      </c>
    </row>
    <row r="38" customFormat="false" ht="15" hidden="false" customHeight="true" outlineLevel="0" collapsed="false">
      <c r="A38" s="11" t="s">
        <v>56</v>
      </c>
      <c r="B38" s="7" t="s">
        <v>57</v>
      </c>
      <c r="D38" s="7" t="s">
        <v>58</v>
      </c>
    </row>
    <row r="39" customFormat="false" ht="15" hidden="false" customHeight="true" outlineLevel="0" collapsed="false">
      <c r="A39" s="5" t="s">
        <v>59</v>
      </c>
      <c r="B39" s="10" t="n">
        <v>0.1286</v>
      </c>
      <c r="D39" s="7" t="s">
        <v>60</v>
      </c>
    </row>
    <row r="41" customFormat="false" ht="15" hidden="false" customHeight="true" outlineLevel="0" collapsed="false">
      <c r="A41" s="4" t="s">
        <v>61</v>
      </c>
    </row>
    <row r="42" customFormat="false" ht="15" hidden="false" customHeight="true" outlineLevel="0" collapsed="false">
      <c r="A42" s="5" t="s">
        <v>62</v>
      </c>
      <c r="B42" s="15" t="n">
        <v>10.37</v>
      </c>
      <c r="D42" s="7" t="s">
        <v>63</v>
      </c>
    </row>
    <row r="43" customFormat="false" ht="15" hidden="false" customHeight="true" outlineLevel="0" collapsed="false">
      <c r="A43" s="5" t="s">
        <v>64</v>
      </c>
      <c r="B43" s="15" t="n">
        <v>5</v>
      </c>
      <c r="D43" s="7" t="s">
        <v>65</v>
      </c>
    </row>
    <row r="44" customFormat="false" ht="15" hidden="false" customHeight="true" outlineLevel="0" collapsed="false">
      <c r="A44" s="5" t="s">
        <v>66</v>
      </c>
      <c r="B44" s="15" t="n">
        <v>2026</v>
      </c>
    </row>
    <row r="45" customFormat="false" ht="15" hidden="false" customHeight="true" outlineLevel="0" collapsed="false">
      <c r="A45" s="5" t="s">
        <v>67</v>
      </c>
      <c r="B45" s="6" t="n">
        <v>0</v>
      </c>
      <c r="D45" s="7" t="s">
        <v>68</v>
      </c>
    </row>
    <row r="46" customFormat="false" ht="15" hidden="false" customHeight="true" outlineLevel="0" collapsed="false">
      <c r="A46" s="4" t="s">
        <v>69</v>
      </c>
    </row>
    <row r="47" customFormat="false" ht="15" hidden="false" customHeight="true" outlineLevel="0" collapsed="false">
      <c r="A47" s="5" t="s">
        <v>70</v>
      </c>
      <c r="B47" s="16" t="s">
        <v>71</v>
      </c>
      <c r="D47" s="7" t="s">
        <v>72</v>
      </c>
    </row>
    <row r="49" customFormat="false" ht="15" hidden="false" customHeight="true" outlineLevel="0" collapsed="false">
      <c r="A49" s="4" t="s">
        <v>73</v>
      </c>
    </row>
    <row r="50" customFormat="false" ht="15" hidden="false" customHeight="true" outlineLevel="0" collapsed="false">
      <c r="A50" s="5" t="s">
        <v>74</v>
      </c>
      <c r="B50" s="10" t="n">
        <v>0.15</v>
      </c>
      <c r="D50" s="7" t="s">
        <v>75</v>
      </c>
    </row>
    <row r="51" customFormat="false" ht="15" hidden="false" customHeight="true" outlineLevel="0" collapsed="false">
      <c r="A51" s="5" t="s">
        <v>76</v>
      </c>
      <c r="B51" s="15" t="n">
        <v>365</v>
      </c>
      <c r="D51" s="7" t="s">
        <v>77</v>
      </c>
    </row>
    <row r="52" customFormat="false" ht="15" hidden="false" customHeight="true" outlineLevel="0" collapsed="false">
      <c r="A52" s="5" t="s">
        <v>78</v>
      </c>
      <c r="B52" s="17" t="n">
        <v>0.05</v>
      </c>
    </row>
    <row r="53" customFormat="false" ht="15" hidden="false" customHeight="true" outlineLevel="0" collapsed="false">
      <c r="A53" s="5" t="s">
        <v>79</v>
      </c>
      <c r="B53" s="17" t="n">
        <v>0.055</v>
      </c>
    </row>
    <row r="54" customFormat="false" ht="15" hidden="false" customHeight="true" outlineLevel="0" collapsed="false">
      <c r="A54" s="5" t="s">
        <v>80</v>
      </c>
      <c r="B54" s="17" t="n">
        <v>0.06</v>
      </c>
    </row>
    <row r="55" customFormat="false" ht="15" hidden="false" customHeight="true" outlineLevel="0" collapsed="false">
      <c r="A55" s="5" t="s">
        <v>81</v>
      </c>
      <c r="B55" s="17" t="n">
        <v>0.065</v>
      </c>
    </row>
    <row r="56" customFormat="false" ht="15" hidden="false" customHeight="true" outlineLevel="0" collapsed="false">
      <c r="A56" s="5" t="s">
        <v>82</v>
      </c>
      <c r="B56" s="17" t="n">
        <v>0.07</v>
      </c>
    </row>
    <row r="57" customFormat="false" ht="15" hidden="false" customHeight="true" outlineLevel="0" collapsed="false">
      <c r="A57" s="5" t="s">
        <v>83</v>
      </c>
      <c r="B57" s="10" t="n">
        <v>0.04</v>
      </c>
    </row>
    <row r="58" customFormat="false" ht="15" hidden="false" customHeight="true" outlineLevel="0" collapsed="false">
      <c r="A58" s="5" t="s">
        <v>84</v>
      </c>
      <c r="B58" s="10" t="n">
        <v>0.06</v>
      </c>
    </row>
    <row r="59" customFormat="false" ht="15" hidden="false" customHeight="true" outlineLevel="0" collapsed="false">
      <c r="A59" s="5" t="s">
        <v>85</v>
      </c>
      <c r="B59" s="10" t="n">
        <v>0.08</v>
      </c>
    </row>
    <row r="60" customFormat="false" ht="15" hidden="false" customHeight="true" outlineLevel="0" collapsed="false">
      <c r="A60" s="5" t="s">
        <v>86</v>
      </c>
      <c r="B60" s="10" t="n">
        <v>0.02</v>
      </c>
      <c r="D60" s="7" t="s">
        <v>87</v>
      </c>
    </row>
    <row r="62" customFormat="false" ht="15" hidden="false" customHeight="true" outlineLevel="0" collapsed="false">
      <c r="A62" s="4" t="s">
        <v>88</v>
      </c>
    </row>
    <row r="63" customFormat="false" ht="15" hidden="false" customHeight="true" outlineLevel="0" collapsed="false">
      <c r="A63" s="3" t="s">
        <v>89</v>
      </c>
    </row>
    <row r="64" customFormat="false" ht="15" hidden="false" customHeight="true" outlineLevel="0" collapsed="false">
      <c r="A64" s="5" t="s">
        <v>90</v>
      </c>
      <c r="B64" s="18" t="n">
        <v>1E-005</v>
      </c>
    </row>
    <row r="65" customFormat="false" ht="15" hidden="false" customHeight="true" outlineLevel="0" collapsed="false">
      <c r="A65" s="4" t="s">
        <v>91</v>
      </c>
    </row>
    <row r="66" customFormat="false" ht="15" hidden="false" customHeight="true" outlineLevel="0" collapsed="false">
      <c r="A66" s="5" t="s">
        <v>92</v>
      </c>
      <c r="B66" s="19" t="n">
        <v>2025</v>
      </c>
      <c r="D66" s="7" t="s">
        <v>93</v>
      </c>
    </row>
    <row r="67" customFormat="false" ht="15" hidden="false" customHeight="true" outlineLevel="0" collapsed="false">
      <c r="A67" s="5" t="s">
        <v>94</v>
      </c>
      <c r="B67" s="16" t="s">
        <v>95</v>
      </c>
      <c r="D67" s="7" t="s">
        <v>96</v>
      </c>
    </row>
    <row r="68" customFormat="false" ht="15" hidden="false" customHeight="true" outlineLevel="0" collapsed="false">
      <c r="A68" s="5" t="s">
        <v>97</v>
      </c>
      <c r="B68" s="16" t="s">
        <v>98</v>
      </c>
    </row>
    <row r="69" customFormat="false" ht="15" hidden="false" customHeight="true" outlineLevel="0" collapsed="false">
      <c r="A69" s="5" t="s">
        <v>99</v>
      </c>
      <c r="B69" s="16" t="s">
        <v>100</v>
      </c>
      <c r="D69" s="7" t="s">
        <v>101</v>
      </c>
    </row>
    <row r="70" customFormat="false" ht="15" hidden="false" customHeight="true" outlineLevel="0" collapsed="false">
      <c r="A70" s="5" t="s">
        <v>102</v>
      </c>
      <c r="B70" s="10" t="n">
        <v>-0.08</v>
      </c>
    </row>
    <row r="71" customFormat="false" ht="15" hidden="false" customHeight="true" outlineLevel="0" collapsed="false">
      <c r="A71" s="5" t="s">
        <v>103</v>
      </c>
      <c r="B71" s="10" t="n">
        <v>0.01</v>
      </c>
    </row>
  </sheetData>
  <dataValidations count="10"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29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30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Single,Term" promptTitle="Toggle" showDropDown="false" showErrorMessage="false" showInputMessage="false" sqref="B33" type="list">
      <formula1>"Single,Term"</formula1>
      <formula2>0</formula2>
    </dataValidation>
    <dataValidation allowBlank="false" error="Pick a listed value exactly (case-sensitive)." errorStyle="stop" errorTitle="Invalid toggle" operator="between" prompt="Allowed: Equity path,Enterprise path" promptTitle="Toggle" showDropDown="false" showErrorMessage="false" showInputMessage="false" sqref="B34" type="list">
      <formula1>"Equity path,Enterprise path"</formula1>
      <formula2>0</formula2>
    </dataValidation>
    <dataValidation allowBlank="false" error="Pick a listed value exactly (case-sensitive)." errorStyle="stop" errorTitle="Invalid toggle" operator="between" prompt="Allowed: Equity,Enterprise" promptTitle="Toggle" showDropDown="false" showErrorMessage="false" showInputMessage="false" sqref="B37" type="list">
      <formula1>"Equity,Enterprise"</formula1>
      <formula2>0</formula2>
    </dataValidation>
    <dataValidation allowBlank="false" error="Pick a listed value exactly (case-sensitive)." errorStyle="stop" errorTitle="Invalid toggle" operator="between" prompt="Allowed: On,Off" promptTitle="Toggle" showDropDown="false" showErrorMessage="false" showInputMessage="false" sqref="B47" type="list">
      <formula1>"On,Off"</formula1>
      <formula2>0</formula2>
    </dataValidation>
    <dataValidation allowBlank="false" error="Pick a listed value exactly (case-sensitive)." errorStyle="stop" errorTitle="Invalid toggle" operator="between" prompt="Allowed: Economic,Reported" promptTitle="Toggle" showDropDown="false" showErrorMessage="false" showInputMessage="false" sqref="B67" type="list">
      <formula1>"Economic,Reported"</formula1>
      <formula2>0</formula2>
    </dataValidation>
    <dataValidation allowBlank="false" error="Pick a listed value exactly (case-sensitive)." errorStyle="stop" errorTitle="Invalid toggle" operator="between" prompt="Allowed: Target FLEV,Funding policy" promptTitle="Toggle" showDropDown="false" showErrorMessage="false" showInputMessage="false" sqref="B68" type="list">
      <formula1>"Target FLEV,Funding policy"</formula1>
      <formula2>0</formula2>
    </dataValidation>
    <dataValidation allowBlank="false" error="Pick a listed value exactly (case-sensitive)." errorStyle="stop" errorTitle="Invalid toggle" operator="between" prompt="Allowed: Bear,Consensus,Bull,Normal" promptTitle="Toggle" showDropDown="false" showErrorMessage="false" showInputMessage="false" sqref="B69" type="list">
      <formula1>"Bear,Consensus,Bull,Normal"</formula1>
      <formula2>0</formula2>
    </dataValidation>
    <dataValidation allowBlank="false" error="Horizon N must be a whole number 1..30." errorStyle="stop" errorTitle="Invalid N" operator="between" showDropDown="false" showErrorMessage="false" showInputMessage="false" sqref="B26" type="whole">
      <formula1>1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50"/>
  </cols>
  <sheetData>
    <row r="1" customFormat="false" ht="15" hidden="false" customHeight="true" outlineLevel="0" collapsed="false">
      <c r="A1" s="2" t="s">
        <v>104</v>
      </c>
    </row>
    <row r="2" customFormat="false" ht="15" hidden="false" customHeight="true" outlineLevel="0" collapsed="false">
      <c r="A2" s="3" t="s">
        <v>105</v>
      </c>
    </row>
    <row r="4" customFormat="false" ht="15" hidden="false" customHeight="true" outlineLevel="0" collapsed="false">
      <c r="A4" s="4" t="s">
        <v>106</v>
      </c>
    </row>
    <row r="5" customFormat="false" ht="15" hidden="false" customHeight="true" outlineLevel="0" collapsed="false">
      <c r="A5" s="5" t="s">
        <v>107</v>
      </c>
      <c r="B5" s="20" t="n">
        <f aca="false">B31+B44+B50+B58+B29+B63+B72+B77</f>
        <v>1.00093544563862E-015</v>
      </c>
    </row>
    <row r="6" customFormat="false" ht="15" hidden="false" customHeight="true" outlineLevel="0" collapsed="false">
      <c r="A6" s="5" t="s">
        <v>108</v>
      </c>
      <c r="B6" s="5" t="str">
        <f aca="false">IF(B5&lt;in_tie_tol,"PASS — all identities tie","FAIL — investigate")</f>
        <v>PASS — all identities tie</v>
      </c>
      <c r="D6" s="7" t="s">
        <v>109</v>
      </c>
    </row>
    <row r="8" customFormat="false" ht="15" hidden="false" customHeight="true" outlineLevel="0" collapsed="false">
      <c r="A8" s="4" t="s">
        <v>110</v>
      </c>
    </row>
    <row r="9" customFormat="false" ht="15" hidden="false" customHeight="true" outlineLevel="0" collapsed="false">
      <c r="A9" s="5" t="s">
        <v>111</v>
      </c>
      <c r="B9" s="20" t="n">
        <f aca="false">SUM(B11:B12)</f>
        <v>0</v>
      </c>
    </row>
    <row r="10" customFormat="false" ht="15" hidden="false" customHeight="true" outlineLevel="0" collapsed="false">
      <c r="A10" s="7" t="s">
        <v>112</v>
      </c>
      <c r="B10" s="7" t="s">
        <v>113</v>
      </c>
      <c r="C10" s="7" t="s">
        <v>114</v>
      </c>
    </row>
    <row r="11" customFormat="false" ht="15" hidden="false" customHeight="true" outlineLevel="0" collapsed="false">
      <c r="A11" s="7" t="s">
        <v>115</v>
      </c>
    </row>
    <row r="12" customFormat="false" ht="15" hidden="false" customHeight="true" outlineLevel="0" collapsed="false">
      <c r="A12" s="7"/>
    </row>
    <row r="14" customFormat="false" ht="15" hidden="false" customHeight="true" outlineLevel="0" collapsed="false">
      <c r="A14" s="4" t="s">
        <v>116</v>
      </c>
      <c r="D14" s="7"/>
    </row>
    <row r="15" customFormat="false" ht="15" hidden="false" customHeight="true" outlineLevel="0" collapsed="false">
      <c r="A15" s="5" t="s">
        <v>117</v>
      </c>
      <c r="B15" s="20" t="n">
        <v>0</v>
      </c>
      <c r="C15" s="7" t="s">
        <v>118</v>
      </c>
      <c r="D15" s="7" t="s">
        <v>119</v>
      </c>
    </row>
    <row r="17" customFormat="false" ht="15" hidden="false" customHeight="true" outlineLevel="0" collapsed="false">
      <c r="A17" s="4" t="s">
        <v>120</v>
      </c>
    </row>
    <row r="18" customFormat="false" ht="15" hidden="false" customHeight="true" outlineLevel="0" collapsed="false">
      <c r="A18" s="5" t="s">
        <v>121</v>
      </c>
      <c r="B18" s="20" t="n">
        <v>0</v>
      </c>
      <c r="C18" s="7" t="s">
        <v>118</v>
      </c>
      <c r="D18" s="7" t="s">
        <v>122</v>
      </c>
    </row>
    <row r="20" customFormat="false" ht="15" hidden="false" customHeight="true" outlineLevel="0" collapsed="false">
      <c r="A20" s="4" t="s">
        <v>123</v>
      </c>
    </row>
    <row r="21" customFormat="false" ht="15" hidden="false" customHeight="true" outlineLevel="0" collapsed="false">
      <c r="A21" s="7" t="s">
        <v>124</v>
      </c>
      <c r="B21" s="7" t="s">
        <v>125</v>
      </c>
      <c r="C21" s="7" t="s">
        <v>114</v>
      </c>
      <c r="D21" s="7" t="s">
        <v>126</v>
      </c>
    </row>
    <row r="22" customFormat="false" ht="15" hidden="false" customHeight="true" outlineLevel="0" collapsed="false">
      <c r="A22" s="5" t="s">
        <v>127</v>
      </c>
      <c r="B22" s="21" t="n">
        <f aca="false">in_noa0-anchor_cse0-anchor_nfo0</f>
        <v>0</v>
      </c>
      <c r="C22" s="20" t="n">
        <v>0</v>
      </c>
      <c r="D22" s="5" t="str">
        <f aca="false">IF(ABS(B22)&lt;0.000001,"tie","BREAK")</f>
        <v>tie</v>
      </c>
    </row>
    <row r="23" customFormat="false" ht="15" hidden="false" customHeight="true" outlineLevel="0" collapsed="false">
      <c r="A23" s="5" t="s">
        <v>128</v>
      </c>
      <c r="B23" s="21" t="n">
        <f aca="false">in_flev0*anchor_cse0-anchor_nfo0</f>
        <v>0</v>
      </c>
      <c r="C23" s="20" t="n">
        <v>0</v>
      </c>
      <c r="D23" s="5" t="str">
        <f aca="false">IF(ABS(B23)&lt;0.000001,"tie","BREAK")</f>
        <v>tie</v>
      </c>
    </row>
    <row r="24" customFormat="false" ht="15" hidden="false" customHeight="true" outlineLevel="0" collapsed="false">
      <c r="A24" s="5" t="s">
        <v>129</v>
      </c>
      <c r="B24" s="21" t="n">
        <f aca="false">in_bps0*anchor_shares0-anchor_cse0</f>
        <v>0</v>
      </c>
      <c r="C24" s="20" t="n">
        <v>0</v>
      </c>
      <c r="D24" s="5" t="str">
        <f aca="false">IF(ABS(B24)&lt;0.000001,"tie","BREAK")</f>
        <v>tie</v>
      </c>
    </row>
    <row r="25" customFormat="false" ht="15" hidden="false" customHeight="true" outlineLevel="0" collapsed="false">
      <c r="A25" s="5" t="s">
        <v>130</v>
      </c>
      <c r="B25" s="21" t="n">
        <f aca="false">in_nfops0*anchor_shares0-anchor_nfo0</f>
        <v>0</v>
      </c>
      <c r="C25" s="20" t="n">
        <v>0</v>
      </c>
      <c r="D25" s="5" t="str">
        <f aca="false">IF(ABS(B25)&lt;0.000001,"tie","BREAK")</f>
        <v>tie</v>
      </c>
    </row>
    <row r="26" customFormat="false" ht="15" hidden="false" customHeight="true" outlineLevel="0" collapsed="false">
      <c r="A26" s="7" t="s">
        <v>131</v>
      </c>
      <c r="D26" s="7" t="s">
        <v>132</v>
      </c>
    </row>
    <row r="27" customFormat="false" ht="15" hidden="false" customHeight="true" outlineLevel="0" collapsed="false">
      <c r="A27" s="5" t="s">
        <v>133</v>
      </c>
      <c r="B27" s="21" t="n">
        <f aca="false">ABS(ev_tie)</f>
        <v>0</v>
      </c>
      <c r="D27" s="5" t="str">
        <f aca="false">IF(ABS(B27)&lt;0.00001,"tie","BREAK")</f>
        <v>tie</v>
      </c>
    </row>
    <row r="28" customFormat="false" ht="15" hidden="false" customHeight="true" outlineLevel="0" collapsed="false">
      <c r="A28" s="5" t="s">
        <v>134</v>
      </c>
      <c r="B28" s="21" t="n">
        <f aca="false">ABS(val_voi-val_intrinsic-val_vnfe)</f>
        <v>0</v>
      </c>
      <c r="D28" s="5" t="str">
        <f aca="false">IF(ABS(B28)&lt;0.00001,"tie","BREAK")</f>
        <v>tie</v>
      </c>
    </row>
    <row r="29" customFormat="false" ht="15" hidden="false" customHeight="true" outlineLevel="0" collapsed="false">
      <c r="A29" s="5" t="s">
        <v>135</v>
      </c>
      <c r="B29" s="21" t="n">
        <f aca="false">ABS(bb_vp6_tie)</f>
        <v>0</v>
      </c>
      <c r="D29" s="5" t="str">
        <f aca="false">IF(ABS(B29)&lt;in_tie_tol,"tie","BREAK")</f>
        <v>tie</v>
      </c>
    </row>
    <row r="31" customFormat="false" ht="15" hidden="false" customHeight="true" outlineLevel="0" collapsed="false">
      <c r="A31" s="5" t="s">
        <v>136</v>
      </c>
      <c r="B31" s="21" t="n">
        <f aca="false">SUMPRODUCT(ABS(B22:B25))</f>
        <v>0</v>
      </c>
    </row>
    <row r="33" customFormat="false" ht="15" hidden="false" customHeight="true" outlineLevel="0" collapsed="false">
      <c r="A33" s="4" t="s">
        <v>137</v>
      </c>
    </row>
    <row r="34" customFormat="false" ht="15" hidden="false" customHeight="true" outlineLevel="0" collapsed="false">
      <c r="A34" s="7" t="s">
        <v>124</v>
      </c>
      <c r="B34" s="7" t="s">
        <v>125</v>
      </c>
      <c r="C34" s="7" t="s">
        <v>114</v>
      </c>
      <c r="D34" s="7" t="s">
        <v>126</v>
      </c>
    </row>
    <row r="35" customFormat="false" ht="15" hidden="false" customHeight="true" outlineLevel="0" collapsed="false">
      <c r="A35" s="5" t="s">
        <v>138</v>
      </c>
      <c r="B35" s="21" t="n">
        <f aca="false">in_debt-rep_debt_fy0</f>
        <v>0</v>
      </c>
      <c r="C35" s="20" t="n">
        <v>0</v>
      </c>
      <c r="D35" s="5" t="str">
        <f aca="false">IF(ABS(B35)&lt;0.000001,"tie","BREAK")</f>
        <v>tie</v>
      </c>
    </row>
    <row r="36" customFormat="false" ht="15" hidden="false" customHeight="true" outlineLevel="0" collapsed="false">
      <c r="A36" s="5" t="s">
        <v>139</v>
      </c>
      <c r="B36" s="21" t="n">
        <f aca="false">in_cash-rep_cash_fy0</f>
        <v>0</v>
      </c>
      <c r="C36" s="20" t="n">
        <v>0</v>
      </c>
      <c r="D36" s="5" t="str">
        <f aca="false">IF(ABS(B36)&lt;0.000001,"tie","BREAK")</f>
        <v>tie</v>
      </c>
    </row>
    <row r="37" customFormat="false" ht="15" hidden="false" customHeight="true" outlineLevel="0" collapsed="false">
      <c r="A37" s="5" t="s">
        <v>140</v>
      </c>
      <c r="B37" s="21" t="n">
        <f aca="false">anchor_cse0-rep_cse_fy0</f>
        <v>0</v>
      </c>
      <c r="C37" s="20" t="n">
        <v>0</v>
      </c>
      <c r="D37" s="5" t="str">
        <f aca="false">IF(ABS(B37)&lt;0.000001,"tie","BREAK")</f>
        <v>tie</v>
      </c>
    </row>
    <row r="38" customFormat="false" ht="15" hidden="false" customHeight="true" outlineLevel="0" collapsed="false">
      <c r="A38" s="5" t="s">
        <v>141</v>
      </c>
      <c r="B38" s="21" t="n">
        <f aca="false">anchor_shares0-rep_shares_fy0</f>
        <v>0</v>
      </c>
      <c r="C38" s="20" t="n">
        <v>0</v>
      </c>
      <c r="D38" s="5" t="str">
        <f aca="false">IF(ABS(B38)&lt;0.000001,"tie","BREAK")</f>
        <v>tie</v>
      </c>
    </row>
    <row r="39" customFormat="false" ht="15" hidden="false" customHeight="true" outlineLevel="0" collapsed="false">
      <c r="A39" s="5" t="s">
        <v>142</v>
      </c>
      <c r="B39" s="21" t="n">
        <f aca="false">anchor_eps0-rep_eps_fy0</f>
        <v>0</v>
      </c>
      <c r="C39" s="20" t="n">
        <v>0</v>
      </c>
      <c r="D39" s="5" t="str">
        <f aca="false">IF(ABS(B39)&lt;0.000001,"tie","BREAK")</f>
        <v>tie</v>
      </c>
    </row>
    <row r="40" customFormat="false" ht="15" hidden="false" customHeight="true" outlineLevel="0" collapsed="false">
      <c r="A40" s="5" t="s">
        <v>143</v>
      </c>
      <c r="B40" s="21" t="n">
        <f aca="false">in_intexp0-rep_intexp_fy0</f>
        <v>0</v>
      </c>
      <c r="C40" s="20" t="n">
        <v>0</v>
      </c>
      <c r="D40" s="5" t="str">
        <f aca="false">IF(ABS(B40)&lt;0.000001,"tie","BREAK")</f>
        <v>tie</v>
      </c>
    </row>
    <row r="41" customFormat="false" ht="15" hidden="false" customHeight="true" outlineLevel="0" collapsed="false">
      <c r="A41" s="5" t="s">
        <v>144</v>
      </c>
      <c r="B41" s="21" t="n">
        <f aca="false">in_oiadj0-rep_oi_fy0</f>
        <v>0</v>
      </c>
      <c r="C41" s="20" t="n">
        <v>0</v>
      </c>
      <c r="D41" s="5" t="str">
        <f aca="false">IF(ABS(B41)&lt;0.000001,"tie","BREAK")</f>
        <v>tie</v>
      </c>
    </row>
    <row r="42" customFormat="false" ht="15" hidden="false" customHeight="true" outlineLevel="0" collapsed="false">
      <c r="A42" s="5" t="s">
        <v>145</v>
      </c>
      <c r="B42" s="21" t="n">
        <f aca="false">in_tax0-rep_tax_fy0</f>
        <v>0</v>
      </c>
      <c r="C42" s="20" t="n">
        <v>0</v>
      </c>
      <c r="D42" s="5" t="str">
        <f aca="false">IF(ABS(B42)&lt;0.000001,"tie","BREAK")</f>
        <v>tie</v>
      </c>
    </row>
    <row r="44" customFormat="false" ht="15" hidden="false" customHeight="true" outlineLevel="0" collapsed="false">
      <c r="A44" s="5" t="s">
        <v>146</v>
      </c>
      <c r="B44" s="21" t="n">
        <f aca="false">SUMPRODUCT(ABS(B35:B42))</f>
        <v>0</v>
      </c>
    </row>
    <row r="46" customFormat="false" ht="15" hidden="false" customHeight="true" outlineLevel="0" collapsed="false">
      <c r="A46" s="4" t="s">
        <v>147</v>
      </c>
    </row>
    <row r="47" customFormat="false" ht="15" hidden="false" customHeight="true" outlineLevel="0" collapsed="false">
      <c r="A47" s="5" t="s">
        <v>148</v>
      </c>
      <c r="B47" s="21" t="n">
        <f aca="false">SUMPRODUCT(ABS(es_tie_partition))</f>
        <v>0</v>
      </c>
      <c r="D47" s="5" t="str">
        <f aca="false">IF(ABS(B47)&lt;0.000001,"tie","BREAK")</f>
        <v>tie</v>
      </c>
    </row>
    <row r="48" customFormat="false" ht="15" hidden="false" customHeight="true" outlineLevel="0" collapsed="false">
      <c r="A48" s="5" t="s">
        <v>149</v>
      </c>
      <c r="B48" s="21" t="n">
        <f aca="false">SUMPRODUCT(ABS(es_tie_real))</f>
        <v>0</v>
      </c>
      <c r="D48" s="5" t="str">
        <f aca="false">IF(ABS(B48)&lt;0.000001,"tie","BREAK")</f>
        <v>tie</v>
      </c>
    </row>
    <row r="49" customFormat="false" ht="15" hidden="false" customHeight="true" outlineLevel="0" collapsed="false">
      <c r="A49" s="5" t="s">
        <v>150</v>
      </c>
      <c r="B49" s="21" t="n">
        <f aca="false">anchor_real_net_ppe-INDEX(ce_real_net_series,MATCH(in_anchor_year,ce_years,0))</f>
        <v>0</v>
      </c>
      <c r="D49" s="5" t="str">
        <f aca="false">IF(ABS(B49)&lt;0.000001,"tie","BREAK")</f>
        <v>tie</v>
      </c>
    </row>
    <row r="50" customFormat="false" ht="15" hidden="false" customHeight="true" outlineLevel="0" collapsed="false">
      <c r="A50" s="5" t="s">
        <v>151</v>
      </c>
      <c r="B50" s="21" t="n">
        <f aca="false">SUMPRODUCT(ABS(B47:B49))</f>
        <v>0</v>
      </c>
    </row>
    <row r="52" customFormat="false" ht="15" hidden="false" customHeight="true" outlineLevel="0" collapsed="false">
      <c r="A52" s="7" t="s">
        <v>152</v>
      </c>
    </row>
    <row r="54" customFormat="false" ht="15" hidden="false" customHeight="true" outlineLevel="0" collapsed="false">
      <c r="A54" s="4" t="s">
        <v>153</v>
      </c>
    </row>
    <row r="55" customFormat="false" ht="15" hidden="false" customHeight="true" outlineLevel="0" collapsed="false">
      <c r="A55" s="5" t="s">
        <v>154</v>
      </c>
      <c r="B55" s="21" t="n">
        <f aca="false">SUMPRODUCT(ABS(fc_tie_bs))</f>
        <v>0</v>
      </c>
      <c r="D55" s="5" t="str">
        <f aca="false">IF(ABS(B55)&lt;0.00001,"tie","BREAK")</f>
        <v>tie</v>
      </c>
    </row>
    <row r="56" customFormat="false" ht="15" hidden="false" customHeight="true" outlineLevel="0" collapsed="false">
      <c r="A56" s="5" t="s">
        <v>155</v>
      </c>
      <c r="B56" s="21" t="n">
        <f aca="false">SUMPRODUCT(ABS(fc_tie_eps))</f>
        <v>0</v>
      </c>
      <c r="D56" s="5" t="str">
        <f aca="false">IF(ABS(B56)&lt;0.00001,"tie","BREAK")</f>
        <v>tie</v>
      </c>
    </row>
    <row r="57" customFormat="false" ht="15" hidden="false" customHeight="true" outlineLevel="0" collapsed="false">
      <c r="A57" s="5" t="s">
        <v>156</v>
      </c>
      <c r="B57" s="21" t="n">
        <f aca="false">SUMPRODUCT(ABS(fc_tie_fcfe))</f>
        <v>1.61329283265843E-016</v>
      </c>
      <c r="D57" s="5" t="str">
        <f aca="false">IF(ABS(B57)&lt;0.00001,"tie","BREAK")</f>
        <v>tie</v>
      </c>
    </row>
    <row r="58" customFormat="false" ht="15" hidden="false" customHeight="true" outlineLevel="0" collapsed="false">
      <c r="A58" s="5" t="s">
        <v>157</v>
      </c>
      <c r="B58" s="21" t="n">
        <f aca="false">SUMPRODUCT(ABS(B55:B57))</f>
        <v>1.61329283265843E-016</v>
      </c>
    </row>
    <row r="60" customFormat="false" ht="15" hidden="false" customHeight="true" outlineLevel="0" collapsed="false">
      <c r="A60" s="4" t="s">
        <v>158</v>
      </c>
    </row>
    <row r="61" customFormat="false" ht="15" hidden="false" customHeight="true" outlineLevel="0" collapsed="false">
      <c r="A61" s="5" t="s">
        <v>159</v>
      </c>
      <c r="B61" s="21" t="n">
        <f aca="false">ABS(dcf_tie_fcfe)</f>
        <v>0</v>
      </c>
      <c r="D61" s="5" t="str">
        <f aca="false">IF(ABS(B61)&lt;in_tie_tol*ABS(dcf_ri),"tie","BREAK")</f>
        <v>tie</v>
      </c>
    </row>
    <row r="62" customFormat="false" ht="15" hidden="false" customHeight="true" outlineLevel="0" collapsed="false">
      <c r="A62" s="5" t="s">
        <v>160</v>
      </c>
      <c r="B62" s="21" t="n">
        <f aca="false">ABS(dcf_tie_fcff)</f>
        <v>0</v>
      </c>
      <c r="D62" s="5" t="str">
        <f aca="false">IF(ABS(B62)&lt;in_tie_tol*ABS(dcf_ri),"tie","BREAK")</f>
        <v>tie</v>
      </c>
    </row>
    <row r="63" customFormat="false" ht="15" hidden="false" customHeight="true" outlineLevel="0" collapsed="false">
      <c r="A63" s="5" t="s">
        <v>161</v>
      </c>
      <c r="B63" s="21" t="n">
        <f aca="false">B61+B62</f>
        <v>0</v>
      </c>
    </row>
    <row r="66" customFormat="false" ht="15" hidden="false" customHeight="false" outlineLevel="0" collapsed="false">
      <c r="A66" s="1" t="s">
        <v>162</v>
      </c>
    </row>
    <row r="67" customFormat="false" ht="15" hidden="false" customHeight="false" outlineLevel="0" collapsed="false">
      <c r="A67" s="1" t="s">
        <v>163</v>
      </c>
      <c r="B67" s="22" t="n">
        <f aca="false">Valuation!B52</f>
        <v>128.094726972107</v>
      </c>
    </row>
    <row r="68" customFormat="false" ht="15" hidden="false" customHeight="false" outlineLevel="0" collapsed="false">
      <c r="A68" s="1" t="s">
        <v>164</v>
      </c>
      <c r="B68" s="22" t="n">
        <f aca="false">'DCF Reconciliation'!B45</f>
        <v>128.094726972107</v>
      </c>
    </row>
    <row r="69" customFormat="false" ht="15" hidden="false" customHeight="false" outlineLevel="0" collapsed="false">
      <c r="A69" s="1" t="s">
        <v>165</v>
      </c>
      <c r="B69" s="1" t="n">
        <f aca="false">B67-B68</f>
        <v>0</v>
      </c>
    </row>
    <row r="70" customFormat="false" ht="15" hidden="false" customHeight="false" outlineLevel="0" collapsed="false">
      <c r="A70" s="1" t="s">
        <v>166</v>
      </c>
      <c r="B70" s="1" t="n">
        <f aca="false">IF(B68=0,"",B69/B68)</f>
        <v>0</v>
      </c>
    </row>
    <row r="71" customFormat="false" ht="15" hidden="false" customHeight="false" outlineLevel="0" collapsed="false">
      <c r="A71" s="1" t="s">
        <v>167</v>
      </c>
    </row>
    <row r="72" customFormat="false" ht="15" hidden="false" customHeight="false" outlineLevel="0" collapsed="false">
      <c r="A72" s="1" t="s">
        <v>168</v>
      </c>
      <c r="B72" s="1" t="n">
        <f aca="false">ABS(B69)</f>
        <v>0</v>
      </c>
    </row>
    <row r="74" customFormat="false" ht="15" hidden="false" customHeight="false" outlineLevel="0" collapsed="false">
      <c r="A74" s="1" t="s">
        <v>169</v>
      </c>
    </row>
    <row r="75" customFormat="false" ht="15" hidden="false" customHeight="false" outlineLevel="0" collapsed="false">
      <c r="A75" s="1" t="s">
        <v>170</v>
      </c>
      <c r="B75" s="1" t="n">
        <f aca="false">ABS('DCF Reconciliation'!B56)</f>
        <v>0</v>
      </c>
    </row>
    <row r="76" customFormat="false" ht="15" hidden="false" customHeight="false" outlineLevel="0" collapsed="false">
      <c r="A76" s="1" t="s">
        <v>171</v>
      </c>
      <c r="B76" s="1" t="n">
        <f aca="false">ABS('DCF Reconciliation'!B57)</f>
        <v>8.39606162372775E-016</v>
      </c>
    </row>
    <row r="77" customFormat="false" ht="15" hidden="false" customHeight="false" outlineLevel="0" collapsed="false">
      <c r="A77" s="1" t="s">
        <v>172</v>
      </c>
      <c r="B77" s="1" t="n">
        <f aca="false">B75+B76</f>
        <v>8.39606162372775E-016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2" min="2" style="1" width="12"/>
  </cols>
  <sheetData>
    <row r="1" customFormat="false" ht="15" hidden="false" customHeight="true" outlineLevel="0" collapsed="false">
      <c r="A1" s="2" t="s">
        <v>173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180</v>
      </c>
      <c r="G3" s="24" t="s">
        <v>181</v>
      </c>
      <c r="H3" s="24" t="s">
        <v>182</v>
      </c>
      <c r="I3" s="24" t="s">
        <v>183</v>
      </c>
      <c r="J3" s="24" t="s">
        <v>184</v>
      </c>
      <c r="K3" s="24" t="s">
        <v>185</v>
      </c>
      <c r="L3" s="24" t="s">
        <v>186</v>
      </c>
      <c r="M3" s="24" t="s">
        <v>187</v>
      </c>
      <c r="N3" s="24" t="s">
        <v>188</v>
      </c>
      <c r="O3" s="24" t="s">
        <v>189</v>
      </c>
      <c r="P3" s="24" t="s">
        <v>190</v>
      </c>
      <c r="Q3" s="24" t="s">
        <v>191</v>
      </c>
      <c r="R3" s="24" t="s">
        <v>192</v>
      </c>
      <c r="S3" s="24" t="s">
        <v>193</v>
      </c>
      <c r="T3" s="24" t="s">
        <v>194</v>
      </c>
      <c r="U3" s="24" t="s">
        <v>195</v>
      </c>
      <c r="V3" s="24" t="s">
        <v>196</v>
      </c>
      <c r="W3" s="24" t="s">
        <v>197</v>
      </c>
      <c r="X3" s="24" t="s">
        <v>198</v>
      </c>
      <c r="Y3" s="24" t="s">
        <v>199</v>
      </c>
      <c r="Z3" s="24" t="s">
        <v>200</v>
      </c>
      <c r="AA3" s="24" t="s">
        <v>201</v>
      </c>
      <c r="AB3" s="24" t="s">
        <v>202</v>
      </c>
      <c r="AC3" s="24" t="s">
        <v>203</v>
      </c>
      <c r="AD3" s="24" t="s">
        <v>204</v>
      </c>
      <c r="AE3" s="24" t="s">
        <v>205</v>
      </c>
      <c r="AF3" s="24" t="s">
        <v>206</v>
      </c>
      <c r="AG3" s="24" t="s">
        <v>207</v>
      </c>
      <c r="AH3" s="24" t="s">
        <v>208</v>
      </c>
      <c r="AI3" s="24" t="s">
        <v>209</v>
      </c>
      <c r="AJ3" s="24" t="s">
        <v>210</v>
      </c>
      <c r="AK3" s="24" t="s">
        <v>211</v>
      </c>
      <c r="AL3" s="24" t="s">
        <v>212</v>
      </c>
      <c r="AM3" s="24" t="s">
        <v>213</v>
      </c>
      <c r="AN3" s="24" t="s">
        <v>214</v>
      </c>
      <c r="AO3" s="24" t="s">
        <v>215</v>
      </c>
      <c r="AP3" s="24" t="s">
        <v>216</v>
      </c>
    </row>
    <row r="4" customFormat="false" ht="15" hidden="false" customHeight="true" outlineLevel="0" collapsed="false">
      <c r="A4" s="23" t="s">
        <v>217</v>
      </c>
      <c r="B4" s="25" t="n">
        <v>0.001918</v>
      </c>
      <c r="C4" s="25" t="n">
        <v>0.001902</v>
      </c>
      <c r="D4" s="25" t="n">
        <v>0.002661</v>
      </c>
      <c r="E4" s="25" t="n">
        <v>0.004071</v>
      </c>
      <c r="F4" s="25" t="n">
        <v>0.005284</v>
      </c>
      <c r="G4" s="25" t="n">
        <v>0.005558</v>
      </c>
      <c r="H4" s="25" t="n">
        <v>0.006309</v>
      </c>
      <c r="I4" s="25" t="n">
        <v>0.007087</v>
      </c>
      <c r="J4" s="25" t="n">
        <v>0.007977</v>
      </c>
      <c r="K4" s="25" t="n">
        <v>0.009189</v>
      </c>
      <c r="L4" s="25" t="n">
        <v>0.011062</v>
      </c>
      <c r="M4" s="25" t="n">
        <v>0.009833</v>
      </c>
      <c r="N4" s="25" t="n">
        <v>0.007081</v>
      </c>
      <c r="O4" s="25" t="n">
        <v>0.005941</v>
      </c>
      <c r="P4" s="25" t="n">
        <v>0.006134</v>
      </c>
      <c r="Q4" s="25" t="n">
        <v>0.007983</v>
      </c>
      <c r="R4" s="25" t="n">
        <v>0.005363</v>
      </c>
      <c r="S4" s="25" t="n">
        <v>0.005742</v>
      </c>
      <c r="T4" s="25" t="n">
        <v>0.006207</v>
      </c>
      <c r="U4" s="25" t="n">
        <v>0.008279</v>
      </c>
      <c r="V4" s="25" t="n">
        <v>0.013931</v>
      </c>
      <c r="W4" s="25" t="n">
        <v>0.019315</v>
      </c>
      <c r="X4" s="25" t="n">
        <v>0.024006</v>
      </c>
      <c r="Y4" s="25" t="n">
        <v>0.032479</v>
      </c>
      <c r="Z4" s="25" t="n">
        <v>0.042603</v>
      </c>
      <c r="AA4" s="25" t="n">
        <v>0.065225</v>
      </c>
      <c r="AB4" s="25" t="n">
        <v>0.108249</v>
      </c>
      <c r="AC4" s="25" t="n">
        <v>0.156508</v>
      </c>
      <c r="AD4" s="25" t="n">
        <v>0.17091</v>
      </c>
      <c r="AE4" s="25" t="n">
        <v>0.182795</v>
      </c>
      <c r="AF4" s="25" t="n">
        <v>0.233715</v>
      </c>
      <c r="AG4" s="25" t="n">
        <v>0.215639</v>
      </c>
      <c r="AH4" s="25" t="n">
        <v>0.229234</v>
      </c>
      <c r="AI4" s="25" t="n">
        <v>0.265595</v>
      </c>
      <c r="AJ4" s="25" t="n">
        <v>0.260174</v>
      </c>
      <c r="AK4" s="25" t="n">
        <v>0.274515</v>
      </c>
      <c r="AL4" s="25" t="n">
        <v>0.365817</v>
      </c>
      <c r="AM4" s="25" t="n">
        <v>0.394328</v>
      </c>
      <c r="AN4" s="25" t="n">
        <v>0.383285</v>
      </c>
      <c r="AO4" s="25" t="n">
        <v>0.391035</v>
      </c>
      <c r="AP4" s="25" t="n">
        <v>0.416161</v>
      </c>
    </row>
    <row r="5" customFormat="false" ht="15" hidden="false" customHeight="true" outlineLevel="0" collapsed="false">
      <c r="A5" s="26" t="s">
        <v>218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customFormat="false" ht="15" hidden="false" customHeight="true" outlineLevel="0" collapsed="false">
      <c r="A6" s="23" t="s">
        <v>219</v>
      </c>
      <c r="B6" s="25" t="n">
        <v>0.001076</v>
      </c>
      <c r="C6" s="25" t="n">
        <v>0.00084</v>
      </c>
      <c r="D6" s="25" t="n">
        <v>0.001226</v>
      </c>
      <c r="E6" s="25" t="n">
        <v>0.001913</v>
      </c>
      <c r="F6" s="25" t="n">
        <v>0.00257</v>
      </c>
      <c r="G6" s="25" t="n">
        <v>0.002403</v>
      </c>
      <c r="H6" s="25" t="n">
        <v>0.00311</v>
      </c>
      <c r="I6" s="25" t="n">
        <v>0.003991</v>
      </c>
      <c r="J6" s="25" t="n">
        <v>0.005249</v>
      </c>
      <c r="K6" s="25" t="n">
        <v>0.006845</v>
      </c>
      <c r="L6" s="25" t="n">
        <v>0.008204</v>
      </c>
      <c r="M6" s="25" t="n">
        <v>0.008865</v>
      </c>
      <c r="N6" s="25" t="n">
        <v>0.005713</v>
      </c>
      <c r="O6" s="25" t="n">
        <v>0.004462</v>
      </c>
      <c r="P6" s="25" t="n">
        <v>0.004438</v>
      </c>
      <c r="Q6" s="25" t="n">
        <v>0.005817</v>
      </c>
      <c r="R6" s="25" t="n">
        <v>0.004128</v>
      </c>
      <c r="S6" s="25" t="n">
        <v>0.004139</v>
      </c>
      <c r="T6" s="25" t="n">
        <v>0.004499</v>
      </c>
      <c r="U6" s="25" t="n">
        <v>0.006022</v>
      </c>
      <c r="V6" s="25" t="n">
        <v>0.009889</v>
      </c>
      <c r="W6" s="25" t="n">
        <v>0.013717</v>
      </c>
      <c r="X6" s="25" t="n">
        <v>0.015852</v>
      </c>
      <c r="Y6" s="25" t="n">
        <v>0.021334</v>
      </c>
      <c r="Z6" s="25" t="n">
        <v>0.025751</v>
      </c>
      <c r="AA6" s="25" t="n">
        <v>0.039541</v>
      </c>
      <c r="AB6" s="25" t="n">
        <v>0.064431</v>
      </c>
      <c r="AC6" s="25" t="n">
        <v>0.087846</v>
      </c>
      <c r="AD6" s="25" t="n">
        <v>0.106606</v>
      </c>
      <c r="AE6" s="25" t="n">
        <v>0.112258</v>
      </c>
      <c r="AF6" s="25" t="n">
        <v>0.140089</v>
      </c>
      <c r="AG6" s="25" t="n">
        <v>0.131376</v>
      </c>
      <c r="AH6" s="25" t="n">
        <v>0.141048</v>
      </c>
      <c r="AI6" s="25" t="n">
        <v>0.163756</v>
      </c>
      <c r="AJ6" s="25" t="n">
        <v>0.161782</v>
      </c>
      <c r="AK6" s="25" t="n">
        <v>0.169559</v>
      </c>
      <c r="AL6" s="25" t="n">
        <v>0.212981</v>
      </c>
      <c r="AM6" s="25" t="n">
        <v>0.223546</v>
      </c>
      <c r="AN6" s="25" t="n">
        <v>0.214137</v>
      </c>
      <c r="AO6" s="25" t="n">
        <v>0.210352</v>
      </c>
      <c r="AP6" s="25" t="n">
        <v>0.22096</v>
      </c>
    </row>
    <row r="7" customFormat="false" ht="15" hidden="false" customHeight="true" outlineLevel="0" collapsed="false">
      <c r="A7" s="23" t="s">
        <v>220</v>
      </c>
      <c r="B7" s="25" t="n">
        <v>0.000842</v>
      </c>
      <c r="C7" s="25" t="n">
        <v>0.001062</v>
      </c>
      <c r="D7" s="25" t="n">
        <v>0.001435</v>
      </c>
      <c r="E7" s="25" t="n">
        <v>0.002158</v>
      </c>
      <c r="F7" s="25" t="n">
        <v>0.002714</v>
      </c>
      <c r="G7" s="25" t="n">
        <v>0.003155</v>
      </c>
      <c r="H7" s="25" t="n">
        <v>0.003199</v>
      </c>
      <c r="I7" s="25" t="n">
        <v>0.003095</v>
      </c>
      <c r="J7" s="25" t="n">
        <v>0.002728</v>
      </c>
      <c r="K7" s="25" t="n">
        <v>0.002344</v>
      </c>
      <c r="L7" s="25" t="n">
        <v>0.002858</v>
      </c>
      <c r="M7" s="25" t="n">
        <v>0.000968</v>
      </c>
      <c r="N7" s="25" t="n">
        <v>0.001368</v>
      </c>
      <c r="O7" s="25" t="n">
        <v>0.001479</v>
      </c>
      <c r="P7" s="25" t="n">
        <v>0.001696</v>
      </c>
      <c r="Q7" s="25" t="n">
        <v>0.002166</v>
      </c>
      <c r="R7" s="25" t="n">
        <v>0.001235</v>
      </c>
      <c r="S7" s="25" t="n">
        <v>0.001603</v>
      </c>
      <c r="T7" s="25" t="n">
        <v>0.001708</v>
      </c>
      <c r="U7" s="25" t="n">
        <v>0.002259</v>
      </c>
      <c r="V7" s="25" t="n">
        <v>0.004042</v>
      </c>
      <c r="W7" s="25" t="n">
        <v>0.005598</v>
      </c>
      <c r="X7" s="25" t="n">
        <v>0.008154</v>
      </c>
      <c r="Y7" s="25" t="n">
        <v>0.011145</v>
      </c>
      <c r="Z7" s="25" t="n">
        <v>0.016852</v>
      </c>
      <c r="AA7" s="25" t="n">
        <v>0.025684</v>
      </c>
      <c r="AB7" s="25" t="n">
        <v>0.043818</v>
      </c>
      <c r="AC7" s="25" t="n">
        <v>0.068662</v>
      </c>
      <c r="AD7" s="25" t="n">
        <v>0.064304</v>
      </c>
      <c r="AE7" s="25" t="n">
        <v>0.070537</v>
      </c>
      <c r="AF7" s="25" t="n">
        <v>0.093626</v>
      </c>
      <c r="AG7" s="25" t="n">
        <v>0.084263</v>
      </c>
      <c r="AH7" s="25" t="n">
        <v>0.088186</v>
      </c>
      <c r="AI7" s="25" t="n">
        <v>0.101839</v>
      </c>
      <c r="AJ7" s="25" t="n">
        <v>0.098392</v>
      </c>
      <c r="AK7" s="25" t="n">
        <v>0.104956</v>
      </c>
      <c r="AL7" s="25" t="n">
        <v>0.152836</v>
      </c>
      <c r="AM7" s="25" t="n">
        <v>0.170782</v>
      </c>
      <c r="AN7" s="25" t="n">
        <v>0.169148</v>
      </c>
      <c r="AO7" s="25" t="n">
        <v>0.180683</v>
      </c>
      <c r="AP7" s="25" t="n">
        <v>0.195201</v>
      </c>
    </row>
    <row r="8" customFormat="false" ht="15" hidden="false" customHeight="true" outlineLevel="0" collapsed="false">
      <c r="A8" s="23" t="s">
        <v>221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customFormat="false" ht="15" hidden="false" customHeight="true" outlineLevel="0" collapsed="false">
      <c r="A9" s="26" t="s">
        <v>222</v>
      </c>
      <c r="B9" s="25" t="n">
        <v>0.000653</v>
      </c>
      <c r="C9" s="25" t="n">
        <v>0.000737</v>
      </c>
      <c r="D9" s="25" t="n">
        <v>0.000993</v>
      </c>
      <c r="E9" s="25" t="n">
        <v>0.00146</v>
      </c>
      <c r="F9" s="25" t="n">
        <v>0.001955</v>
      </c>
      <c r="G9" s="25" t="n">
        <v>0.00224</v>
      </c>
      <c r="H9" s="25" t="n">
        <v>0.002547</v>
      </c>
      <c r="I9" s="25" t="n">
        <v>0.002289</v>
      </c>
      <c r="J9" s="25" t="n">
        <v>0.002618</v>
      </c>
      <c r="K9" s="25" t="n">
        <v>0.001384</v>
      </c>
      <c r="L9" s="25" t="n">
        <v>0.001583</v>
      </c>
      <c r="M9" s="25" t="n">
        <v>0.001568</v>
      </c>
      <c r="N9" s="25" t="n">
        <v>0.001286</v>
      </c>
      <c r="O9" s="27" t="n">
        <v>0.000908</v>
      </c>
      <c r="P9" s="27" t="n">
        <v>0.000996</v>
      </c>
      <c r="Q9" s="27" t="n">
        <v>0.001166</v>
      </c>
      <c r="R9" s="25" t="n">
        <v>0.001138</v>
      </c>
      <c r="S9" s="25" t="n">
        <v>0.001111</v>
      </c>
      <c r="T9" s="25" t="n">
        <v>0.001212</v>
      </c>
      <c r="U9" s="25" t="n">
        <v>0.001421</v>
      </c>
      <c r="V9" s="25" t="n">
        <v>0.001859</v>
      </c>
      <c r="W9" s="25" t="n">
        <v>0.002433</v>
      </c>
      <c r="X9" s="25" t="n">
        <v>0.002963</v>
      </c>
      <c r="Y9" s="25" t="n">
        <v>0.003761</v>
      </c>
      <c r="Z9" s="25" t="n">
        <v>0.004149</v>
      </c>
      <c r="AA9" s="25" t="n">
        <v>0.005517</v>
      </c>
      <c r="AB9" s="25" t="n">
        <v>0.007599</v>
      </c>
      <c r="AC9" s="25" t="n">
        <v>0.00904</v>
      </c>
      <c r="AD9" s="25" t="n">
        <v>0.00973</v>
      </c>
      <c r="AE9" s="25" t="n">
        <v>0.011993</v>
      </c>
      <c r="AF9" s="25" t="n">
        <v>0.014329</v>
      </c>
      <c r="AG9" s="25" t="n">
        <v>0.014194</v>
      </c>
      <c r="AH9" s="25" t="n">
        <v>0.015261</v>
      </c>
      <c r="AI9" s="25" t="n">
        <v>0.016705</v>
      </c>
      <c r="AJ9" s="25" t="n">
        <v>0.018245</v>
      </c>
      <c r="AK9" s="25" t="n">
        <v>0.019916</v>
      </c>
      <c r="AL9" s="25" t="n">
        <v>0.021973</v>
      </c>
      <c r="AM9" s="25" t="n">
        <v>0.025094</v>
      </c>
      <c r="AN9" s="25" t="n">
        <v>0.024932</v>
      </c>
      <c r="AO9" s="25" t="n">
        <v>0.026097</v>
      </c>
      <c r="AP9" s="25" t="n">
        <v>0.027601</v>
      </c>
    </row>
    <row r="10" customFormat="false" ht="15" hidden="false" customHeight="true" outlineLevel="0" collapsed="false">
      <c r="A10" s="26" t="s">
        <v>223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</row>
    <row r="11" customFormat="false" ht="15" hidden="false" customHeight="true" outlineLevel="0" collapsed="false">
      <c r="A11" s="26" t="s">
        <v>224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customFormat="false" ht="15" hidden="false" customHeight="true" outlineLevel="0" collapsed="false">
      <c r="A12" s="26" t="s">
        <v>225</v>
      </c>
      <c r="B12" s="25"/>
    </row>
    <row r="13" customFormat="false" ht="15" hidden="false" customHeight="true" outlineLevel="0" collapsed="false">
      <c r="A13" s="23" t="s">
        <v>226</v>
      </c>
      <c r="B13" s="25" t="n">
        <v>0.000147</v>
      </c>
      <c r="C13" s="25" t="n">
        <v>0.000273</v>
      </c>
      <c r="D13" s="25" t="n">
        <v>0.000371</v>
      </c>
      <c r="E13" s="25" t="n">
        <v>0.00062</v>
      </c>
      <c r="F13" s="25" t="n">
        <v>0.000634</v>
      </c>
      <c r="G13" s="25" t="n">
        <v>0.000712</v>
      </c>
      <c r="H13" s="25" t="n">
        <v>0.000447</v>
      </c>
      <c r="I13" s="25" t="n">
        <v>0.000806</v>
      </c>
      <c r="J13" s="25" t="n">
        <v>0.00011</v>
      </c>
      <c r="K13" s="25" t="n">
        <v>0.000522</v>
      </c>
      <c r="L13" s="25" t="n">
        <v>0.000684</v>
      </c>
      <c r="M13" s="25" t="n">
        <v>-0.001383</v>
      </c>
      <c r="N13" s="25" t="n">
        <v>-0.00107</v>
      </c>
      <c r="O13" s="25" t="n">
        <v>0.000261</v>
      </c>
      <c r="P13" s="25" t="n">
        <v>0.000359</v>
      </c>
      <c r="Q13" s="25" t="n">
        <v>0.000522</v>
      </c>
      <c r="R13" s="25" t="n">
        <v>-0.000344</v>
      </c>
      <c r="S13" s="25" t="n">
        <v>1.7E-005</v>
      </c>
      <c r="T13" s="25" t="n">
        <v>-1E-006</v>
      </c>
      <c r="U13" s="25" t="n">
        <v>0.000313</v>
      </c>
      <c r="V13" s="25" t="n">
        <v>0.001643</v>
      </c>
      <c r="W13" s="25" t="n">
        <v>0.002453</v>
      </c>
      <c r="X13" s="25" t="n">
        <v>0.004409</v>
      </c>
      <c r="Y13" s="25" t="n">
        <v>0.006275</v>
      </c>
      <c r="Z13" s="25" t="n">
        <v>0.01137</v>
      </c>
      <c r="AA13" s="25" t="n">
        <v>0.018385</v>
      </c>
      <c r="AB13" s="25" t="n">
        <v>0.03379</v>
      </c>
      <c r="AC13" s="25" t="n">
        <v>0.055241</v>
      </c>
      <c r="AD13" s="25" t="n">
        <v>0.048999</v>
      </c>
      <c r="AE13" s="25" t="n">
        <v>0.052503</v>
      </c>
      <c r="AF13" s="25" t="n">
        <v>0.07123</v>
      </c>
      <c r="AG13" s="25" t="n">
        <v>0.060024</v>
      </c>
      <c r="AH13" s="25" t="n">
        <v>0.061344</v>
      </c>
      <c r="AI13" s="25" t="n">
        <v>0.070898</v>
      </c>
      <c r="AJ13" s="25" t="n">
        <v>0.06393</v>
      </c>
      <c r="AK13" s="25" t="n">
        <v>0.066288</v>
      </c>
      <c r="AL13" s="25" t="n">
        <v>0.108949</v>
      </c>
      <c r="AM13" s="25" t="n">
        <v>0.119437</v>
      </c>
      <c r="AN13" s="25" t="n">
        <v>0.114301</v>
      </c>
      <c r="AO13" s="25" t="n">
        <v>0.123216</v>
      </c>
      <c r="AP13" s="25" t="n">
        <v>0.13305</v>
      </c>
    </row>
    <row r="14" customFormat="false" ht="15" hidden="false" customHeight="true" outlineLevel="0" collapsed="false">
      <c r="A14" s="23" t="s">
        <v>227</v>
      </c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customFormat="false" ht="15" hidden="false" customHeight="true" outlineLevel="0" collapsed="false">
      <c r="A15" s="26" t="s">
        <v>228</v>
      </c>
      <c r="O15" s="25"/>
      <c r="P15" s="25"/>
      <c r="Q15" s="25"/>
      <c r="R15" s="25"/>
      <c r="S15" s="25"/>
      <c r="T15" s="25"/>
      <c r="U15" s="25"/>
      <c r="V15" s="25"/>
      <c r="W15" s="25"/>
    </row>
    <row r="16" customFormat="false" ht="15" hidden="false" customHeight="true" outlineLevel="0" collapsed="false">
      <c r="A16" s="26" t="s">
        <v>229</v>
      </c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</row>
    <row r="17" customFormat="false" ht="15" hidden="false" customHeight="true" outlineLevel="0" collapsed="false">
      <c r="A17" s="23" t="s">
        <v>230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</row>
    <row r="18" customFormat="false" ht="15" hidden="false" customHeight="true" outlineLevel="0" collapsed="false">
      <c r="A18" s="26" t="s">
        <v>231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</row>
    <row r="19" customFormat="false" ht="15" hidden="false" customHeight="true" outlineLevel="0" collapsed="false">
      <c r="A19" s="26" t="s">
        <v>232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</row>
    <row r="20" customFormat="false" ht="15" hidden="false" customHeight="true" outlineLevel="0" collapsed="false">
      <c r="A20" s="26" t="s">
        <v>233</v>
      </c>
      <c r="AM20" s="25"/>
    </row>
    <row r="21" customFormat="false" ht="15" hidden="false" customHeight="true" outlineLevel="0" collapsed="false">
      <c r="A21" s="26" t="s">
        <v>234</v>
      </c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</row>
    <row r="22" customFormat="false" ht="15" hidden="false" customHeight="true" outlineLevel="0" collapsed="false">
      <c r="A22" s="26" t="s">
        <v>235</v>
      </c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</row>
    <row r="23" customFormat="false" ht="15" hidden="false" customHeight="true" outlineLevel="0" collapsed="false">
      <c r="A23" s="26" t="s">
        <v>236</v>
      </c>
      <c r="AB23" s="25"/>
    </row>
    <row r="24" customFormat="false" ht="15" hidden="false" customHeight="true" outlineLevel="0" collapsed="false">
      <c r="A24" s="26" t="s">
        <v>237</v>
      </c>
      <c r="AC24" s="25"/>
      <c r="AD24" s="25"/>
      <c r="AE24" s="25"/>
      <c r="AF24" s="25"/>
      <c r="AG24" s="25"/>
      <c r="AH24" s="25"/>
      <c r="AI24" s="25"/>
      <c r="AJ24" s="25"/>
      <c r="AM24" s="25"/>
    </row>
    <row r="25" customFormat="false" ht="15" hidden="false" customHeight="true" outlineLevel="0" collapsed="false">
      <c r="A25" s="26" t="s">
        <v>238</v>
      </c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customFormat="false" ht="15" hidden="false" customHeight="true" outlineLevel="0" collapsed="false">
      <c r="A26" s="23" t="s">
        <v>239</v>
      </c>
      <c r="B26" s="25" t="n">
        <v>0.00012</v>
      </c>
      <c r="C26" s="25" t="n">
        <v>0.00031</v>
      </c>
      <c r="D26" s="25" t="n">
        <v>0.00041</v>
      </c>
      <c r="E26" s="25" t="n">
        <v>0.000656</v>
      </c>
      <c r="F26" s="25" t="n">
        <v>0.000744</v>
      </c>
      <c r="G26" s="25" t="n">
        <v>0.000779</v>
      </c>
      <c r="H26" s="25" t="n">
        <v>0.0005</v>
      </c>
      <c r="I26" s="25" t="n">
        <v>0.000856</v>
      </c>
      <c r="J26" s="25" t="n">
        <v>0.00014</v>
      </c>
      <c r="K26" s="25" t="n">
        <v>0.0005</v>
      </c>
      <c r="L26" s="25" t="n">
        <v>0.000674</v>
      </c>
      <c r="M26" s="25" t="n">
        <v>-0.001295</v>
      </c>
      <c r="N26" s="25" t="n">
        <v>-0.001045</v>
      </c>
      <c r="O26" s="25" t="n">
        <v>0.000329</v>
      </c>
      <c r="P26" s="25" t="n">
        <v>0.000676</v>
      </c>
      <c r="Q26" s="25" t="n">
        <v>0.001092</v>
      </c>
      <c r="R26" s="25" t="n">
        <v>-5.2E-005</v>
      </c>
      <c r="S26" s="25" t="n">
        <v>8.7E-005</v>
      </c>
      <c r="T26" s="25" t="n">
        <v>9.2E-005</v>
      </c>
      <c r="U26" s="25" t="n">
        <v>0.00037</v>
      </c>
      <c r="V26" s="25" t="n">
        <v>0.001808</v>
      </c>
      <c r="W26" s="25" t="n">
        <v>0.002818</v>
      </c>
      <c r="X26" s="25" t="n">
        <v>0.005008</v>
      </c>
      <c r="Y26" s="25" t="n">
        <v>0.006895</v>
      </c>
      <c r="Z26" s="25" t="n">
        <v>0.012066</v>
      </c>
      <c r="AA26" s="25" t="n">
        <v>0.01854</v>
      </c>
      <c r="AB26" s="25" t="n">
        <v>0.034205</v>
      </c>
      <c r="AC26" s="25" t="n">
        <v>0.055763</v>
      </c>
      <c r="AD26" s="25" t="n">
        <v>0.050155</v>
      </c>
      <c r="AE26" s="25" t="n">
        <v>0.053483</v>
      </c>
      <c r="AF26" s="25" t="n">
        <v>0.072515</v>
      </c>
      <c r="AG26" s="25" t="n">
        <v>0.061372</v>
      </c>
      <c r="AH26" s="25" t="n">
        <v>0.064089</v>
      </c>
      <c r="AI26" s="25" t="n">
        <v>0.072903</v>
      </c>
      <c r="AJ26" s="25" t="n">
        <v>0.065737</v>
      </c>
      <c r="AK26" s="25" t="n">
        <v>0.067091</v>
      </c>
      <c r="AL26" s="25" t="n">
        <v>0.109207</v>
      </c>
      <c r="AM26" s="25" t="n">
        <v>0.119103</v>
      </c>
      <c r="AN26" s="25" t="n">
        <v>0.113736</v>
      </c>
      <c r="AO26" s="25" t="n">
        <v>0.123485</v>
      </c>
      <c r="AP26" s="25" t="n">
        <v>0.132729</v>
      </c>
    </row>
    <row r="27" customFormat="false" ht="15" hidden="false" customHeight="true" outlineLevel="0" collapsed="false">
      <c r="A27" s="23" t="s">
        <v>240</v>
      </c>
      <c r="B27" s="25" t="n">
        <v>5.9E-005</v>
      </c>
      <c r="C27" s="25" t="n">
        <v>0.000156</v>
      </c>
      <c r="D27" s="25" t="n">
        <v>0.000193</v>
      </c>
      <c r="E27" s="25" t="n">
        <v>0.000256</v>
      </c>
      <c r="F27" s="25" t="n">
        <v>0.00029</v>
      </c>
      <c r="G27" s="25" t="n">
        <v>0.000304</v>
      </c>
      <c r="H27" s="25" t="n">
        <v>0.00019</v>
      </c>
      <c r="I27" s="25" t="n">
        <v>0.000325</v>
      </c>
      <c r="J27" s="25" t="n">
        <v>5.3E-005</v>
      </c>
      <c r="K27" s="25" t="n">
        <v>0.00019</v>
      </c>
      <c r="L27" s="25" t="n">
        <v>0.00025</v>
      </c>
      <c r="M27" s="25" t="n">
        <v>-0.000479</v>
      </c>
      <c r="N27" s="25" t="n">
        <v>0.000281</v>
      </c>
      <c r="O27" s="25" t="n">
        <v>2E-005</v>
      </c>
      <c r="P27" s="25" t="n">
        <v>7.5E-005</v>
      </c>
      <c r="Q27" s="25" t="n">
        <v>0.000306</v>
      </c>
      <c r="R27" s="25" t="n">
        <v>-1.5E-005</v>
      </c>
      <c r="S27" s="25" t="n">
        <v>2.2E-005</v>
      </c>
      <c r="T27" s="25" t="n">
        <v>2.4E-005</v>
      </c>
      <c r="U27" s="25" t="n">
        <v>0.000104</v>
      </c>
      <c r="V27" s="25" t="n">
        <v>0.00048</v>
      </c>
      <c r="W27" s="25" t="n">
        <v>0.000829</v>
      </c>
      <c r="X27" s="25" t="n">
        <v>0.001512</v>
      </c>
      <c r="Y27" s="25" t="n">
        <v>0.002061</v>
      </c>
      <c r="Z27" s="25" t="n">
        <v>0.003831</v>
      </c>
      <c r="AA27" s="25" t="n">
        <v>0.004527</v>
      </c>
      <c r="AB27" s="25" t="n">
        <v>0.008283</v>
      </c>
      <c r="AC27" s="25" t="n">
        <v>0.01403</v>
      </c>
      <c r="AD27" s="25" t="n">
        <v>0.013118</v>
      </c>
      <c r="AE27" s="25" t="n">
        <v>0.013973</v>
      </c>
      <c r="AF27" s="25" t="n">
        <v>0.019121</v>
      </c>
      <c r="AG27" s="25" t="n">
        <v>0.015685</v>
      </c>
      <c r="AH27" s="25" t="n">
        <v>0.015738</v>
      </c>
      <c r="AI27" s="25" t="n">
        <v>0.013372</v>
      </c>
      <c r="AJ27" s="25" t="n">
        <v>0.010481</v>
      </c>
      <c r="AK27" s="25" t="n">
        <v>0.00968</v>
      </c>
      <c r="AL27" s="25" t="n">
        <v>0.014527</v>
      </c>
      <c r="AM27" s="25" t="n">
        <v>0.0193</v>
      </c>
      <c r="AN27" s="25" t="n">
        <v>0.016741</v>
      </c>
      <c r="AO27" s="25" t="n">
        <v>0.029749</v>
      </c>
      <c r="AP27" s="25" t="n">
        <v>0.020719</v>
      </c>
    </row>
    <row r="28" customFormat="false" ht="15" hidden="false" customHeight="true" outlineLevel="0" collapsed="false">
      <c r="A28" s="23" t="s">
        <v>241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 t="n">
        <v>0.000786</v>
      </c>
      <c r="R28" s="25"/>
      <c r="S28" s="25" t="n">
        <v>6.5E-005</v>
      </c>
      <c r="T28" s="25" t="n">
        <v>6.8E-005</v>
      </c>
      <c r="U28" s="25" t="n">
        <v>0.000276</v>
      </c>
      <c r="V28" s="25" t="n">
        <v>0.001335</v>
      </c>
      <c r="W28" s="25" t="n">
        <v>0.001989</v>
      </c>
      <c r="X28" s="25" t="n">
        <v>0.003496</v>
      </c>
      <c r="Y28" s="25" t="n">
        <v>0.004834</v>
      </c>
      <c r="Z28" s="25" t="n">
        <v>0.008235</v>
      </c>
      <c r="AA28" s="25" t="n">
        <v>0.014013</v>
      </c>
      <c r="AB28" s="25" t="n">
        <v>0.025922</v>
      </c>
      <c r="AC28" s="25" t="n">
        <v>0.041733</v>
      </c>
      <c r="AD28" s="25" t="n">
        <v>0.037037</v>
      </c>
      <c r="AE28" s="25" t="n">
        <v>0.03951</v>
      </c>
      <c r="AF28" s="25" t="n">
        <v>0.053394</v>
      </c>
      <c r="AG28" s="25" t="n">
        <v>0.045687</v>
      </c>
      <c r="AH28" s="25" t="n">
        <v>0.048351</v>
      </c>
      <c r="AI28" s="25" t="n">
        <v>0.059531</v>
      </c>
      <c r="AJ28" s="25" t="n">
        <v>0.055256</v>
      </c>
      <c r="AK28" s="25" t="n">
        <v>0.057411</v>
      </c>
      <c r="AL28" s="25" t="n">
        <v>0.09468</v>
      </c>
      <c r="AM28" s="25" t="n">
        <v>0.099803</v>
      </c>
      <c r="AN28" s="25" t="n">
        <v>0.096995</v>
      </c>
      <c r="AO28" s="25" t="n">
        <v>0.093736</v>
      </c>
      <c r="AP28" s="25" t="n">
        <v>0.11201</v>
      </c>
    </row>
    <row r="29" customFormat="false" ht="15" hidden="false" customHeight="true" outlineLevel="0" collapsed="false">
      <c r="A29" s="26" t="s">
        <v>242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customFormat="false" ht="15" hidden="false" customHeight="true" outlineLevel="0" collapsed="false">
      <c r="A30" s="26" t="s">
        <v>243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customFormat="false" ht="15" hidden="false" customHeight="true" outlineLevel="0" collapsed="false">
      <c r="A31" s="26" t="s">
        <v>244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customFormat="false" ht="15" hidden="false" customHeight="true" outlineLevel="0" collapsed="false">
      <c r="A32" s="26" t="s">
        <v>245</v>
      </c>
      <c r="S32" s="25"/>
      <c r="T32" s="25"/>
      <c r="U32" s="25"/>
      <c r="V32" s="25"/>
      <c r="W32" s="25"/>
      <c r="Y32" s="25"/>
      <c r="Z32" s="25"/>
      <c r="AA32" s="25"/>
      <c r="AB32" s="25"/>
      <c r="AC32" s="25"/>
      <c r="AK32" s="25"/>
      <c r="AL32" s="25"/>
      <c r="AM32" s="25"/>
      <c r="AN32" s="25"/>
      <c r="AO32" s="25"/>
    </row>
    <row r="33" customFormat="false" ht="15" hidden="false" customHeight="true" outlineLevel="0" collapsed="false">
      <c r="A33" s="26" t="s">
        <v>246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customFormat="false" ht="15" hidden="false" customHeight="true" outlineLevel="0" collapsed="false">
      <c r="A34" s="26" t="s">
        <v>247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customFormat="false" ht="15" hidden="false" customHeight="true" outlineLevel="0" collapsed="false">
      <c r="A35" s="26" t="s">
        <v>248</v>
      </c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customFormat="false" ht="15" hidden="false" customHeight="true" outlineLevel="0" collapsed="false">
      <c r="A36" s="26" t="s">
        <v>249</v>
      </c>
      <c r="AJ36" s="25"/>
      <c r="AK36" s="25"/>
      <c r="AL36" s="25"/>
      <c r="AM36" s="25"/>
      <c r="AN36" s="25"/>
      <c r="AO36" s="25"/>
      <c r="AP36" s="25"/>
    </row>
    <row r="37" customFormat="false" ht="15" hidden="false" customHeight="true" outlineLevel="0" collapsed="false">
      <c r="A37" s="26" t="s">
        <v>250</v>
      </c>
      <c r="AK37" s="25"/>
      <c r="AL37" s="25"/>
      <c r="AM37" s="25"/>
      <c r="AN37" s="25"/>
      <c r="AO37" s="25"/>
    </row>
    <row r="38" customFormat="false" ht="15" hidden="false" customHeight="true" outlineLevel="0" collapsed="false">
      <c r="A38" s="23" t="s">
        <v>251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</row>
    <row r="39" customFormat="false" ht="15" hidden="false" customHeight="true" outlineLevel="0" collapsed="false">
      <c r="A39" s="23" t="s">
        <v>252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customFormat="false" ht="15" hidden="false" customHeight="true" outlineLevel="0" collapsed="false">
      <c r="A40" s="23" t="s">
        <v>253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</row>
    <row r="41" customFormat="false" ht="15" hidden="false" customHeight="true" outlineLevel="0" collapsed="false">
      <c r="A41" s="23" t="s">
        <v>254</v>
      </c>
      <c r="B41" s="29" t="n">
        <v>0.004464</v>
      </c>
      <c r="C41" s="29" t="n">
        <v>0.010714</v>
      </c>
      <c r="D41" s="29" t="n">
        <v>0.014821</v>
      </c>
      <c r="E41" s="29" t="n">
        <v>0.0275</v>
      </c>
      <c r="F41" s="29" t="n">
        <v>0.031607</v>
      </c>
      <c r="G41" s="29" t="n">
        <v>0.03375</v>
      </c>
      <c r="H41" s="29" t="n">
        <v>0.023036</v>
      </c>
      <c r="I41" s="29" t="n">
        <v>0.03863</v>
      </c>
      <c r="J41" s="29" t="n">
        <v>0.006481</v>
      </c>
      <c r="K41" s="29" t="n">
        <v>0.023311</v>
      </c>
      <c r="L41" s="29" t="n">
        <v>0.030766</v>
      </c>
      <c r="M41" s="29" t="n">
        <v>-0.058882</v>
      </c>
      <c r="N41" s="29" t="n">
        <v>-0.074014</v>
      </c>
      <c r="O41" s="29" t="n">
        <v>0.01643</v>
      </c>
      <c r="P41" s="29" t="n">
        <v>0.03081</v>
      </c>
      <c r="Q41" s="29" t="n">
        <v>0.038953</v>
      </c>
      <c r="R41" s="29" t="n">
        <v>-0.001292</v>
      </c>
      <c r="S41" s="29" t="n">
        <v>0.003208</v>
      </c>
      <c r="T41" s="29" t="n">
        <v>0.003341</v>
      </c>
      <c r="U41" s="29" t="n">
        <v>0.012723</v>
      </c>
      <c r="V41" s="29" t="n">
        <v>0.055642</v>
      </c>
      <c r="W41" s="29" t="n">
        <v>0.08095</v>
      </c>
      <c r="X41" s="29" t="n">
        <v>0.140401</v>
      </c>
      <c r="Y41" s="29" t="n">
        <v>0.191371</v>
      </c>
      <c r="Z41" s="29" t="n">
        <v>0.324262</v>
      </c>
      <c r="AA41" s="29" t="n">
        <v>0.541211</v>
      </c>
      <c r="AB41" s="29" t="n">
        <v>0.988406</v>
      </c>
      <c r="AC41" s="29" t="n">
        <v>1.576619</v>
      </c>
      <c r="AD41" s="29" t="n">
        <v>1.419775</v>
      </c>
      <c r="AE41" s="29" t="n">
        <v>1.613269</v>
      </c>
      <c r="AF41" s="29" t="n">
        <v>2.304219</v>
      </c>
      <c r="AG41" s="29" t="n">
        <v>2.076576</v>
      </c>
      <c r="AH41" s="29" t="n">
        <v>2.301687</v>
      </c>
      <c r="AI41" s="29" t="n">
        <v>2.976485</v>
      </c>
      <c r="AJ41" s="29" t="n">
        <v>2.971447</v>
      </c>
      <c r="AK41" s="29" t="n">
        <v>3.275348</v>
      </c>
      <c r="AL41" s="29" t="n">
        <v>5.61402</v>
      </c>
      <c r="AM41" s="29" t="n">
        <v>6.1132</v>
      </c>
      <c r="AN41" s="29" t="n">
        <v>6.134053</v>
      </c>
      <c r="AO41" s="29" t="n">
        <v>6.083555</v>
      </c>
      <c r="AP41" s="29" t="n">
        <v>7.464996</v>
      </c>
    </row>
    <row r="42" customFormat="false" ht="15" hidden="false" customHeight="true" outlineLevel="0" collapsed="false">
      <c r="A42" s="23" t="s">
        <v>255</v>
      </c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</row>
    <row r="43" customFormat="false" ht="15" hidden="false" customHeight="true" outlineLevel="0" collapsed="false">
      <c r="A43" s="23" t="s">
        <v>256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</row>
    <row r="44" customFormat="false" ht="15" hidden="false" customHeight="true" outlineLevel="0" collapsed="false">
      <c r="A44" s="23" t="s">
        <v>257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</row>
    <row r="45" customFormat="false" ht="15" hidden="false" customHeight="true" outlineLevel="0" collapsed="false">
      <c r="A45" s="23" t="s">
        <v>258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customFormat="false" ht="15" hidden="false" customHeight="true" outlineLevel="0" collapsed="false">
      <c r="A46" s="23" t="s">
        <v>259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</row>
    <row r="47" customFormat="false" ht="15" hidden="false" customHeight="true" outlineLevel="0" collapsed="false">
      <c r="A47" s="23" t="s">
        <v>260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customFormat="false" ht="15" hidden="false" customHeight="true" outlineLevel="0" collapsed="false">
      <c r="A48" s="23" t="s">
        <v>261</v>
      </c>
      <c r="O48" s="25"/>
      <c r="P48" s="25"/>
      <c r="Q48" s="25"/>
      <c r="R48" s="25"/>
      <c r="S48" s="25"/>
      <c r="T48" s="25"/>
      <c r="U48" s="25"/>
      <c r="V48" s="25"/>
      <c r="W48" s="25"/>
    </row>
    <row r="49" customFormat="false" ht="15" hidden="false" customHeight="true" outlineLevel="0" collapsed="false">
      <c r="A49" s="23" t="s">
        <v>262</v>
      </c>
      <c r="B49" s="27" t="n">
        <v>5.5E-005</v>
      </c>
      <c r="C49" s="27" t="n">
        <v>7.3E-005</v>
      </c>
      <c r="D49" s="27" t="n">
        <v>7.8E-005</v>
      </c>
      <c r="E49" s="27" t="n">
        <v>7.2E-005</v>
      </c>
      <c r="F49" s="27" t="n">
        <v>0.00022</v>
      </c>
      <c r="G49" s="27" t="n">
        <v>0.000133</v>
      </c>
      <c r="H49" s="27" t="n">
        <v>0.000105</v>
      </c>
      <c r="I49" s="25" t="n">
        <v>9E-006</v>
      </c>
      <c r="J49" s="25" t="n">
        <v>1.2E-005</v>
      </c>
      <c r="K49" s="25" t="n">
        <v>4E-005</v>
      </c>
      <c r="L49" s="25" t="n">
        <v>4.8E-005</v>
      </c>
      <c r="M49" s="25" t="n">
        <v>6E-005</v>
      </c>
      <c r="N49" s="25" t="n">
        <v>7.1E-005</v>
      </c>
      <c r="O49" s="25" t="n">
        <v>6.2E-005</v>
      </c>
      <c r="P49" s="25" t="n">
        <v>4.7E-005</v>
      </c>
      <c r="Q49" s="25" t="n">
        <v>2.1E-005</v>
      </c>
      <c r="R49" s="25" t="n">
        <v>1.6E-005</v>
      </c>
      <c r="S49" s="25" t="n">
        <v>1.1E-005</v>
      </c>
      <c r="T49" s="25" t="n">
        <v>8E-006</v>
      </c>
      <c r="U49" s="25" t="n">
        <v>3E-006</v>
      </c>
      <c r="V49" s="25" t="n">
        <v>0.000165</v>
      </c>
      <c r="W49" s="25" t="n">
        <v>0.000365</v>
      </c>
      <c r="X49" s="25" t="n">
        <v>0.000599</v>
      </c>
      <c r="Y49" s="25" t="n">
        <v>0.00062</v>
      </c>
      <c r="Z49" s="25" t="n">
        <v>0.000326</v>
      </c>
      <c r="AA49" s="25" t="n">
        <v>0.000155</v>
      </c>
      <c r="AB49" s="25" t="n">
        <v>0.000415</v>
      </c>
      <c r="AC49" s="25" t="n">
        <v>0.000522</v>
      </c>
      <c r="AD49" s="25" t="n">
        <v>0.000136</v>
      </c>
      <c r="AE49" s="25" t="n">
        <v>0.000384</v>
      </c>
      <c r="AF49" s="25" t="n">
        <v>0.000733</v>
      </c>
      <c r="AG49" s="25" t="n">
        <v>0.001456</v>
      </c>
      <c r="AH49" s="25" t="n">
        <v>0.002323</v>
      </c>
      <c r="AI49" s="25" t="n">
        <v>0.00324</v>
      </c>
      <c r="AJ49" s="25" t="n">
        <v>0.003576</v>
      </c>
      <c r="AK49" s="25" t="n">
        <v>0.002873</v>
      </c>
      <c r="AL49" s="25" t="n">
        <v>0.002645</v>
      </c>
      <c r="AM49" s="25" t="n">
        <v>0.002931</v>
      </c>
      <c r="AN49" s="25" t="n">
        <v>0.003933</v>
      </c>
      <c r="AO49" s="25" t="n">
        <v>0</v>
      </c>
      <c r="AP49" s="25"/>
    </row>
    <row r="50" customFormat="false" ht="15" hidden="false" customHeight="true" outlineLevel="0" collapsed="false">
      <c r="A50" s="23" t="s">
        <v>263</v>
      </c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customFormat="false" ht="15" hidden="false" customHeight="true" outlineLevel="0" collapsed="false">
      <c r="A51" s="23" t="s">
        <v>264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customFormat="false" ht="15" hidden="false" customHeight="true" outlineLevel="0" collapsed="false">
      <c r="A52" s="23" t="s">
        <v>265</v>
      </c>
      <c r="B52" s="25" t="n">
        <v>0.000189</v>
      </c>
      <c r="C52" s="25" t="n">
        <v>0.000325</v>
      </c>
      <c r="D52" s="25" t="n">
        <v>0.000442</v>
      </c>
      <c r="E52" s="25" t="n">
        <v>0.000698</v>
      </c>
      <c r="F52" s="25" t="n">
        <v>0.000759</v>
      </c>
      <c r="G52" s="25" t="n">
        <v>0.000915</v>
      </c>
      <c r="H52" s="25" t="n">
        <v>0.000652</v>
      </c>
      <c r="I52" s="25" t="n">
        <v>0.001081</v>
      </c>
      <c r="J52" s="25" t="n">
        <v>0.000318</v>
      </c>
      <c r="K52" s="25" t="n">
        <v>0.000708</v>
      </c>
      <c r="L52" s="25" t="n">
        <v>0.000849</v>
      </c>
      <c r="M52" s="25" t="n">
        <v>-0.001119</v>
      </c>
      <c r="N52" s="25" t="n">
        <v>-0.000856</v>
      </c>
      <c r="O52" s="25" t="n">
        <v>0.000502</v>
      </c>
      <c r="P52" s="25" t="n">
        <v>0.000808</v>
      </c>
      <c r="Q52" s="25" t="n">
        <v>0.001197</v>
      </c>
      <c r="R52" s="25" t="n">
        <v>6.4E-005</v>
      </c>
      <c r="S52" s="25" t="n">
        <v>0.000212</v>
      </c>
      <c r="T52" s="25" t="n">
        <v>0.000138</v>
      </c>
      <c r="U52" s="25" t="n">
        <v>0.000523</v>
      </c>
      <c r="V52" s="25" t="n">
        <v>0.001822</v>
      </c>
      <c r="W52" s="25" t="n">
        <v>0.002678</v>
      </c>
      <c r="X52" s="25" t="n">
        <v>0.004724</v>
      </c>
      <c r="Y52" s="25" t="n">
        <v>0.007304</v>
      </c>
      <c r="Z52" s="25" t="n">
        <v>0.012029</v>
      </c>
      <c r="AA52" s="25" t="n">
        <v>0.019412</v>
      </c>
      <c r="AB52" s="25" t="n">
        <v>0.036019</v>
      </c>
      <c r="AC52" s="25" t="n">
        <v>0.05904</v>
      </c>
      <c r="AD52" s="25" t="n">
        <v>0.057048</v>
      </c>
      <c r="AE52" s="25" t="n">
        <v>0.061813</v>
      </c>
      <c r="AF52" s="25" t="n">
        <v>0.084505</v>
      </c>
      <c r="AG52" s="25" t="n">
        <v>0.073333</v>
      </c>
      <c r="AH52" s="25" t="n">
        <v>0.076569</v>
      </c>
      <c r="AI52" s="25" t="n">
        <v>0.087046</v>
      </c>
      <c r="AJ52" s="25" t="n">
        <v>0.08186</v>
      </c>
      <c r="AK52" s="25" t="n">
        <v>0.08102</v>
      </c>
      <c r="AL52" s="25" t="n">
        <v>0.123136</v>
      </c>
      <c r="AM52" s="25" t="n">
        <v>0.130541</v>
      </c>
      <c r="AN52" s="25" t="n">
        <v>0.12582</v>
      </c>
      <c r="AO52" s="25" t="n">
        <v>0.134661</v>
      </c>
      <c r="AP52" s="25" t="n">
        <v>0.144427</v>
      </c>
    </row>
    <row r="53" customFormat="false" ht="15" hidden="false" customHeight="true" outlineLevel="0" collapsed="false">
      <c r="A53" s="23" t="s">
        <v>266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customFormat="false" ht="15" hidden="false" customHeight="true" outlineLevel="0" collapsed="false">
      <c r="A54" s="23" t="s">
        <v>267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 t="n">
        <v>0.010157</v>
      </c>
      <c r="AI54" s="25" t="n">
        <v>0.010903</v>
      </c>
      <c r="AJ54" s="25" t="n">
        <v>0.012547</v>
      </c>
      <c r="AK54" s="25" t="n">
        <v>0.011056</v>
      </c>
      <c r="AL54" s="25" t="n">
        <v>0.011284</v>
      </c>
      <c r="AM54" s="25" t="n">
        <v>0.011104</v>
      </c>
      <c r="AN54" s="25" t="n">
        <v>0.011519</v>
      </c>
      <c r="AO54" s="25" t="n">
        <v>0.011445</v>
      </c>
      <c r="AP54" s="25" t="n">
        <v>0.011698</v>
      </c>
    </row>
    <row r="55" customFormat="false" ht="15" hidden="false" customHeight="true" outlineLevel="0" collapsed="false">
      <c r="A55" s="23" t="s">
        <v>268</v>
      </c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customFormat="false" ht="15" hidden="false" customHeight="true" outlineLevel="0" collapsed="false">
      <c r="A56" s="23" t="s">
        <v>269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customFormat="false" ht="15" hidden="false" customHeight="true" outlineLevel="0" collapsed="false">
      <c r="A57" s="23" t="s">
        <v>270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customFormat="false" ht="15" hidden="false" customHeight="true" outlineLevel="0" collapsed="false">
      <c r="A58" s="23" t="s">
        <v>271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customFormat="false" ht="15" hidden="false" customHeight="true" outlineLevel="0" collapsed="false">
      <c r="A59" s="23" t="s">
        <v>272</v>
      </c>
      <c r="B59" s="30" t="n">
        <v>0.49</v>
      </c>
      <c r="C59" s="30" t="n">
        <v>0.502905</v>
      </c>
      <c r="D59" s="30" t="n">
        <v>0.470029</v>
      </c>
      <c r="E59" s="30" t="n">
        <v>0.389973</v>
      </c>
      <c r="F59" s="30" t="n">
        <v>0.390031</v>
      </c>
      <c r="G59" s="30" t="n">
        <v>0.389981</v>
      </c>
      <c r="H59" s="30" t="n">
        <v>0.380028</v>
      </c>
      <c r="I59" s="30" t="n">
        <v>0.380012</v>
      </c>
      <c r="J59" s="30" t="n">
        <v>0.3801</v>
      </c>
      <c r="K59" s="30" t="n">
        <v>0.379999</v>
      </c>
      <c r="L59" s="30" t="n">
        <v>0.37092</v>
      </c>
      <c r="M59" s="30"/>
      <c r="N59" s="30"/>
      <c r="O59" s="30" t="n">
        <v>0.06079</v>
      </c>
      <c r="P59" s="30" t="n">
        <v>0.110947</v>
      </c>
      <c r="Q59" s="30" t="n">
        <v>0.28022</v>
      </c>
      <c r="R59" s="30"/>
      <c r="S59" s="30" t="n">
        <v>0.252874</v>
      </c>
      <c r="T59" s="30" t="n">
        <v>0.26087</v>
      </c>
      <c r="U59" s="30" t="n">
        <v>0.281081</v>
      </c>
      <c r="V59" s="30" t="n">
        <v>0.265487</v>
      </c>
      <c r="W59" s="30" t="n">
        <v>0.29418</v>
      </c>
      <c r="X59" s="30" t="n">
        <v>0.301917</v>
      </c>
      <c r="Y59" s="30" t="n">
        <v>0.298912</v>
      </c>
      <c r="Z59" s="30" t="n">
        <v>0.317504</v>
      </c>
      <c r="AA59" s="30" t="n">
        <v>0.244175</v>
      </c>
      <c r="AB59" s="30" t="n">
        <v>0.242158</v>
      </c>
      <c r="AC59" s="30" t="n">
        <v>0.251601</v>
      </c>
      <c r="AD59" s="30" t="n">
        <v>0.261549</v>
      </c>
      <c r="AE59" s="30" t="n">
        <v>0.261261</v>
      </c>
      <c r="AF59" s="30" t="n">
        <v>0.263683</v>
      </c>
      <c r="AG59" s="30" t="n">
        <v>0.255573</v>
      </c>
      <c r="AH59" s="30" t="n">
        <v>0.245565</v>
      </c>
      <c r="AI59" s="30" t="n">
        <v>0.183422</v>
      </c>
      <c r="AJ59" s="30" t="n">
        <v>0.159438</v>
      </c>
      <c r="AK59" s="30" t="n">
        <v>0.144282</v>
      </c>
      <c r="AL59" s="30" t="n">
        <v>0.133023</v>
      </c>
      <c r="AM59" s="30" t="n">
        <v>0.162045</v>
      </c>
      <c r="AN59" s="30" t="n">
        <v>0.147192</v>
      </c>
      <c r="AO59" s="30" t="n">
        <v>0.240912</v>
      </c>
      <c r="AP59" s="30" t="n">
        <v>0.1561</v>
      </c>
    </row>
    <row r="60" customFormat="false" ht="15" hidden="false" customHeight="true" outlineLevel="0" collapsed="false">
      <c r="A60" s="23" t="s">
        <v>273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42" min="2" style="1" width="12"/>
  </cols>
  <sheetData>
    <row r="1" customFormat="false" ht="15" hidden="false" customHeight="true" outlineLevel="0" collapsed="false">
      <c r="A1" s="2" t="s">
        <v>274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176</v>
      </c>
      <c r="C3" s="24" t="s">
        <v>177</v>
      </c>
      <c r="D3" s="24" t="s">
        <v>178</v>
      </c>
      <c r="E3" s="24" t="s">
        <v>179</v>
      </c>
      <c r="F3" s="24" t="s">
        <v>180</v>
      </c>
      <c r="G3" s="24" t="s">
        <v>181</v>
      </c>
      <c r="H3" s="24" t="s">
        <v>182</v>
      </c>
      <c r="I3" s="24" t="s">
        <v>183</v>
      </c>
      <c r="J3" s="24" t="s">
        <v>184</v>
      </c>
      <c r="K3" s="24" t="s">
        <v>185</v>
      </c>
      <c r="L3" s="24" t="s">
        <v>186</v>
      </c>
      <c r="M3" s="24" t="s">
        <v>187</v>
      </c>
      <c r="N3" s="24" t="s">
        <v>188</v>
      </c>
      <c r="O3" s="24" t="s">
        <v>189</v>
      </c>
      <c r="P3" s="24" t="s">
        <v>190</v>
      </c>
      <c r="Q3" s="24" t="s">
        <v>191</v>
      </c>
      <c r="R3" s="24" t="s">
        <v>192</v>
      </c>
      <c r="S3" s="24" t="s">
        <v>193</v>
      </c>
      <c r="T3" s="24" t="s">
        <v>194</v>
      </c>
      <c r="U3" s="24" t="s">
        <v>195</v>
      </c>
      <c r="V3" s="24" t="s">
        <v>196</v>
      </c>
      <c r="W3" s="24" t="s">
        <v>197</v>
      </c>
      <c r="X3" s="24" t="s">
        <v>198</v>
      </c>
      <c r="Y3" s="24" t="s">
        <v>199</v>
      </c>
      <c r="Z3" s="24" t="s">
        <v>200</v>
      </c>
      <c r="AA3" s="24" t="s">
        <v>201</v>
      </c>
      <c r="AB3" s="24" t="s">
        <v>202</v>
      </c>
      <c r="AC3" s="24" t="s">
        <v>203</v>
      </c>
      <c r="AD3" s="24" t="s">
        <v>204</v>
      </c>
      <c r="AE3" s="24" t="s">
        <v>205</v>
      </c>
      <c r="AF3" s="24" t="s">
        <v>206</v>
      </c>
      <c r="AG3" s="24" t="s">
        <v>207</v>
      </c>
      <c r="AH3" s="24" t="s">
        <v>208</v>
      </c>
      <c r="AI3" s="24" t="s">
        <v>209</v>
      </c>
      <c r="AJ3" s="24" t="s">
        <v>210</v>
      </c>
      <c r="AK3" s="24" t="s">
        <v>211</v>
      </c>
      <c r="AL3" s="24" t="s">
        <v>212</v>
      </c>
      <c r="AM3" s="24" t="s">
        <v>213</v>
      </c>
      <c r="AN3" s="24" t="s">
        <v>214</v>
      </c>
      <c r="AO3" s="24" t="s">
        <v>215</v>
      </c>
      <c r="AP3" s="24" t="s">
        <v>216</v>
      </c>
    </row>
    <row r="4" customFormat="false" ht="15" hidden="false" customHeight="true" outlineLevel="0" collapsed="false">
      <c r="A4" s="23" t="s">
        <v>275</v>
      </c>
      <c r="B4" s="25" t="n">
        <v>0.000936</v>
      </c>
      <c r="C4" s="25" t="n">
        <v>0.00116</v>
      </c>
      <c r="D4" s="25" t="n">
        <v>0.001478</v>
      </c>
      <c r="E4" s="25" t="n">
        <v>0.002082</v>
      </c>
      <c r="F4" s="25" t="n">
        <v>0.002744</v>
      </c>
      <c r="G4" s="25" t="n">
        <v>0.002976</v>
      </c>
      <c r="H4" s="25" t="n">
        <v>0.003494</v>
      </c>
      <c r="I4" s="25" t="n">
        <v>0.004224</v>
      </c>
      <c r="J4" s="25" t="n">
        <v>0.005171</v>
      </c>
      <c r="K4" s="25" t="n">
        <v>0.005303</v>
      </c>
      <c r="L4" s="25" t="n">
        <v>0.006231</v>
      </c>
      <c r="M4" s="25" t="n">
        <v>0.005364</v>
      </c>
      <c r="N4" s="25" t="n">
        <v>0.004233</v>
      </c>
      <c r="O4" s="25" t="n">
        <v>0.004289</v>
      </c>
      <c r="P4" s="25" t="n">
        <v>0.005161</v>
      </c>
      <c r="Q4" s="25" t="n">
        <v>0.006803</v>
      </c>
      <c r="R4" s="25" t="n">
        <v>0.006021</v>
      </c>
      <c r="S4" s="25" t="n">
        <v>0.006298</v>
      </c>
      <c r="T4" s="25" t="n">
        <v>0.006815</v>
      </c>
      <c r="U4" s="25" t="n">
        <v>0.00805</v>
      </c>
      <c r="V4" s="25" t="n">
        <v>0.011551</v>
      </c>
      <c r="W4" s="25" t="n">
        <v>0.017205</v>
      </c>
      <c r="X4" s="25" t="n">
        <v>0.025347</v>
      </c>
      <c r="Y4" s="25" t="n">
        <v>0.039572</v>
      </c>
      <c r="Z4" s="25" t="n">
        <v>0.053851</v>
      </c>
      <c r="AA4" s="25" t="n">
        <v>0.075183</v>
      </c>
      <c r="AB4" s="25" t="n">
        <v>0.116371</v>
      </c>
      <c r="AC4" s="25" t="n">
        <v>0.176064</v>
      </c>
      <c r="AD4" s="25" t="n">
        <v>0.207</v>
      </c>
      <c r="AE4" s="25" t="n">
        <v>0.231839</v>
      </c>
      <c r="AF4" s="25" t="n">
        <v>0.290479</v>
      </c>
      <c r="AG4" s="25" t="n">
        <v>0.321686</v>
      </c>
      <c r="AH4" s="25" t="n">
        <v>0.375319</v>
      </c>
      <c r="AI4" s="25" t="n">
        <v>0.365725</v>
      </c>
      <c r="AJ4" s="25" t="n">
        <v>0.338516</v>
      </c>
      <c r="AK4" s="25" t="n">
        <v>0.323888</v>
      </c>
      <c r="AL4" s="25" t="n">
        <v>0.351002</v>
      </c>
      <c r="AM4" s="25" t="n">
        <v>0.352755</v>
      </c>
      <c r="AN4" s="25" t="n">
        <v>0.352583</v>
      </c>
      <c r="AO4" s="25" t="n">
        <v>0.36498</v>
      </c>
      <c r="AP4" s="25" t="n">
        <v>0.359241</v>
      </c>
    </row>
    <row r="5" customFormat="false" ht="15" hidden="false" customHeight="true" outlineLevel="0" collapsed="false">
      <c r="A5" s="26" t="s">
        <v>276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</row>
    <row r="6" customFormat="false" ht="15" hidden="false" customHeight="true" outlineLevel="0" collapsed="false">
      <c r="A6" s="26" t="s">
        <v>277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</row>
    <row r="7" customFormat="false" ht="15" hidden="false" customHeight="true" outlineLevel="0" collapsed="false">
      <c r="A7" s="26" t="s">
        <v>278</v>
      </c>
      <c r="B7" s="25" t="n">
        <v>0.000337</v>
      </c>
      <c r="C7" s="25" t="n">
        <v>0.000576</v>
      </c>
      <c r="D7" s="25" t="n">
        <v>0.000565</v>
      </c>
      <c r="E7" s="25" t="n">
        <v>0.000546</v>
      </c>
      <c r="F7" s="25" t="n">
        <v>0.000438</v>
      </c>
      <c r="G7" s="25" t="n">
        <v>0.000375</v>
      </c>
      <c r="H7" s="25" t="n">
        <v>0.000604</v>
      </c>
      <c r="I7" s="25" t="n">
        <v>0.000499</v>
      </c>
      <c r="J7" s="25" t="n">
        <v>0.000676</v>
      </c>
      <c r="K7" s="25" t="n">
        <v>0.001203</v>
      </c>
      <c r="L7" s="25" t="n">
        <v>0.000756</v>
      </c>
      <c r="M7" s="25" t="n">
        <v>0.001552</v>
      </c>
      <c r="N7" s="25" t="n">
        <v>0.00123</v>
      </c>
      <c r="O7" s="25" t="n">
        <v>0.001481</v>
      </c>
      <c r="P7" s="25" t="n">
        <v>0.001326</v>
      </c>
      <c r="Q7" s="25" t="n">
        <v>0.001191</v>
      </c>
      <c r="R7" s="25" t="n">
        <v>0.00231</v>
      </c>
      <c r="S7" s="25" t="n">
        <v>0.002252</v>
      </c>
      <c r="T7" s="25" t="n">
        <v>0.003396</v>
      </c>
      <c r="U7" s="25" t="n">
        <v>0.002969</v>
      </c>
      <c r="V7" s="25" t="n">
        <v>0.003491</v>
      </c>
      <c r="W7" s="25" t="n">
        <v>0.006392</v>
      </c>
      <c r="X7" s="25" t="n">
        <v>0.009352</v>
      </c>
      <c r="Y7" s="25" t="n">
        <v>0.011875</v>
      </c>
      <c r="Z7" s="25" t="n">
        <v>0.005263</v>
      </c>
      <c r="AA7" s="25" t="n">
        <v>0.011261</v>
      </c>
      <c r="AB7" s="25" t="n">
        <v>0.009815</v>
      </c>
      <c r="AC7" s="25" t="n">
        <v>0.010746</v>
      </c>
      <c r="AD7" s="25" t="n">
        <v>0.014259</v>
      </c>
      <c r="AE7" s="25" t="n">
        <v>0.013844</v>
      </c>
      <c r="AF7" s="25" t="n">
        <v>0.02112</v>
      </c>
      <c r="AG7" s="25" t="n">
        <v>0.020484</v>
      </c>
      <c r="AH7" s="25" t="n">
        <v>0.020289</v>
      </c>
      <c r="AI7" s="25" t="n">
        <v>0.025913</v>
      </c>
      <c r="AJ7" s="25" t="n">
        <v>0.048844</v>
      </c>
      <c r="AK7" s="25" t="n">
        <v>0.038016</v>
      </c>
      <c r="AL7" s="25" t="n">
        <v>0.03494</v>
      </c>
      <c r="AM7" s="25" t="n">
        <v>0.023646</v>
      </c>
      <c r="AN7" s="25" t="n">
        <v>0.029965</v>
      </c>
      <c r="AO7" s="25" t="n">
        <v>0.029943</v>
      </c>
      <c r="AP7" s="25" t="n">
        <v>0.035934</v>
      </c>
    </row>
    <row r="8" customFormat="false" ht="15" hidden="false" customHeight="true" outlineLevel="0" collapsed="false">
      <c r="A8" s="26" t="s">
        <v>279</v>
      </c>
      <c r="AD8" s="25"/>
      <c r="AE8" s="25"/>
      <c r="AG8" s="25"/>
      <c r="AH8" s="25"/>
      <c r="AI8" s="25"/>
      <c r="AJ8" s="25"/>
      <c r="AK8" s="25"/>
      <c r="AL8" s="25"/>
      <c r="AM8" s="25"/>
      <c r="AN8" s="25"/>
      <c r="AO8" s="25"/>
    </row>
    <row r="9" customFormat="false" ht="15" hidden="false" customHeight="true" outlineLevel="0" collapsed="false">
      <c r="A9" s="26" t="s">
        <v>280</v>
      </c>
      <c r="AD9" s="25"/>
      <c r="AE9" s="25"/>
      <c r="AG9" s="25"/>
      <c r="AH9" s="25"/>
      <c r="AI9" s="25"/>
      <c r="AJ9" s="25"/>
      <c r="AK9" s="25"/>
      <c r="AL9" s="25"/>
      <c r="AM9" s="25"/>
      <c r="AN9" s="25"/>
      <c r="AO9" s="25"/>
    </row>
    <row r="10" customFormat="false" ht="15" hidden="false" customHeight="true" outlineLevel="0" collapsed="false">
      <c r="A10" s="26" t="s">
        <v>281</v>
      </c>
      <c r="J10" s="27" t="n">
        <v>0.000216</v>
      </c>
      <c r="K10" s="27" t="n">
        <v>5.4E-005</v>
      </c>
      <c r="L10" s="25" t="n">
        <v>0.000196</v>
      </c>
      <c r="M10" s="25" t="n">
        <v>0.000193</v>
      </c>
      <c r="N10" s="25" t="n">
        <v>0.000229</v>
      </c>
      <c r="O10" s="25" t="n">
        <v>0.000819</v>
      </c>
      <c r="P10" s="27" t="n">
        <v>0.0019</v>
      </c>
      <c r="Q10" s="27" t="n">
        <v>0.002836</v>
      </c>
      <c r="R10" s="27" t="n">
        <v>0.002026</v>
      </c>
      <c r="S10" s="25" t="n">
        <v>0.002085</v>
      </c>
      <c r="T10" s="25" t="n">
        <v>0.00117</v>
      </c>
      <c r="U10" s="25" t="n">
        <v>0.002495</v>
      </c>
      <c r="V10" s="27" t="n">
        <v>0.00477</v>
      </c>
      <c r="W10" s="27" t="n">
        <v>0.003718</v>
      </c>
      <c r="X10" s="27" t="n">
        <v>0.006034</v>
      </c>
      <c r="Y10" s="27" t="n">
        <v>0.012615</v>
      </c>
      <c r="Z10" s="27" t="n">
        <v>0.018201</v>
      </c>
      <c r="AA10" s="27" t="n">
        <v>0.014359</v>
      </c>
      <c r="AB10" s="27" t="n">
        <v>0.016137</v>
      </c>
      <c r="AC10" s="27" t="n">
        <v>0.018383</v>
      </c>
      <c r="AD10" s="27" t="n">
        <v>0.026287</v>
      </c>
      <c r="AE10" s="27" t="n">
        <v>0.011233</v>
      </c>
      <c r="AF10" s="27" t="n">
        <v>0.020481</v>
      </c>
      <c r="AG10" s="27" t="n">
        <v>0.046671</v>
      </c>
      <c r="AH10" s="27" t="n">
        <v>0.053892</v>
      </c>
      <c r="AI10" s="27" t="n">
        <v>0.040388</v>
      </c>
      <c r="AJ10" s="27" t="n">
        <v>0.051713</v>
      </c>
      <c r="AK10" s="27" t="n">
        <v>0.052927</v>
      </c>
      <c r="AL10" s="27" t="n">
        <v>0.027699</v>
      </c>
      <c r="AM10" s="27" t="n">
        <v>0.024658</v>
      </c>
      <c r="AN10" s="27" t="n">
        <v>0.03159</v>
      </c>
      <c r="AO10" s="27" t="n">
        <v>0.035228</v>
      </c>
      <c r="AP10" s="27" t="n">
        <v>0.018763</v>
      </c>
    </row>
    <row r="11" customFormat="false" ht="15" hidden="false" customHeight="true" outlineLevel="0" collapsed="false">
      <c r="A11" s="26" t="s">
        <v>282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</row>
    <row r="12" customFormat="false" ht="15" hidden="false" customHeight="true" outlineLevel="0" collapsed="false">
      <c r="A12" s="26" t="s">
        <v>283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</row>
    <row r="13" customFormat="false" ht="15" hidden="false" customHeight="true" outlineLevel="0" collapsed="false">
      <c r="A13" s="26" t="s">
        <v>284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</row>
    <row r="14" customFormat="false" ht="15" hidden="false" customHeight="true" outlineLevel="0" collapsed="false">
      <c r="A14" s="26" t="s">
        <v>285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</row>
    <row r="15" customFormat="false" ht="15" hidden="false" customHeight="true" outlineLevel="0" collapsed="false">
      <c r="A15" s="26" t="s">
        <v>286</v>
      </c>
      <c r="Q15" s="25"/>
    </row>
    <row r="16" customFormat="false" ht="15" hidden="false" customHeight="true" outlineLevel="0" collapsed="false">
      <c r="A16" s="26" t="s">
        <v>287</v>
      </c>
      <c r="P16" s="25"/>
      <c r="Q16" s="25"/>
    </row>
    <row r="17" customFormat="false" ht="15" hidden="false" customHeight="true" outlineLevel="0" collapsed="false">
      <c r="A17" s="26" t="s">
        <v>288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AK17" s="25"/>
      <c r="AL17" s="25"/>
      <c r="AM17" s="25"/>
      <c r="AN17" s="25"/>
      <c r="AO17" s="25"/>
      <c r="AP17" s="25"/>
    </row>
    <row r="18" customFormat="false" ht="15" hidden="false" customHeight="true" outlineLevel="0" collapsed="false">
      <c r="A18" s="26" t="s">
        <v>289</v>
      </c>
      <c r="J18" s="25"/>
      <c r="K18" s="25"/>
      <c r="L18" s="25"/>
      <c r="M18" s="25"/>
    </row>
    <row r="19" customFormat="false" ht="15" hidden="false" customHeight="true" outlineLevel="0" collapsed="false">
      <c r="A19" s="26" t="s">
        <v>290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</row>
    <row r="20" customFormat="false" ht="15" hidden="false" customHeight="true" outlineLevel="0" collapsed="false">
      <c r="A20" s="26" t="s">
        <v>291</v>
      </c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customFormat="false" ht="15" hidden="false" customHeight="true" outlineLevel="0" collapsed="false">
      <c r="A21" s="26" t="s">
        <v>292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 customFormat="false" ht="15" hidden="false" customHeight="true" outlineLevel="0" collapsed="false">
      <c r="A22" s="26" t="s">
        <v>293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customFormat="false" ht="15" hidden="false" customHeight="true" outlineLevel="0" collapsed="false">
      <c r="A23" s="26" t="s">
        <v>294</v>
      </c>
      <c r="T23" s="25"/>
      <c r="U23" s="25"/>
      <c r="AL23" s="25"/>
      <c r="AM23" s="25"/>
    </row>
    <row r="24" customFormat="false" ht="15" hidden="false" customHeight="true" outlineLevel="0" collapsed="false">
      <c r="A24" s="26" t="s">
        <v>295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</row>
    <row r="25" customFormat="false" ht="15" hidden="false" customHeight="true" outlineLevel="0" collapsed="false">
      <c r="A25" s="26" t="s">
        <v>296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</row>
    <row r="26" customFormat="false" ht="15" hidden="false" customHeight="true" outlineLevel="0" collapsed="false">
      <c r="A26" s="26" t="s">
        <v>297</v>
      </c>
      <c r="B26" s="25" t="n">
        <v>9E-005</v>
      </c>
      <c r="C26" s="25" t="n">
        <v>0.000107</v>
      </c>
      <c r="D26" s="25" t="n">
        <v>0.00013</v>
      </c>
      <c r="E26" s="25" t="n">
        <v>0.000207</v>
      </c>
      <c r="F26" s="25" t="n">
        <v>0.000334</v>
      </c>
      <c r="G26" s="25" t="n">
        <v>0.000398</v>
      </c>
      <c r="H26" s="25" t="n">
        <v>0.000448</v>
      </c>
      <c r="I26" s="25" t="n">
        <v>0.000462</v>
      </c>
      <c r="J26" s="25" t="n">
        <v>0.00066</v>
      </c>
      <c r="K26" s="25" t="n">
        <v>0.000667</v>
      </c>
      <c r="L26" s="25" t="n">
        <v>0.000711</v>
      </c>
      <c r="M26" s="25" t="n">
        <v>0.000598</v>
      </c>
      <c r="N26" s="25" t="n">
        <v>0.000486</v>
      </c>
      <c r="O26" s="25" t="n">
        <v>0.000348</v>
      </c>
      <c r="P26" s="25" t="n">
        <v>0.000318</v>
      </c>
      <c r="Q26" s="25" t="n">
        <v>0.000313</v>
      </c>
      <c r="R26" s="25" t="n">
        <v>0.000564</v>
      </c>
      <c r="S26" s="25" t="n">
        <v>0.000621</v>
      </c>
      <c r="T26" s="25" t="n">
        <v>0.000669</v>
      </c>
      <c r="U26" s="25" t="n">
        <v>0.000707</v>
      </c>
      <c r="V26" s="25" t="n">
        <v>0.000817</v>
      </c>
      <c r="W26" s="25" t="n">
        <v>0.001281</v>
      </c>
      <c r="X26" s="25" t="n">
        <v>0.001832</v>
      </c>
      <c r="Y26" s="25" t="n">
        <v>0.002455</v>
      </c>
      <c r="Z26" s="25" t="n">
        <v>0.002954</v>
      </c>
      <c r="AA26" s="25" t="n">
        <v>0.004768</v>
      </c>
      <c r="AB26" s="25" t="n">
        <v>0.007777</v>
      </c>
      <c r="AC26" s="25" t="n">
        <v>0.015452</v>
      </c>
      <c r="AD26" s="25" t="n">
        <v>0.016597</v>
      </c>
      <c r="AE26" s="25" t="n">
        <v>0.020624</v>
      </c>
      <c r="AF26" s="25" t="n">
        <v>0.022471</v>
      </c>
      <c r="AG26" s="25" t="n">
        <v>0.02701</v>
      </c>
      <c r="AH26" s="25" t="n">
        <v>0.033783</v>
      </c>
      <c r="AI26" s="25" t="n">
        <v>0.041304</v>
      </c>
      <c r="AJ26" s="25" t="n">
        <v>0.037378</v>
      </c>
      <c r="AK26" s="25" t="n">
        <v>0.036766</v>
      </c>
      <c r="AL26" s="25" t="n">
        <v>0.03944</v>
      </c>
      <c r="AM26" s="25" t="n">
        <v>0.042117</v>
      </c>
      <c r="AN26" s="25" t="n">
        <v>0.043715</v>
      </c>
      <c r="AO26" s="25" t="n">
        <v>0.04568</v>
      </c>
      <c r="AP26" s="25" t="n">
        <v>0.049834</v>
      </c>
    </row>
    <row r="27" customFormat="false" ht="15" hidden="false" customHeight="true" outlineLevel="0" collapsed="false">
      <c r="A27" s="26" t="s">
        <v>298</v>
      </c>
      <c r="B27" s="25"/>
      <c r="C27" s="25"/>
      <c r="D27" s="25"/>
      <c r="E27" s="25"/>
      <c r="F27" s="25"/>
      <c r="G27" s="25"/>
      <c r="H27" s="25"/>
      <c r="I27" s="25"/>
      <c r="J27" s="25" t="n">
        <v>0.001413</v>
      </c>
      <c r="K27" s="25" t="n">
        <v>0.001452</v>
      </c>
      <c r="L27" s="25" t="n">
        <v>0.001492</v>
      </c>
      <c r="M27" s="25" t="n">
        <v>0.001348</v>
      </c>
      <c r="N27" s="25" t="n">
        <v>0.001195</v>
      </c>
      <c r="O27" s="25" t="n">
        <v>0.000824</v>
      </c>
      <c r="P27" s="25" t="n">
        <v>0.000729</v>
      </c>
      <c r="Q27" s="25" t="n">
        <v>0.0007</v>
      </c>
      <c r="R27" s="25" t="n">
        <v>0.00096</v>
      </c>
      <c r="S27" s="25" t="n">
        <v>0.001057</v>
      </c>
      <c r="T27" s="25" t="n">
        <v>0.001174</v>
      </c>
      <c r="U27" s="25" t="n">
        <v>0.001298</v>
      </c>
      <c r="V27" s="25" t="n">
        <v>0.001481</v>
      </c>
      <c r="W27" s="25" t="n">
        <v>0.002075</v>
      </c>
      <c r="X27" s="25" t="n">
        <v>0.002841</v>
      </c>
      <c r="Y27" s="25" t="n">
        <v>0.003747</v>
      </c>
      <c r="Z27" s="25" t="n">
        <v>0.004667</v>
      </c>
      <c r="AA27" s="25" t="n">
        <v>0.007234</v>
      </c>
      <c r="AB27" s="25" t="n">
        <v>0.011768</v>
      </c>
      <c r="AC27" s="25" t="n">
        <v>0.021887</v>
      </c>
      <c r="AD27" s="25" t="n">
        <v>0.028519</v>
      </c>
      <c r="AE27" s="25" t="n">
        <v>0.039015</v>
      </c>
      <c r="AF27" s="25" t="n">
        <v>0.049257</v>
      </c>
      <c r="AG27" s="25" t="n">
        <v>0.061245</v>
      </c>
      <c r="AH27" s="25" t="n">
        <v>0.075076</v>
      </c>
      <c r="AI27" s="25" t="n">
        <v>0.090403</v>
      </c>
      <c r="AJ27" s="25" t="n">
        <v>0.095957</v>
      </c>
      <c r="AK27" s="25" t="n">
        <v>0.103526</v>
      </c>
      <c r="AL27" s="25" t="n">
        <v>0.109723</v>
      </c>
      <c r="AM27" s="25" t="n">
        <v>0.114457</v>
      </c>
      <c r="AN27" s="25" t="n">
        <v>0.114599</v>
      </c>
      <c r="AO27" s="25" t="n">
        <v>0.119128</v>
      </c>
      <c r="AP27" s="25" t="n">
        <v>0.125848</v>
      </c>
    </row>
    <row r="28" customFormat="false" ht="15" hidden="false" customHeight="true" outlineLevel="0" collapsed="false">
      <c r="A28" s="26" t="s">
        <v>299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</row>
    <row r="29" customFormat="false" ht="15" hidden="false" customHeight="true" outlineLevel="0" collapsed="false">
      <c r="A29" s="26" t="s">
        <v>300</v>
      </c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</row>
    <row r="30" customFormat="false" ht="15" hidden="false" customHeight="true" outlineLevel="0" collapsed="false">
      <c r="A30" s="26" t="s">
        <v>301</v>
      </c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</row>
    <row r="31" customFormat="false" ht="15" hidden="false" customHeight="true" outlineLevel="0" collapsed="false">
      <c r="A31" s="26" t="s">
        <v>302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</row>
    <row r="32" customFormat="false" ht="15" hidden="false" customHeight="true" outlineLevel="0" collapsed="false">
      <c r="A32" s="26" t="s">
        <v>303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</row>
    <row r="33" customFormat="false" ht="15" hidden="false" customHeight="true" outlineLevel="0" collapsed="false">
      <c r="A33" s="26" t="s">
        <v>304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</row>
    <row r="34" customFormat="false" ht="15" hidden="false" customHeight="true" outlineLevel="0" collapsed="false">
      <c r="A34" s="26" t="s">
        <v>305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</row>
    <row r="35" customFormat="false" ht="15" hidden="false" customHeight="true" outlineLevel="0" collapsed="false">
      <c r="A35" s="26" t="s">
        <v>306</v>
      </c>
      <c r="D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</row>
    <row r="36" customFormat="false" ht="15" hidden="false" customHeight="true" outlineLevel="0" collapsed="false">
      <c r="A36" s="26" t="s">
        <v>307</v>
      </c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</row>
    <row r="37" customFormat="false" ht="15" hidden="false" customHeight="true" outlineLevel="0" collapsed="false">
      <c r="A37" s="26" t="s">
        <v>308</v>
      </c>
      <c r="D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</row>
    <row r="38" customFormat="false" ht="15" hidden="false" customHeight="true" outlineLevel="0" collapsed="false">
      <c r="A38" s="26" t="s">
        <v>309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</row>
    <row r="39" customFormat="false" ht="15" hidden="false" customHeight="true" outlineLevel="0" collapsed="false">
      <c r="A39" s="26" t="s">
        <v>310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</row>
    <row r="40" customFormat="false" ht="15" hidden="false" customHeight="true" outlineLevel="0" collapsed="false">
      <c r="A40" s="26" t="s">
        <v>311</v>
      </c>
      <c r="V40" s="25"/>
      <c r="W40" s="25"/>
    </row>
    <row r="41" customFormat="false" ht="15" hidden="false" customHeight="true" outlineLevel="0" collapsed="false">
      <c r="A41" s="26" t="s">
        <v>312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</row>
    <row r="42" customFormat="false" ht="15" hidden="false" customHeight="true" outlineLevel="0" collapsed="false">
      <c r="A42" s="26" t="s">
        <v>313</v>
      </c>
      <c r="S42" s="25"/>
      <c r="T42" s="25"/>
      <c r="U42" s="25"/>
      <c r="V42" s="25"/>
    </row>
    <row r="43" customFormat="false" ht="15" hidden="false" customHeight="true" outlineLevel="0" collapsed="false">
      <c r="A43" s="26" t="s">
        <v>314</v>
      </c>
      <c r="Q43" s="25"/>
      <c r="R43" s="25"/>
      <c r="S43" s="25"/>
    </row>
    <row r="44" customFormat="false" ht="15" hidden="false" customHeight="true" outlineLevel="0" collapsed="false">
      <c r="A44" s="26" t="s">
        <v>315</v>
      </c>
      <c r="V44" s="25"/>
      <c r="W44" s="25"/>
      <c r="X44" s="25"/>
      <c r="Y44" s="25"/>
    </row>
    <row r="45" customFormat="false" ht="15" hidden="false" customHeight="true" outlineLevel="0" collapsed="false">
      <c r="A45" s="26" t="s">
        <v>316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</row>
    <row r="46" customFormat="false" ht="15" hidden="false" customHeight="true" outlineLevel="0" collapsed="false">
      <c r="A46" s="23" t="s">
        <v>317</v>
      </c>
      <c r="B46" s="25" t="n">
        <v>0.000386</v>
      </c>
      <c r="C46" s="25" t="n">
        <v>0.000466</v>
      </c>
      <c r="D46" s="25" t="n">
        <v>0.000641</v>
      </c>
      <c r="E46" s="25" t="n">
        <v>0.001079</v>
      </c>
      <c r="F46" s="25" t="n">
        <v>0.001258</v>
      </c>
      <c r="G46" s="25" t="n">
        <v>0.001529</v>
      </c>
      <c r="H46" s="25" t="n">
        <v>0.001727</v>
      </c>
      <c r="I46" s="25" t="n">
        <v>0.002036</v>
      </c>
      <c r="J46" s="25" t="n">
        <v>0.003145</v>
      </c>
      <c r="K46" s="25" t="n">
        <v>0.002919</v>
      </c>
      <c r="L46" s="25" t="n">
        <v>0.00333</v>
      </c>
      <c r="M46" s="25" t="n">
        <v>0.003306</v>
      </c>
      <c r="N46" s="25" t="n">
        <v>0.003033</v>
      </c>
      <c r="O46" s="25" t="n">
        <v>0.002647</v>
      </c>
      <c r="P46" s="25" t="n">
        <v>0.002057</v>
      </c>
      <c r="Q46" s="25" t="n">
        <v>0.002696</v>
      </c>
      <c r="R46" s="25" t="n">
        <v>0.002101</v>
      </c>
      <c r="S46" s="25" t="n">
        <v>0.002203</v>
      </c>
      <c r="T46" s="25" t="n">
        <v>0.002592</v>
      </c>
      <c r="U46" s="25" t="n">
        <v>0.002974</v>
      </c>
      <c r="V46" s="25" t="n">
        <v>0.004085</v>
      </c>
      <c r="W46" s="25" t="n">
        <v>0.007221</v>
      </c>
      <c r="X46" s="25" t="n">
        <v>0.010815</v>
      </c>
      <c r="Y46" s="25" t="n">
        <v>0.018542</v>
      </c>
      <c r="Z46" s="25" t="n">
        <v>0.026019</v>
      </c>
      <c r="AA46" s="25" t="n">
        <v>0.027392</v>
      </c>
      <c r="AB46" s="25" t="n">
        <v>0.039756</v>
      </c>
      <c r="AC46" s="25" t="n">
        <v>0.057854</v>
      </c>
      <c r="AD46" s="25" t="n">
        <v>0.083451</v>
      </c>
      <c r="AE46" s="25" t="n">
        <v>0.120292</v>
      </c>
      <c r="AF46" s="25" t="n">
        <v>0.171124</v>
      </c>
      <c r="AG46" s="25" t="n">
        <v>0.193437</v>
      </c>
      <c r="AH46" s="25" t="n">
        <v>0.241272</v>
      </c>
      <c r="AI46" s="25" t="n">
        <v>0.258578</v>
      </c>
      <c r="AJ46" s="25" t="n">
        <v>0.248028</v>
      </c>
      <c r="AK46" s="25" t="n">
        <v>0.258549</v>
      </c>
      <c r="AL46" s="25" t="n">
        <v>0.287912</v>
      </c>
      <c r="AM46" s="25" t="n">
        <v>0.302083</v>
      </c>
      <c r="AN46" s="25" t="n">
        <v>0.290437</v>
      </c>
      <c r="AO46" s="25" t="n">
        <v>0.30803</v>
      </c>
      <c r="AP46" s="25" t="n">
        <v>0.285508</v>
      </c>
    </row>
    <row r="47" customFormat="false" ht="15" hidden="false" customHeight="true" outlineLevel="0" collapsed="false">
      <c r="A47" s="26" t="s">
        <v>318</v>
      </c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</row>
    <row r="48" customFormat="false" ht="15" hidden="false" customHeight="true" outlineLevel="0" collapsed="false">
      <c r="A48" s="26" t="s">
        <v>319</v>
      </c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</row>
    <row r="49" customFormat="false" ht="15" hidden="false" customHeight="true" outlineLevel="0" collapsed="false">
      <c r="A49" s="26" t="s">
        <v>320</v>
      </c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</row>
    <row r="50" customFormat="false" ht="15" hidden="false" customHeight="true" outlineLevel="0" collapsed="false">
      <c r="A50" s="26" t="s">
        <v>321</v>
      </c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</row>
    <row r="51" customFormat="false" ht="15" hidden="false" customHeight="true" outlineLevel="0" collapsed="false">
      <c r="A51" s="26" t="s">
        <v>322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</row>
    <row r="52" customFormat="false" ht="15" hidden="false" customHeight="true" outlineLevel="0" collapsed="false">
      <c r="A52" s="26" t="s">
        <v>323</v>
      </c>
      <c r="X52" s="25"/>
      <c r="Y52" s="25"/>
      <c r="Z52" s="25"/>
      <c r="AA52" s="25"/>
    </row>
    <row r="53" customFormat="false" ht="15" hidden="false" customHeight="true" outlineLevel="0" collapsed="false">
      <c r="A53" s="26" t="s">
        <v>324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</row>
    <row r="54" customFormat="false" ht="15" hidden="false" customHeight="true" outlineLevel="0" collapsed="false">
      <c r="A54" s="26" t="s">
        <v>325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</row>
    <row r="55" customFormat="false" ht="15" hidden="false" customHeight="true" outlineLevel="0" collapsed="false">
      <c r="A55" s="26" t="s">
        <v>326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</row>
    <row r="56" customFormat="false" ht="15" hidden="false" customHeight="true" outlineLevel="0" collapsed="false">
      <c r="A56" s="26" t="s">
        <v>327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</row>
    <row r="57" customFormat="false" ht="15" hidden="false" customHeight="true" outlineLevel="0" collapsed="false">
      <c r="A57" s="26" t="s">
        <v>328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</row>
    <row r="58" customFormat="false" ht="15" hidden="false" customHeight="true" outlineLevel="0" collapsed="false">
      <c r="A58" s="26" t="s">
        <v>329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</row>
    <row r="59" customFormat="false" ht="15" hidden="false" customHeight="true" outlineLevel="0" collapsed="false">
      <c r="A59" s="26" t="s">
        <v>330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</row>
    <row r="60" customFormat="false" ht="15" hidden="false" customHeight="true" outlineLevel="0" collapsed="false">
      <c r="A60" s="26" t="s">
        <v>331</v>
      </c>
      <c r="AL60" s="25"/>
      <c r="AM60" s="25"/>
      <c r="AN60" s="25"/>
    </row>
    <row r="61" customFormat="false" ht="15" hidden="false" customHeight="true" outlineLevel="0" collapsed="false">
      <c r="A61" s="26" t="s">
        <v>332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H61" s="25"/>
      <c r="AI61" s="25"/>
      <c r="AJ61" s="25"/>
      <c r="AK61" s="25"/>
      <c r="AL61" s="25"/>
      <c r="AM61" s="25"/>
      <c r="AN61" s="25"/>
      <c r="AO61" s="25"/>
    </row>
    <row r="62" customFormat="false" ht="15" hidden="false" customHeight="true" outlineLevel="0" collapsed="false">
      <c r="A62" s="26" t="s">
        <v>333</v>
      </c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</row>
    <row r="63" customFormat="false" ht="15" hidden="false" customHeight="true" outlineLevel="0" collapsed="false">
      <c r="A63" s="26" t="s">
        <v>334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</row>
    <row r="64" customFormat="false" ht="15" hidden="false" customHeight="true" outlineLevel="0" collapsed="false">
      <c r="A64" s="26" t="s">
        <v>335</v>
      </c>
      <c r="AJ64" s="25"/>
      <c r="AK64" s="25"/>
    </row>
    <row r="65" customFormat="false" ht="15" hidden="false" customHeight="true" outlineLevel="0" collapsed="false">
      <c r="A65" s="26" t="s">
        <v>336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</row>
    <row r="66" customFormat="false" ht="15" hidden="false" customHeight="true" outlineLevel="0" collapsed="false">
      <c r="A66" s="26" t="s">
        <v>337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</row>
    <row r="67" customFormat="false" ht="15" hidden="false" customHeight="true" outlineLevel="0" collapsed="false">
      <c r="A67" s="26" t="s">
        <v>338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Z67" s="25"/>
      <c r="AA67" s="25"/>
      <c r="AB67" s="25"/>
      <c r="AL67" s="25"/>
      <c r="AM67" s="25"/>
    </row>
    <row r="68" customFormat="false" ht="15" hidden="false" customHeight="true" outlineLevel="0" collapsed="false">
      <c r="A68" s="26" t="s">
        <v>339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</row>
    <row r="69" customFormat="false" ht="15" hidden="false" customHeight="true" outlineLevel="0" collapsed="false">
      <c r="A69" s="26" t="s">
        <v>340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</row>
    <row r="70" customFormat="false" ht="15" hidden="false" customHeight="true" outlineLevel="0" collapsed="false">
      <c r="A70" s="26" t="s">
        <v>341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</row>
    <row r="71" customFormat="false" ht="15" hidden="false" customHeight="true" outlineLevel="0" collapsed="false">
      <c r="A71" s="26" t="s">
        <v>342</v>
      </c>
      <c r="AI71" s="25"/>
      <c r="AJ71" s="25"/>
      <c r="AK71" s="25"/>
      <c r="AL71" s="25"/>
      <c r="AM71" s="25"/>
      <c r="AN71" s="25"/>
      <c r="AO71" s="25"/>
      <c r="AP71" s="25"/>
    </row>
    <row r="72" customFormat="false" ht="15" hidden="false" customHeight="true" outlineLevel="0" collapsed="false">
      <c r="A72" s="26" t="s">
        <v>343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</row>
    <row r="73" customFormat="false" ht="15" hidden="false" customHeight="true" outlineLevel="0" collapsed="false">
      <c r="A73" s="26" t="s">
        <v>344</v>
      </c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</row>
    <row r="74" customFormat="false" ht="15" hidden="false" customHeight="true" outlineLevel="0" collapsed="false">
      <c r="A74" s="26" t="s">
        <v>345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</row>
    <row r="75" customFormat="false" ht="15" hidden="false" customHeight="true" outlineLevel="0" collapsed="false">
      <c r="A75" s="26" t="s">
        <v>346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</row>
    <row r="76" customFormat="false" ht="15" hidden="false" customHeight="true" outlineLevel="0" collapsed="false">
      <c r="A76" s="26" t="s">
        <v>347</v>
      </c>
      <c r="M76" s="25"/>
      <c r="N76" s="25"/>
      <c r="O76" s="25"/>
      <c r="P76" s="25"/>
      <c r="Q76" s="25"/>
      <c r="R76" s="25"/>
    </row>
    <row r="77" customFormat="false" ht="15" hidden="false" customHeight="true" outlineLevel="0" collapsed="false">
      <c r="A77" s="26" t="s">
        <v>348</v>
      </c>
      <c r="B77" s="25"/>
      <c r="C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</row>
    <row r="78" customFormat="false" ht="15" hidden="false" customHeight="true" outlineLevel="0" collapsed="false">
      <c r="A78" s="23" t="s">
        <v>349</v>
      </c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</row>
    <row r="79" customFormat="false" ht="15" hidden="false" customHeight="true" outlineLevel="0" collapsed="false">
      <c r="A79" s="26" t="s">
        <v>350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</row>
    <row r="80" customFormat="false" ht="15" hidden="false" customHeight="true" outlineLevel="0" collapsed="false">
      <c r="A80" s="26" t="s">
        <v>351</v>
      </c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</row>
    <row r="81" customFormat="false" ht="15" hidden="false" customHeight="true" outlineLevel="0" collapsed="false">
      <c r="A81" s="26" t="s">
        <v>352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AI81" s="25"/>
      <c r="AJ81" s="25"/>
      <c r="AK81" s="25"/>
      <c r="AL81" s="25"/>
      <c r="AM81" s="25"/>
      <c r="AN81" s="25"/>
      <c r="AO81" s="25"/>
      <c r="AP81" s="25"/>
    </row>
    <row r="82" customFormat="false" ht="15" hidden="false" customHeight="true" outlineLevel="0" collapsed="false">
      <c r="A82" s="26" t="s">
        <v>353</v>
      </c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</row>
    <row r="83" customFormat="false" ht="15" hidden="false" customHeight="true" outlineLevel="0" collapsed="false">
      <c r="A83" s="26" t="s">
        <v>354</v>
      </c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</row>
    <row r="84" customFormat="false" ht="15" hidden="false" customHeight="true" outlineLevel="0" collapsed="false">
      <c r="A84" s="26" t="s">
        <v>355</v>
      </c>
      <c r="B84" s="25" t="n">
        <v>0.00032</v>
      </c>
      <c r="C84" s="25" t="n">
        <v>0.000474</v>
      </c>
      <c r="D84" s="25" t="n">
        <v>0.000573</v>
      </c>
      <c r="E84" s="25" t="n">
        <v>0.000776</v>
      </c>
      <c r="F84" s="25" t="n">
        <v>0.001176</v>
      </c>
      <c r="G84" s="25" t="n">
        <v>0.001312</v>
      </c>
      <c r="H84" s="25" t="n">
        <v>0.001492</v>
      </c>
      <c r="I84" s="25" t="n">
        <v>0.001904</v>
      </c>
      <c r="J84" s="25" t="n">
        <v>0.001843</v>
      </c>
      <c r="K84" s="25" t="n">
        <v>0.002096</v>
      </c>
      <c r="L84" s="25" t="n">
        <v>0.002464</v>
      </c>
      <c r="M84" s="25" t="n">
        <v>0.001634</v>
      </c>
      <c r="N84" s="25" t="n">
        <v>0.000589</v>
      </c>
      <c r="O84" s="25" t="n">
        <v>0.000898</v>
      </c>
      <c r="P84" s="25" t="n">
        <v>0.001499</v>
      </c>
      <c r="Q84" s="25" t="n">
        <v>0.002285</v>
      </c>
      <c r="R84" s="25" t="n">
        <v>0.00226</v>
      </c>
      <c r="S84" s="25" t="n">
        <v>0.002325</v>
      </c>
      <c r="T84" s="25" t="n">
        <v>0.002394</v>
      </c>
      <c r="U84" s="25" t="n">
        <v>0.00267</v>
      </c>
      <c r="V84" s="25" t="n">
        <v>0.004005</v>
      </c>
      <c r="W84" s="25" t="n">
        <v>0.005607</v>
      </c>
      <c r="X84" s="25" t="n">
        <v>0.009101</v>
      </c>
      <c r="Y84" s="25" t="n">
        <v>0.013845</v>
      </c>
      <c r="Z84" s="25" t="n">
        <v>0.019538</v>
      </c>
      <c r="AA84" s="25" t="n">
        <v>0.037169</v>
      </c>
      <c r="AB84" s="25" t="n">
        <v>0.062841</v>
      </c>
      <c r="AC84" s="25" t="n">
        <v>0.101289</v>
      </c>
      <c r="AD84" s="25" t="n">
        <v>0.104256</v>
      </c>
      <c r="AE84" s="25" t="n">
        <v>0.087152</v>
      </c>
      <c r="AF84" s="25" t="n">
        <v>0.092284</v>
      </c>
      <c r="AG84" s="25" t="n">
        <v>0.096364</v>
      </c>
      <c r="AH84" s="25" t="n">
        <v>0.09833</v>
      </c>
      <c r="AI84" s="25" t="n">
        <v>0.0704</v>
      </c>
      <c r="AJ84" s="25" t="n">
        <v>0.045898</v>
      </c>
      <c r="AK84" s="25" t="n">
        <v>0.014966</v>
      </c>
      <c r="AL84" s="25" t="n">
        <v>0.005562</v>
      </c>
      <c r="AM84" s="25" t="n">
        <v>-0.003068</v>
      </c>
      <c r="AN84" s="25" t="n">
        <v>-0.000214</v>
      </c>
      <c r="AO84" s="25" t="n">
        <v>-0.019154</v>
      </c>
      <c r="AP84" s="25" t="n">
        <v>-0.014264</v>
      </c>
    </row>
    <row r="85" customFormat="false" ht="15" hidden="false" customHeight="true" outlineLevel="0" collapsed="false">
      <c r="A85" s="26" t="s">
        <v>356</v>
      </c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</row>
    <row r="86" customFormat="false" ht="15" hidden="false" customHeight="true" outlineLevel="0" collapsed="false">
      <c r="A86" s="26" t="s">
        <v>357</v>
      </c>
      <c r="B86" s="27" t="n">
        <v>-8.5E-005</v>
      </c>
      <c r="C86" s="27" t="n">
        <v>-0.000115</v>
      </c>
      <c r="D86" s="27" t="n">
        <v>-0.000159</v>
      </c>
      <c r="E86" s="27" t="n">
        <v>-0.000213</v>
      </c>
      <c r="F86" s="27" t="n">
        <v>-0.000309</v>
      </c>
      <c r="G86" s="27" t="n">
        <v>-0.000447</v>
      </c>
      <c r="H86" s="27" t="n">
        <v>-0.000588</v>
      </c>
      <c r="I86" s="27" t="n">
        <v>-0.000673</v>
      </c>
      <c r="J86" s="25" t="n">
        <v>-0.000753</v>
      </c>
      <c r="K86" s="25" t="n">
        <v>-1.1E-005</v>
      </c>
      <c r="L86" s="25" t="n">
        <v>3.9E-005</v>
      </c>
      <c r="M86" s="25" t="n">
        <v>-1.5E-005</v>
      </c>
      <c r="N86" s="25" t="n">
        <v>-3.7E-005</v>
      </c>
      <c r="O86" s="25" t="n">
        <v>-3.9E-005</v>
      </c>
      <c r="P86" s="25" t="n">
        <v>0.000106</v>
      </c>
      <c r="Q86" s="25" t="n">
        <v>0.000244</v>
      </c>
      <c r="R86" s="25" t="n">
        <v>-2.2E-005</v>
      </c>
      <c r="S86" s="25" t="n">
        <v>-4.9E-005</v>
      </c>
      <c r="T86" s="25" t="n">
        <v>-3.5E-005</v>
      </c>
      <c r="U86" s="25" t="n">
        <v>-1.5E-005</v>
      </c>
      <c r="V86" s="25" t="n">
        <v>-0.000664</v>
      </c>
      <c r="W86" s="25" t="n">
        <v>2.2E-005</v>
      </c>
      <c r="X86" s="25" t="n">
        <v>6.3E-005</v>
      </c>
      <c r="Y86" s="25" t="n">
        <v>8E-006</v>
      </c>
      <c r="Z86" s="25" t="n">
        <v>8.4E-005</v>
      </c>
      <c r="AA86" s="25" t="n">
        <v>-4.6E-005</v>
      </c>
      <c r="AB86" s="25" t="n">
        <v>0.000443</v>
      </c>
      <c r="AC86" s="25" t="n">
        <v>0.000499</v>
      </c>
      <c r="AD86" s="25" t="n">
        <v>-0.000471</v>
      </c>
      <c r="AE86" s="25" t="n">
        <v>0.001082</v>
      </c>
      <c r="AF86" s="25" t="n">
        <v>-0.000345</v>
      </c>
      <c r="AG86" s="25" t="n">
        <v>0.000634</v>
      </c>
      <c r="AH86" s="25" t="n">
        <v>-0.00015</v>
      </c>
      <c r="AI86" s="25" t="n">
        <v>-0.003454</v>
      </c>
      <c r="AJ86" s="25" t="n">
        <v>-0.000584</v>
      </c>
      <c r="AK86" s="25" t="n">
        <v>-0.000406</v>
      </c>
      <c r="AL86" s="25" t="n">
        <v>0.000163</v>
      </c>
      <c r="AM86" s="25" t="n">
        <v>-0.011109</v>
      </c>
      <c r="AN86" s="25" t="n">
        <v>-0.011452</v>
      </c>
      <c r="AO86" s="25" t="n">
        <v>-0.007172</v>
      </c>
      <c r="AP86" s="25" t="n">
        <v>-0.005571</v>
      </c>
    </row>
    <row r="87" customFormat="false" ht="15" hidden="false" customHeight="true" outlineLevel="0" collapsed="false">
      <c r="A87" s="26" t="s">
        <v>358</v>
      </c>
      <c r="AL87" s="25"/>
      <c r="AM87" s="25"/>
      <c r="AN87" s="25"/>
      <c r="AO87" s="25"/>
      <c r="AP87" s="25"/>
    </row>
    <row r="88" customFormat="false" ht="15" hidden="false" customHeight="true" outlineLevel="0" collapsed="false">
      <c r="A88" s="26" t="s">
        <v>359</v>
      </c>
      <c r="AL88" s="25"/>
      <c r="AM88" s="25"/>
      <c r="AN88" s="25"/>
      <c r="AO88" s="25"/>
      <c r="AP88" s="25"/>
    </row>
    <row r="89" customFormat="false" ht="15" hidden="false" customHeight="true" outlineLevel="0" collapsed="false">
      <c r="A89" s="26" t="s">
        <v>360</v>
      </c>
      <c r="J89" s="25"/>
      <c r="K89" s="25"/>
      <c r="L89" s="25"/>
      <c r="M89" s="25"/>
      <c r="N89" s="25"/>
      <c r="W89" s="25"/>
      <c r="X89" s="25"/>
      <c r="AL89" s="25"/>
      <c r="AM89" s="25"/>
      <c r="AN89" s="25"/>
      <c r="AO89" s="25"/>
      <c r="AP89" s="25"/>
    </row>
    <row r="90" customFormat="false" ht="15" hidden="false" customHeight="true" outlineLevel="0" collapsed="false">
      <c r="A90" s="26" t="s">
        <v>361</v>
      </c>
      <c r="L90" s="25"/>
      <c r="M90" s="25"/>
      <c r="N90" s="25"/>
      <c r="O90" s="25"/>
      <c r="P90" s="25"/>
      <c r="Q90" s="25"/>
      <c r="R90" s="25"/>
      <c r="S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</row>
    <row r="91" customFormat="false" ht="15" hidden="false" customHeight="true" outlineLevel="0" collapsed="false">
      <c r="A91" s="26" t="s">
        <v>362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S91" s="25"/>
      <c r="T91" s="25"/>
      <c r="U91" s="25"/>
      <c r="V91" s="25"/>
    </row>
    <row r="92" customFormat="false" ht="15" hidden="false" customHeight="true" outlineLevel="0" collapsed="false">
      <c r="A92" s="26" t="s">
        <v>363</v>
      </c>
      <c r="M92" s="25"/>
      <c r="N92" s="25"/>
      <c r="O92" s="25"/>
      <c r="P92" s="25"/>
      <c r="Q92" s="25"/>
      <c r="R92" s="25"/>
      <c r="Y92" s="25"/>
      <c r="Z92" s="25" t="n">
        <v>0</v>
      </c>
      <c r="AA92" s="25" t="n">
        <v>0</v>
      </c>
      <c r="AB92" s="25" t="n">
        <v>0</v>
      </c>
      <c r="AC92" s="25" t="n">
        <v>0</v>
      </c>
      <c r="AD92" s="25" t="n">
        <v>0</v>
      </c>
      <c r="AE92" s="25" t="n">
        <v>0</v>
      </c>
      <c r="AF92" s="25" t="n">
        <v>0</v>
      </c>
      <c r="AG92" s="25"/>
      <c r="AH92" s="25" t="n">
        <v>0</v>
      </c>
      <c r="AI92" s="25"/>
      <c r="AJ92" s="25"/>
      <c r="AK92" s="25"/>
      <c r="AL92" s="25"/>
      <c r="AM92" s="25"/>
      <c r="AN92" s="25"/>
      <c r="AO92" s="25"/>
      <c r="AP92" s="25"/>
    </row>
    <row r="93" customFormat="false" ht="15" hidden="false" customHeight="true" outlineLevel="0" collapsed="false">
      <c r="A93" s="23" t="s">
        <v>364</v>
      </c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</row>
    <row r="94" customFormat="false" ht="15" hidden="false" customHeight="true" outlineLevel="0" collapsed="false">
      <c r="A94" s="23" t="s">
        <v>365</v>
      </c>
      <c r="B94" s="25" t="n">
        <v>0.00055</v>
      </c>
      <c r="C94" s="25" t="n">
        <v>0.000694</v>
      </c>
      <c r="D94" s="25" t="n">
        <v>0.000837</v>
      </c>
      <c r="E94" s="25" t="n">
        <v>0.001003</v>
      </c>
      <c r="F94" s="25" t="n">
        <v>0.001486</v>
      </c>
      <c r="G94" s="25" t="n">
        <v>0.001447</v>
      </c>
      <c r="H94" s="25" t="n">
        <v>0.001767</v>
      </c>
      <c r="I94" s="25" t="n">
        <v>0.002187</v>
      </c>
      <c r="J94" s="25" t="n">
        <v>0.002026</v>
      </c>
      <c r="K94" s="25" t="n">
        <v>0.002383</v>
      </c>
      <c r="L94" s="25" t="n">
        <v>0.002901</v>
      </c>
      <c r="M94" s="25" t="n">
        <v>0.002058</v>
      </c>
      <c r="N94" s="25" t="n">
        <v>0.0012</v>
      </c>
      <c r="O94" s="25" t="n">
        <v>0.001642</v>
      </c>
      <c r="P94" s="25" t="n">
        <v>0.003104</v>
      </c>
      <c r="Q94" s="25" t="n">
        <v>0.004107</v>
      </c>
      <c r="R94" s="25" t="n">
        <v>0.00392</v>
      </c>
      <c r="S94" s="25" t="n">
        <v>0.004095</v>
      </c>
      <c r="T94" s="25" t="n">
        <v>0.004223</v>
      </c>
      <c r="U94" s="25" t="n">
        <v>0.005076</v>
      </c>
      <c r="V94" s="25" t="n">
        <v>0.007466</v>
      </c>
      <c r="W94" s="25" t="n">
        <v>0.009984</v>
      </c>
      <c r="X94" s="25" t="n">
        <v>0.014532</v>
      </c>
      <c r="Y94" s="25" t="n">
        <v>0.02103</v>
      </c>
      <c r="Z94" s="25" t="n">
        <v>0.027832</v>
      </c>
      <c r="AA94" s="25" t="n">
        <v>0.047791</v>
      </c>
      <c r="AB94" s="25" t="n">
        <v>0.076615</v>
      </c>
      <c r="AC94" s="25" t="n">
        <v>0.11821</v>
      </c>
      <c r="AD94" s="25" t="n">
        <v>0.123549</v>
      </c>
      <c r="AE94" s="25" t="n">
        <v>0.111547</v>
      </c>
      <c r="AF94" s="25" t="n">
        <v>0.119355</v>
      </c>
      <c r="AG94" s="25" t="n">
        <v>0.128249</v>
      </c>
      <c r="AH94" s="25" t="n">
        <v>0.134047</v>
      </c>
      <c r="AI94" s="25" t="n">
        <v>0.107147</v>
      </c>
      <c r="AJ94" s="25" t="n">
        <v>0.090488</v>
      </c>
      <c r="AK94" s="25" t="n">
        <v>0.065339</v>
      </c>
      <c r="AL94" s="25" t="n">
        <v>0.06309</v>
      </c>
      <c r="AM94" s="25" t="n">
        <v>0.050672</v>
      </c>
      <c r="AN94" s="25" t="n">
        <v>0.062146</v>
      </c>
      <c r="AO94" s="25" t="n">
        <v>0.05695</v>
      </c>
      <c r="AP94" s="25" t="n">
        <v>0.073733</v>
      </c>
    </row>
    <row r="95" customFormat="false" ht="15" hidden="false" customHeight="true" outlineLevel="0" collapsed="false">
      <c r="A95" s="23" t="s">
        <v>366</v>
      </c>
      <c r="AI95" s="25"/>
      <c r="AJ95" s="25"/>
      <c r="AK95" s="25"/>
      <c r="AL95" s="25"/>
      <c r="AM95" s="25"/>
      <c r="AN95" s="25"/>
      <c r="AO95" s="25"/>
      <c r="AP95" s="25"/>
    </row>
    <row r="96" customFormat="false" ht="15" hidden="false" customHeight="true" outlineLevel="0" collapsed="false">
      <c r="A96" s="23" t="s">
        <v>367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</row>
    <row r="97" customFormat="false" ht="15" hidden="false" customHeight="true" outlineLevel="0" collapsed="false">
      <c r="A97" s="23" t="s">
        <v>368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</row>
    <row r="98" customFormat="false" ht="15" hidden="false" customHeight="true" outlineLevel="0" collapsed="false">
      <c r="A98" s="23" t="s">
        <v>369</v>
      </c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</row>
    <row r="99" customFormat="false" ht="15" hidden="false" customHeight="true" outlineLevel="0" collapsed="false">
      <c r="A99" s="23" t="s">
        <v>370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</row>
    <row r="100" customFormat="false" ht="15" hidden="false" customHeight="true" outlineLevel="0" collapsed="false">
      <c r="A100" s="23" t="s">
        <v>371</v>
      </c>
      <c r="B100" s="25"/>
      <c r="C100" s="25"/>
      <c r="D100" s="25"/>
      <c r="E100" s="25" t="n">
        <v>0.000128</v>
      </c>
      <c r="F100" s="25" t="n">
        <v>5.7E-005</v>
      </c>
      <c r="G100" s="25" t="n">
        <v>0.000123</v>
      </c>
      <c r="H100" s="25" t="n">
        <v>0.000149</v>
      </c>
      <c r="I100" s="25" t="n">
        <v>0.000185</v>
      </c>
      <c r="J100" s="25" t="n">
        <v>0.000823</v>
      </c>
      <c r="K100" s="25" t="n">
        <v>0.000597</v>
      </c>
      <c r="L100" s="25" t="n">
        <v>0.000764</v>
      </c>
      <c r="M100" s="25" t="n">
        <v>0.001135</v>
      </c>
      <c r="N100" s="25" t="n">
        <v>0.000976</v>
      </c>
      <c r="O100" s="25" t="n">
        <v>0.000954</v>
      </c>
      <c r="P100" s="25" t="n">
        <v>0.0003</v>
      </c>
      <c r="Q100" s="25" t="n">
        <v>0.0003</v>
      </c>
      <c r="R100" s="25" t="n">
        <v>0.000317</v>
      </c>
      <c r="S100" s="25" t="n">
        <v>0.000316</v>
      </c>
      <c r="T100" s="25" t="n">
        <v>0.000304</v>
      </c>
      <c r="U100" s="25"/>
      <c r="V100" s="25"/>
      <c r="W100" s="25"/>
      <c r="X100" s="25"/>
      <c r="Y100" s="25"/>
      <c r="Z100" s="25"/>
      <c r="AA100" s="25"/>
      <c r="AB100" s="25"/>
      <c r="AC100" s="25"/>
      <c r="AD100" s="25" t="n">
        <v>0.01696</v>
      </c>
      <c r="AE100" s="25" t="n">
        <v>0.035295</v>
      </c>
      <c r="AF100" s="25" t="n">
        <v>0.064462</v>
      </c>
      <c r="AG100" s="25" t="n">
        <v>0.087032</v>
      </c>
      <c r="AH100" s="25" t="n">
        <v>0.11568</v>
      </c>
      <c r="AI100" s="25" t="n">
        <v>0.114483</v>
      </c>
      <c r="AJ100" s="25" t="n">
        <v>0.108047</v>
      </c>
      <c r="AK100" s="25" t="n">
        <v>0.112436</v>
      </c>
      <c r="AL100" s="25" t="n">
        <v>0.124719</v>
      </c>
      <c r="AM100" s="25" t="n">
        <v>0.120881</v>
      </c>
      <c r="AN100" s="25" t="n">
        <v>0.111947</v>
      </c>
      <c r="AO100" s="25" t="n">
        <v>0.119059</v>
      </c>
      <c r="AP100" s="25" t="n">
        <v>0.112377</v>
      </c>
    </row>
    <row r="101" customFormat="false" ht="15" hidden="false" customHeight="true" outlineLevel="0" collapsed="false">
      <c r="A101" s="23" t="s">
        <v>372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</row>
    <row r="102" customFormat="false" ht="15" hidden="false" customHeight="true" outlineLevel="0" collapsed="false">
      <c r="A102" s="23" t="s">
        <v>373</v>
      </c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</row>
    <row r="103" customFormat="false" ht="15" hidden="false" customHeight="true" outlineLevel="0" collapsed="false">
      <c r="A103" s="23" t="s">
        <v>374</v>
      </c>
      <c r="B103" s="28" t="n">
        <v>0.013709</v>
      </c>
      <c r="C103" s="28" t="n">
        <v>0.014373</v>
      </c>
      <c r="D103" s="28" t="n">
        <v>0.014675</v>
      </c>
      <c r="E103" s="28" t="n">
        <v>0.014556</v>
      </c>
      <c r="F103" s="28" t="n">
        <v>0.014364</v>
      </c>
      <c r="G103" s="28" t="n">
        <v>0.014071</v>
      </c>
      <c r="H103" s="28" t="n">
        <v>0.013449</v>
      </c>
      <c r="I103" s="28" t="n">
        <v>0.01373</v>
      </c>
      <c r="J103" s="28" t="n">
        <v>0.013424</v>
      </c>
      <c r="K103" s="28" t="n">
        <v>0.013298</v>
      </c>
      <c r="L103" s="28" t="n">
        <v>0.013781</v>
      </c>
      <c r="M103" s="28" t="n">
        <v>0.013858</v>
      </c>
      <c r="N103" s="28" t="n">
        <v>0.014119</v>
      </c>
      <c r="O103" s="28" t="n">
        <v>0.018807</v>
      </c>
      <c r="P103" s="28" t="n">
        <v>0.019506</v>
      </c>
      <c r="Q103" s="28" t="n">
        <v>0.020178</v>
      </c>
      <c r="R103" s="28" t="n">
        <v>0.019354</v>
      </c>
      <c r="S103" s="28" t="n">
        <v>0.02026</v>
      </c>
      <c r="T103" s="28" t="n">
        <v>0.020354</v>
      </c>
      <c r="U103" s="28" t="n">
        <v>0.021694</v>
      </c>
      <c r="V103" s="28" t="n">
        <v>0.023993</v>
      </c>
      <c r="W103" s="28" t="n">
        <v>0.024571</v>
      </c>
      <c r="X103" s="28" t="n">
        <v>0.0249</v>
      </c>
      <c r="Y103" s="28" t="n">
        <v>0.02526</v>
      </c>
      <c r="Z103" s="28" t="n">
        <v>0.025396</v>
      </c>
      <c r="AA103" s="28" t="n">
        <v>0.025892</v>
      </c>
      <c r="AB103" s="28" t="n">
        <v>0.026226</v>
      </c>
      <c r="AC103" s="28" t="n">
        <v>0.02647</v>
      </c>
      <c r="AD103" s="28" t="n">
        <v>0.026087</v>
      </c>
      <c r="AE103" s="28" t="n">
        <v>0.024491</v>
      </c>
      <c r="AF103" s="28" t="n">
        <v>0.023172</v>
      </c>
      <c r="AG103" s="28" t="n">
        <v>0.022001</v>
      </c>
      <c r="AH103" s="28" t="n">
        <v>0.021007</v>
      </c>
      <c r="AI103" s="28" t="n">
        <v>0.02</v>
      </c>
      <c r="AJ103" s="28" t="n">
        <v>0.018596</v>
      </c>
      <c r="AK103" s="28" t="n">
        <v>0.017528</v>
      </c>
      <c r="AL103" s="28" t="n">
        <v>0.016865</v>
      </c>
      <c r="AM103" s="28" t="n">
        <v>0.016326</v>
      </c>
      <c r="AN103" s="28" t="n">
        <v>0.015813</v>
      </c>
      <c r="AO103" s="28" t="n">
        <v>0.015408</v>
      </c>
      <c r="AP103" s="28" t="n">
        <v>0.015005</v>
      </c>
    </row>
    <row r="104" customFormat="false" ht="15" hidden="false" customHeight="true" outlineLevel="0" collapsed="false">
      <c r="A104" s="23" t="s">
        <v>375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AI104" s="28"/>
      <c r="AJ104" s="28"/>
      <c r="AK104" s="28"/>
      <c r="AL104" s="28"/>
      <c r="AM104" s="28"/>
      <c r="AN104" s="28"/>
      <c r="AO104" s="28"/>
      <c r="AP104" s="28"/>
    </row>
    <row r="105" customFormat="false" ht="15" hidden="false" customHeight="true" outlineLevel="0" collapsed="false">
      <c r="A105" s="23" t="s">
        <v>376</v>
      </c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38" min="2" style="1" width="12"/>
  </cols>
  <sheetData>
    <row r="1" customFormat="false" ht="15" hidden="false" customHeight="true" outlineLevel="0" collapsed="false">
      <c r="A1" s="2" t="s">
        <v>377</v>
      </c>
    </row>
    <row r="2" customFormat="false" ht="15" hidden="false" customHeight="true" outlineLevel="0" collapsed="false">
      <c r="A2" s="3" t="s">
        <v>174</v>
      </c>
    </row>
    <row r="3" customFormat="false" ht="15" hidden="false" customHeight="true" outlineLevel="0" collapsed="false">
      <c r="A3" s="23" t="s">
        <v>175</v>
      </c>
      <c r="B3" s="24" t="s">
        <v>180</v>
      </c>
      <c r="C3" s="24" t="s">
        <v>181</v>
      </c>
      <c r="D3" s="24" t="s">
        <v>182</v>
      </c>
      <c r="E3" s="24" t="s">
        <v>183</v>
      </c>
      <c r="F3" s="24" t="s">
        <v>184</v>
      </c>
      <c r="G3" s="24" t="s">
        <v>185</v>
      </c>
      <c r="H3" s="24" t="s">
        <v>186</v>
      </c>
      <c r="I3" s="24" t="s">
        <v>187</v>
      </c>
      <c r="J3" s="24" t="s">
        <v>188</v>
      </c>
      <c r="K3" s="24" t="s">
        <v>189</v>
      </c>
      <c r="L3" s="24" t="s">
        <v>190</v>
      </c>
      <c r="M3" s="24" t="s">
        <v>191</v>
      </c>
      <c r="N3" s="24" t="s">
        <v>192</v>
      </c>
      <c r="O3" s="24" t="s">
        <v>193</v>
      </c>
      <c r="P3" s="24" t="s">
        <v>194</v>
      </c>
      <c r="Q3" s="24" t="s">
        <v>195</v>
      </c>
      <c r="R3" s="24" t="s">
        <v>196</v>
      </c>
      <c r="S3" s="24" t="s">
        <v>197</v>
      </c>
      <c r="T3" s="24" t="s">
        <v>198</v>
      </c>
      <c r="U3" s="24" t="s">
        <v>199</v>
      </c>
      <c r="V3" s="24" t="s">
        <v>200</v>
      </c>
      <c r="W3" s="24" t="s">
        <v>201</v>
      </c>
      <c r="X3" s="24" t="s">
        <v>202</v>
      </c>
      <c r="Y3" s="24" t="s">
        <v>203</v>
      </c>
      <c r="Z3" s="24" t="s">
        <v>204</v>
      </c>
      <c r="AA3" s="24" t="s">
        <v>205</v>
      </c>
      <c r="AB3" s="24" t="s">
        <v>206</v>
      </c>
      <c r="AC3" s="24" t="s">
        <v>207</v>
      </c>
      <c r="AD3" s="24" t="s">
        <v>208</v>
      </c>
      <c r="AE3" s="24" t="s">
        <v>209</v>
      </c>
      <c r="AF3" s="24" t="s">
        <v>210</v>
      </c>
      <c r="AG3" s="24" t="s">
        <v>211</v>
      </c>
      <c r="AH3" s="24" t="s">
        <v>212</v>
      </c>
      <c r="AI3" s="24" t="s">
        <v>213</v>
      </c>
      <c r="AJ3" s="24" t="s">
        <v>214</v>
      </c>
      <c r="AK3" s="24" t="s">
        <v>215</v>
      </c>
      <c r="AL3" s="24" t="s">
        <v>216</v>
      </c>
    </row>
    <row r="4" customFormat="false" ht="15" hidden="false" customHeight="true" outlineLevel="0" collapsed="false">
      <c r="A4" s="23" t="s">
        <v>378</v>
      </c>
      <c r="B4" s="25" t="n">
        <v>0.000507</v>
      </c>
      <c r="C4" s="25" t="n">
        <v>0.000964</v>
      </c>
      <c r="D4" s="25" t="n">
        <v>0.000129</v>
      </c>
      <c r="E4" s="25" t="n">
        <v>0.000884</v>
      </c>
      <c r="F4" s="25" t="n">
        <v>-0.000662</v>
      </c>
      <c r="G4" s="25" t="n">
        <v>0.000737</v>
      </c>
      <c r="H4" s="25" t="n">
        <v>-0.00024</v>
      </c>
      <c r="I4" s="25" t="n">
        <v>0.000519</v>
      </c>
      <c r="J4" s="25" t="n">
        <v>0.000188</v>
      </c>
      <c r="K4" s="25" t="n">
        <v>0.000775</v>
      </c>
      <c r="L4" s="25" t="n">
        <v>0.000798</v>
      </c>
      <c r="M4" s="25" t="n">
        <v>0.000826</v>
      </c>
      <c r="N4" s="25" t="n">
        <v>0.000185</v>
      </c>
      <c r="O4" s="25" t="n">
        <v>8.9E-005</v>
      </c>
      <c r="P4" s="25" t="n">
        <v>0.000289</v>
      </c>
      <c r="Q4" s="25" t="n">
        <v>0.000934</v>
      </c>
      <c r="R4" s="25" t="n">
        <v>0.002535</v>
      </c>
      <c r="S4" s="25" t="n">
        <v>0.00222</v>
      </c>
      <c r="T4" s="25" t="n">
        <v>0.00547</v>
      </c>
      <c r="U4" s="25" t="n">
        <v>0.009596</v>
      </c>
      <c r="V4" s="25" t="n">
        <v>0.010159</v>
      </c>
      <c r="W4" s="25" t="n">
        <v>0.018595</v>
      </c>
      <c r="X4" s="25" t="n">
        <v>0.037529</v>
      </c>
      <c r="Y4" s="25" t="n">
        <v>0.050856</v>
      </c>
      <c r="Z4" s="25" t="n">
        <v>0.053666</v>
      </c>
      <c r="AA4" s="25" t="n">
        <v>0.059713</v>
      </c>
      <c r="AB4" s="25" t="n">
        <v>0.081266</v>
      </c>
      <c r="AC4" s="25" t="n">
        <v>0.065824</v>
      </c>
      <c r="AD4" s="25" t="n">
        <v>0.063598</v>
      </c>
      <c r="AE4" s="25" t="n">
        <v>0.077434</v>
      </c>
      <c r="AF4" s="25" t="n">
        <v>0.069391</v>
      </c>
      <c r="AG4" s="25" t="n">
        <v>0.080674</v>
      </c>
      <c r="AH4" s="25" t="n">
        <v>0.104038</v>
      </c>
      <c r="AI4" s="25" t="n">
        <v>0.122151</v>
      </c>
      <c r="AJ4" s="25" t="n">
        <v>0.110543</v>
      </c>
      <c r="AK4" s="25" t="n">
        <v>0.118254</v>
      </c>
      <c r="AL4" s="25" t="n">
        <v>0.111482</v>
      </c>
    </row>
    <row r="5" customFormat="false" ht="15" hidden="false" customHeight="true" outlineLevel="0" collapsed="false">
      <c r="A5" s="26" t="s">
        <v>379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</row>
    <row r="6" customFormat="false" ht="15" hidden="false" customHeight="true" outlineLevel="0" collapsed="false">
      <c r="A6" s="26" t="s">
        <v>380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</row>
    <row r="7" customFormat="false" ht="15" hidden="false" customHeight="true" outlineLevel="0" collapsed="false">
      <c r="A7" s="26" t="s">
        <v>381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</row>
    <row r="8" customFormat="false" ht="15" hidden="false" customHeight="true" outlineLevel="0" collapsed="false">
      <c r="A8" s="26" t="s">
        <v>382</v>
      </c>
      <c r="J8" s="25"/>
      <c r="L8" s="25"/>
      <c r="O8" s="25"/>
      <c r="P8" s="25"/>
      <c r="Q8" s="25"/>
      <c r="R8" s="25"/>
      <c r="S8" s="25"/>
      <c r="U8" s="25"/>
      <c r="W8" s="25"/>
    </row>
    <row r="9" customFormat="false" ht="15" hidden="false" customHeight="true" outlineLevel="0" collapsed="false">
      <c r="A9" s="26" t="s">
        <v>383</v>
      </c>
      <c r="R9" s="25"/>
      <c r="S9" s="25"/>
      <c r="T9" s="25"/>
      <c r="U9" s="25"/>
      <c r="Y9" s="25"/>
      <c r="Z9" s="25"/>
      <c r="AA9" s="25"/>
      <c r="AB9" s="25"/>
    </row>
    <row r="10" customFormat="false" ht="15" hidden="false" customHeight="true" outlineLevel="0" collapsed="false">
      <c r="A10" s="26" t="s">
        <v>384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customFormat="false" ht="15" hidden="false" customHeight="true" outlineLevel="0" collapsed="false">
      <c r="A11" s="26" t="s">
        <v>385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</row>
    <row r="12" customFormat="false" ht="15" hidden="false" customHeight="true" outlineLevel="0" collapsed="false">
      <c r="A12" s="26" t="s">
        <v>386</v>
      </c>
      <c r="E12" s="25"/>
      <c r="F12" s="25"/>
      <c r="G12" s="25"/>
      <c r="H12" s="25"/>
      <c r="I12" s="25"/>
      <c r="N12" s="25"/>
      <c r="O12" s="25"/>
      <c r="P12" s="25"/>
      <c r="Q12" s="25"/>
      <c r="R12" s="25"/>
      <c r="S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</row>
    <row r="13" customFormat="false" ht="15" hidden="false" customHeight="true" outlineLevel="0" collapsed="false">
      <c r="A13" s="26" t="s">
        <v>387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</row>
    <row r="14" customFormat="false" ht="15" hidden="false" customHeight="true" outlineLevel="0" collapsed="false">
      <c r="A14" s="26" t="s">
        <v>388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</row>
    <row r="15" customFormat="false" ht="15" hidden="false" customHeight="true" outlineLevel="0" collapsed="false">
      <c r="A15" s="26" t="s">
        <v>389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customFormat="false" ht="15" hidden="false" customHeight="true" outlineLevel="0" collapsed="false">
      <c r="A16" s="26" t="s">
        <v>390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customFormat="false" ht="15" hidden="false" customHeight="true" outlineLevel="0" collapsed="false">
      <c r="A17" s="26" t="s">
        <v>391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customFormat="false" ht="15" hidden="false" customHeight="true" outlineLevel="0" collapsed="false">
      <c r="A18" s="26" t="s">
        <v>392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customFormat="false" ht="15" hidden="false" customHeight="true" outlineLevel="0" collapsed="false">
      <c r="A19" s="26" t="s">
        <v>393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customFormat="false" ht="15" hidden="false" customHeight="true" outlineLevel="0" collapsed="false">
      <c r="A20" s="26" t="s">
        <v>394</v>
      </c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</row>
    <row r="21" customFormat="false" ht="15" hidden="false" customHeight="true" outlineLevel="0" collapsed="false">
      <c r="A21" s="26" t="s">
        <v>395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</row>
    <row r="22" customFormat="false" ht="15" hidden="false" customHeight="true" outlineLevel="0" collapsed="false">
      <c r="A22" s="26" t="s">
        <v>396</v>
      </c>
      <c r="T22" s="25"/>
      <c r="U22" s="25"/>
      <c r="V22" s="25"/>
    </row>
    <row r="23" customFormat="false" ht="15" hidden="false" customHeight="true" outlineLevel="0" collapsed="false">
      <c r="A23" s="26" t="s">
        <v>397</v>
      </c>
      <c r="P23" s="25"/>
      <c r="Q23" s="25"/>
      <c r="R23" s="25"/>
      <c r="S23" s="25"/>
      <c r="T23" s="25"/>
      <c r="U23" s="25"/>
    </row>
    <row r="24" customFormat="false" ht="15" hidden="false" customHeight="true" outlineLevel="0" collapsed="false">
      <c r="A24" s="26" t="s">
        <v>398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</row>
    <row r="25" customFormat="false" ht="15" hidden="false" customHeight="true" outlineLevel="0" collapsed="false">
      <c r="A25" s="26" t="s">
        <v>399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</row>
    <row r="26" customFormat="false" ht="15" hidden="false" customHeight="true" outlineLevel="0" collapsed="false">
      <c r="A26" s="26" t="s">
        <v>400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</row>
    <row r="27" customFormat="false" ht="15" hidden="false" customHeight="true" outlineLevel="0" collapsed="false">
      <c r="A27" s="26" t="s">
        <v>401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</row>
    <row r="28" customFormat="false" ht="15" hidden="false" customHeight="true" outlineLevel="0" collapsed="false">
      <c r="A28" s="26" t="s">
        <v>402</v>
      </c>
      <c r="AI28" s="25"/>
      <c r="AJ28" s="25"/>
      <c r="AK28" s="25"/>
      <c r="AL28" s="25"/>
    </row>
    <row r="29" customFormat="false" ht="15" hidden="false" customHeight="true" outlineLevel="0" collapsed="false">
      <c r="A29" s="26" t="s">
        <v>403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</row>
    <row r="30" customFormat="false" ht="15" hidden="false" customHeight="true" outlineLevel="0" collapsed="false">
      <c r="A30" s="26" t="s">
        <v>404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customFormat="false" ht="15" hidden="false" customHeight="true" outlineLevel="0" collapsed="false">
      <c r="A31" s="26" t="s">
        <v>405</v>
      </c>
      <c r="B31" s="25"/>
      <c r="C31" s="25"/>
      <c r="D31" s="25"/>
      <c r="E31" s="25"/>
      <c r="F31" s="25"/>
      <c r="G31" s="25"/>
      <c r="M31" s="25"/>
      <c r="R31" s="25"/>
    </row>
    <row r="32" customFormat="false" ht="15" hidden="false" customHeight="true" outlineLevel="0" collapsed="false">
      <c r="A32" s="26" t="s">
        <v>406</v>
      </c>
      <c r="T32" s="25"/>
      <c r="U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customFormat="false" ht="15" hidden="false" customHeight="true" outlineLevel="0" collapsed="false">
      <c r="A33" s="26" t="s">
        <v>407</v>
      </c>
      <c r="O33" s="25"/>
      <c r="P33" s="25"/>
      <c r="Q33" s="25"/>
      <c r="R33" s="25"/>
      <c r="AG33" s="25"/>
      <c r="AH33" s="25"/>
      <c r="AI33" s="25"/>
      <c r="AJ33" s="25"/>
      <c r="AK33" s="25"/>
    </row>
    <row r="34" customFormat="false" ht="15" hidden="false" customHeight="true" outlineLevel="0" collapsed="false">
      <c r="A34" s="23" t="s">
        <v>408</v>
      </c>
      <c r="B34" s="25" t="n">
        <v>-0.000403</v>
      </c>
      <c r="C34" s="25" t="n">
        <v>-0.000574</v>
      </c>
      <c r="D34" s="25" t="n">
        <v>5.8E-005</v>
      </c>
      <c r="E34" s="25" t="n">
        <v>-0.000913</v>
      </c>
      <c r="F34" s="25" t="n">
        <v>0.000493</v>
      </c>
      <c r="G34" s="25" t="n">
        <v>-2E-006</v>
      </c>
      <c r="H34" s="25" t="n">
        <v>-0.000402</v>
      </c>
      <c r="I34" s="25" t="n">
        <v>-8E-006</v>
      </c>
      <c r="J34" s="25" t="n">
        <v>-0.000499</v>
      </c>
      <c r="K34" s="25" t="n">
        <v>-0.000543</v>
      </c>
      <c r="L34" s="25" t="n">
        <v>-0.000988</v>
      </c>
      <c r="M34" s="25" t="n">
        <v>-0.000972</v>
      </c>
      <c r="N34" s="25" t="n">
        <v>0.000892</v>
      </c>
      <c r="O34" s="25" t="n">
        <v>-0.000252</v>
      </c>
      <c r="P34" s="25" t="n">
        <v>0.000828</v>
      </c>
      <c r="Q34" s="25" t="n">
        <v>-0.001488</v>
      </c>
      <c r="R34" s="25" t="n">
        <v>-0.002556</v>
      </c>
      <c r="S34" s="25" t="n">
        <v>0.000357</v>
      </c>
      <c r="T34" s="25" t="n">
        <v>-0.003249</v>
      </c>
      <c r="U34" s="25" t="n">
        <v>-0.008189</v>
      </c>
      <c r="V34" s="25" t="n">
        <v>-0.017434</v>
      </c>
      <c r="W34" s="25" t="n">
        <v>-0.013854</v>
      </c>
      <c r="X34" s="25" t="n">
        <v>-0.040419</v>
      </c>
      <c r="Y34" s="25" t="n">
        <v>-0.048227</v>
      </c>
      <c r="Z34" s="25" t="n">
        <v>-0.033774</v>
      </c>
      <c r="AA34" s="25" t="n">
        <v>-0.022579</v>
      </c>
      <c r="AB34" s="25" t="n">
        <v>-0.056274</v>
      </c>
      <c r="AC34" s="25" t="n">
        <v>-0.045977</v>
      </c>
      <c r="AD34" s="25" t="n">
        <v>-0.046446</v>
      </c>
      <c r="AE34" s="25" t="n">
        <v>0.016066</v>
      </c>
      <c r="AF34" s="25" t="n">
        <v>0.045896</v>
      </c>
      <c r="AG34" s="25" t="n">
        <v>-0.004289</v>
      </c>
      <c r="AH34" s="25" t="n">
        <v>-0.014545</v>
      </c>
      <c r="AI34" s="25" t="n">
        <v>-0.022354</v>
      </c>
      <c r="AJ34" s="25" t="n">
        <v>0.003705</v>
      </c>
      <c r="AK34" s="25" t="n">
        <v>0.002935</v>
      </c>
      <c r="AL34" s="25" t="n">
        <v>0.015195</v>
      </c>
    </row>
    <row r="35" customFormat="false" ht="15" hidden="false" customHeight="true" outlineLevel="0" collapsed="false">
      <c r="A35" s="26" t="s">
        <v>409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</row>
    <row r="36" customFormat="false" ht="15" hidden="false" customHeight="true" outlineLevel="0" collapsed="false">
      <c r="A36" s="26" t="s">
        <v>410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E36" s="25"/>
      <c r="AF36" s="25"/>
      <c r="AG36" s="25"/>
      <c r="AH36" s="25"/>
      <c r="AI36" s="25"/>
      <c r="AJ36" s="25"/>
      <c r="AK36" s="25"/>
      <c r="AL36" s="25"/>
    </row>
    <row r="37" customFormat="false" ht="15" hidden="false" customHeight="true" outlineLevel="0" collapsed="false">
      <c r="A37" s="26" t="s">
        <v>411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V37" s="25"/>
      <c r="W37" s="25"/>
      <c r="AA37" s="25"/>
      <c r="AB37" s="25"/>
      <c r="AC37" s="25"/>
      <c r="AD37" s="25"/>
      <c r="AE37" s="25"/>
      <c r="AF37" s="25"/>
      <c r="AG37" s="25"/>
    </row>
    <row r="38" customFormat="false" ht="15" hidden="false" customHeight="true" outlineLevel="0" collapsed="false">
      <c r="A38" s="26" t="s">
        <v>412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AA38" s="25"/>
      <c r="AB38" s="25"/>
      <c r="AC38" s="25"/>
      <c r="AD38" s="25"/>
      <c r="AE38" s="25"/>
      <c r="AF38" s="25"/>
      <c r="AG38" s="25"/>
    </row>
    <row r="39" customFormat="false" ht="15" hidden="false" customHeight="true" outlineLevel="0" collapsed="false">
      <c r="A39" s="26" t="s">
        <v>413</v>
      </c>
      <c r="I39" s="25"/>
      <c r="J39" s="25"/>
      <c r="K39" s="25"/>
      <c r="L39" s="25"/>
      <c r="M39" s="25"/>
      <c r="N39" s="25"/>
      <c r="O39" s="25"/>
      <c r="P39" s="25"/>
      <c r="Q39" s="25"/>
      <c r="R39" s="25"/>
      <c r="V39" s="25"/>
      <c r="W39" s="25"/>
    </row>
    <row r="40" customFormat="false" ht="15" hidden="false" customHeight="true" outlineLevel="0" collapsed="false">
      <c r="A40" s="26" t="s">
        <v>414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</row>
    <row r="41" customFormat="false" ht="15" hidden="false" customHeight="true" outlineLevel="0" collapsed="false">
      <c r="A41" s="26" t="s">
        <v>415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</row>
    <row r="42" customFormat="false" ht="15" hidden="false" customHeight="true" outlineLevel="0" collapsed="false">
      <c r="A42" s="26" t="s">
        <v>416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</row>
    <row r="43" customFormat="false" ht="15" hidden="false" customHeight="true" outlineLevel="0" collapsed="false">
      <c r="A43" s="26" t="s">
        <v>417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</row>
    <row r="44" customFormat="false" ht="15" hidden="false" customHeight="true" outlineLevel="0" collapsed="false">
      <c r="A44" s="26" t="s">
        <v>418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W44" s="25"/>
      <c r="AE44" s="25"/>
    </row>
    <row r="45" customFormat="false" ht="15" hidden="false" customHeight="true" outlineLevel="0" collapsed="false">
      <c r="A45" s="26" t="s">
        <v>419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AC45" s="25"/>
      <c r="AD45" s="25"/>
    </row>
    <row r="46" customFormat="false" ht="15" hidden="false" customHeight="true" outlineLevel="0" collapsed="false">
      <c r="A46" s="26" t="s">
        <v>420</v>
      </c>
      <c r="AF46" s="25"/>
      <c r="AG46" s="25"/>
      <c r="AH46" s="25"/>
      <c r="AI46" s="25"/>
      <c r="AJ46" s="25"/>
      <c r="AK46" s="25"/>
      <c r="AL46" s="25"/>
    </row>
    <row r="47" customFormat="false" ht="15" hidden="false" customHeight="true" outlineLevel="0" collapsed="false">
      <c r="A47" s="26" t="s">
        <v>421</v>
      </c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customFormat="false" ht="15" hidden="false" customHeight="true" outlineLevel="0" collapsed="false">
      <c r="A48" s="26" t="s">
        <v>422</v>
      </c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</row>
    <row r="49" customFormat="false" ht="15" hidden="false" customHeight="true" outlineLevel="0" collapsed="false">
      <c r="A49" s="26" t="s">
        <v>423</v>
      </c>
      <c r="AG49" s="25"/>
      <c r="AH49" s="25"/>
      <c r="AI49" s="25"/>
      <c r="AJ49" s="25"/>
      <c r="AK49" s="25"/>
    </row>
    <row r="50" customFormat="false" ht="15" hidden="false" customHeight="true" outlineLevel="0" collapsed="false">
      <c r="A50" s="23" t="s">
        <v>424</v>
      </c>
      <c r="B50" s="25" t="n">
        <v>-3.8E-005</v>
      </c>
      <c r="C50" s="25" t="n">
        <v>-0.000454</v>
      </c>
      <c r="D50" s="25" t="n">
        <v>4.3E-005</v>
      </c>
      <c r="E50" s="25" t="n">
        <v>-7.7E-005</v>
      </c>
      <c r="F50" s="25" t="n">
        <v>0.000347</v>
      </c>
      <c r="G50" s="25" t="n">
        <v>-0.000208</v>
      </c>
      <c r="H50" s="25" t="n">
        <v>0.000195</v>
      </c>
      <c r="I50" s="25" t="n">
        <v>0.000396</v>
      </c>
      <c r="J50" s="25" t="n">
        <v>2.3E-005</v>
      </c>
      <c r="K50" s="25" t="n">
        <v>1.9E-005</v>
      </c>
      <c r="L50" s="25" t="n">
        <v>1.1E-005</v>
      </c>
      <c r="M50" s="25" t="n">
        <v>-3.1E-005</v>
      </c>
      <c r="N50" s="25" t="n">
        <v>4.2E-005</v>
      </c>
      <c r="O50" s="25" t="n">
        <v>0.000105</v>
      </c>
      <c r="P50" s="25" t="n">
        <v>2.7E-005</v>
      </c>
      <c r="Q50" s="25" t="n">
        <v>0.000127</v>
      </c>
      <c r="R50" s="25" t="n">
        <v>0.000543</v>
      </c>
      <c r="S50" s="25" t="n">
        <v>0.000324</v>
      </c>
      <c r="T50" s="25" t="n">
        <v>0.000739</v>
      </c>
      <c r="U50" s="25" t="n">
        <v>0.001116</v>
      </c>
      <c r="V50" s="25" t="n">
        <v>0.000663</v>
      </c>
      <c r="W50" s="25" t="n">
        <v>0.001257</v>
      </c>
      <c r="X50" s="25" t="n">
        <v>0.001444</v>
      </c>
      <c r="Y50" s="25" t="n">
        <v>-0.001698</v>
      </c>
      <c r="Z50" s="25" t="n">
        <v>-0.016379</v>
      </c>
      <c r="AA50" s="25" t="n">
        <v>-0.037549</v>
      </c>
      <c r="AB50" s="25" t="n">
        <v>-0.017716</v>
      </c>
      <c r="AC50" s="25" t="n">
        <v>-0.020483</v>
      </c>
      <c r="AD50" s="25" t="n">
        <v>-0.017347</v>
      </c>
      <c r="AE50" s="25" t="n">
        <v>-0.087876</v>
      </c>
      <c r="AF50" s="25" t="n">
        <v>-0.090976</v>
      </c>
      <c r="AG50" s="25" t="n">
        <v>-0.08682</v>
      </c>
      <c r="AH50" s="25" t="n">
        <v>-0.093353</v>
      </c>
      <c r="AI50" s="25" t="n">
        <v>-0.110749</v>
      </c>
      <c r="AJ50" s="25" t="n">
        <v>-0.108488</v>
      </c>
      <c r="AK50" s="25" t="n">
        <v>-0.121983</v>
      </c>
      <c r="AL50" s="25" t="n">
        <v>-0.120686</v>
      </c>
    </row>
    <row r="51" customFormat="false" ht="15" hidden="false" customHeight="true" outlineLevel="0" collapsed="false">
      <c r="A51" s="26" t="s">
        <v>425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</row>
    <row r="52" customFormat="false" ht="15" hidden="false" customHeight="true" outlineLevel="0" collapsed="false">
      <c r="A52" s="26" t="s">
        <v>426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</row>
    <row r="53" customFormat="false" ht="15" hidden="false" customHeight="true" outlineLevel="0" collapsed="false">
      <c r="A53" s="26" t="s">
        <v>427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</row>
    <row r="54" customFormat="false" ht="15" hidden="false" customHeight="true" outlineLevel="0" collapsed="false">
      <c r="A54" s="26" t="s">
        <v>428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</row>
    <row r="55" customFormat="false" ht="15" hidden="false" customHeight="true" outlineLevel="0" collapsed="false">
      <c r="A55" s="26" t="s">
        <v>429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</row>
    <row r="56" customFormat="false" ht="15" hidden="false" customHeight="true" outlineLevel="0" collapsed="false">
      <c r="A56" s="26" t="s">
        <v>430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</row>
    <row r="57" customFormat="false" ht="15" hidden="false" customHeight="true" outlineLevel="0" collapsed="false">
      <c r="A57" s="26" t="s">
        <v>431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S57" s="25"/>
      <c r="U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</row>
    <row r="58" customFormat="false" ht="15" hidden="false" customHeight="true" outlineLevel="0" collapsed="false">
      <c r="A58" s="26" t="s">
        <v>432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V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</row>
    <row r="59" customFormat="false" ht="15" hidden="false" customHeight="true" outlineLevel="0" collapsed="false">
      <c r="A59" s="26" t="s">
        <v>433</v>
      </c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</row>
    <row r="60" customFormat="false" ht="15" hidden="false" customHeight="true" outlineLevel="0" collapsed="false">
      <c r="A60" s="26" t="s">
        <v>434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</row>
    <row r="61" customFormat="false" ht="15" hidden="false" customHeight="true" outlineLevel="0" collapsed="false">
      <c r="A61" s="26" t="s">
        <v>435</v>
      </c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</row>
    <row r="62" customFormat="false" ht="15" hidden="false" customHeight="true" outlineLevel="0" collapsed="false">
      <c r="A62" s="26" t="s">
        <v>436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AD62" s="25"/>
      <c r="AE62" s="25"/>
      <c r="AF62" s="25"/>
      <c r="AG62" s="25"/>
      <c r="AH62" s="25"/>
      <c r="AI62" s="25"/>
      <c r="AJ62" s="25"/>
      <c r="AK62" s="25"/>
      <c r="AL62" s="25"/>
    </row>
    <row r="63" customFormat="false" ht="15" hidden="false" customHeight="true" outlineLevel="0" collapsed="false">
      <c r="A63" s="26" t="s">
        <v>437</v>
      </c>
      <c r="H63" s="25"/>
      <c r="I63" s="25"/>
      <c r="J63" s="25"/>
      <c r="K63" s="25"/>
      <c r="L63" s="25"/>
      <c r="M63" s="25"/>
      <c r="N63" s="25"/>
      <c r="O63" s="25"/>
      <c r="P63" s="25"/>
      <c r="Q63" s="25"/>
      <c r="AD63" s="25"/>
      <c r="AE63" s="25"/>
      <c r="AF63" s="25"/>
      <c r="AG63" s="25"/>
      <c r="AH63" s="25"/>
      <c r="AI63" s="25"/>
    </row>
    <row r="64" customFormat="false" ht="15" hidden="false" customHeight="true" outlineLevel="0" collapsed="false">
      <c r="A64" s="26" t="s">
        <v>438</v>
      </c>
      <c r="L64" s="25"/>
      <c r="M64" s="25"/>
      <c r="N64" s="25"/>
      <c r="O64" s="25"/>
      <c r="P64" s="25"/>
      <c r="Q64" s="25"/>
      <c r="R64" s="25"/>
      <c r="S64" s="25"/>
      <c r="T64" s="25"/>
      <c r="AE64" s="25"/>
      <c r="AF64" s="25"/>
      <c r="AG64" s="25"/>
      <c r="AH64" s="25"/>
      <c r="AI64" s="25"/>
      <c r="AJ64" s="25"/>
      <c r="AK64" s="25"/>
      <c r="AL64" s="25"/>
    </row>
    <row r="65" customFormat="false" ht="15" hidden="false" customHeight="true" outlineLevel="0" collapsed="false">
      <c r="A65" s="26" t="s">
        <v>439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</row>
    <row r="66" customFormat="false" ht="15" hidden="false" customHeight="true" outlineLevel="0" collapsed="false">
      <c r="A66" s="26" t="s">
        <v>440</v>
      </c>
      <c r="B66" s="27" t="n">
        <v>-5E-005</v>
      </c>
      <c r="C66" s="27" t="n">
        <v>-5.4E-005</v>
      </c>
      <c r="D66" s="27" t="n">
        <v>-5.6E-005</v>
      </c>
      <c r="E66" s="25" t="n">
        <v>-5.7E-005</v>
      </c>
      <c r="F66" s="25" t="n">
        <v>-5.6E-005</v>
      </c>
      <c r="G66" s="25" t="n">
        <v>-5.7E-005</v>
      </c>
      <c r="H66" s="25" t="n">
        <v>-5.8E-005</v>
      </c>
      <c r="I66" s="25" t="n">
        <v>-1.4E-005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 t="n">
        <v>-0.002488</v>
      </c>
      <c r="Z66" s="25" t="n">
        <v>-0.010564</v>
      </c>
      <c r="AA66" s="25" t="n">
        <v>-0.011126</v>
      </c>
      <c r="AB66" s="25" t="n">
        <v>-0.011561</v>
      </c>
      <c r="AC66" s="25" t="n">
        <v>-0.01215</v>
      </c>
      <c r="AD66" s="25" t="n">
        <v>-0.012769</v>
      </c>
      <c r="AE66" s="25" t="n">
        <v>-0.013712</v>
      </c>
      <c r="AF66" s="25" t="n">
        <v>-0.014119</v>
      </c>
      <c r="AG66" s="25" t="n">
        <v>-0.014081</v>
      </c>
      <c r="AH66" s="25" t="n">
        <v>-0.014467</v>
      </c>
      <c r="AI66" s="25" t="n">
        <v>-0.014841</v>
      </c>
      <c r="AJ66" s="25" t="n">
        <v>-0.015025</v>
      </c>
      <c r="AK66" s="25" t="n">
        <v>-0.015234</v>
      </c>
      <c r="AL66" s="27" t="n">
        <v>-0.015421</v>
      </c>
    </row>
    <row r="67" customFormat="false" ht="15" hidden="false" customHeight="true" outlineLevel="0" collapsed="false">
      <c r="A67" s="26" t="s">
        <v>441</v>
      </c>
      <c r="AE67" s="25"/>
      <c r="AF67" s="25"/>
      <c r="AG67" s="25"/>
    </row>
    <row r="68" customFormat="false" ht="15" hidden="false" customHeight="true" outlineLevel="0" collapsed="false">
      <c r="A68" s="26" t="s">
        <v>442</v>
      </c>
      <c r="E68" s="25"/>
      <c r="F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</row>
    <row r="69" customFormat="false" ht="15" hidden="false" customHeight="true" outlineLevel="0" collapsed="false">
      <c r="A69" s="26" t="s">
        <v>443</v>
      </c>
      <c r="AG69" s="25"/>
      <c r="AH69" s="25"/>
      <c r="AI69" s="25"/>
      <c r="AJ69" s="25"/>
      <c r="AK69" s="25"/>
    </row>
    <row r="70" customFormat="false" ht="15" hidden="false" customHeight="true" outlineLevel="0" collapsed="false">
      <c r="A70" s="23" t="s">
        <v>444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</row>
    <row r="71" customFormat="false" ht="15" hidden="false" customHeight="true" outlineLevel="0" collapsed="false">
      <c r="A71" s="26" t="s">
        <v>445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</row>
    <row r="72" customFormat="false" ht="15" hidden="false" customHeight="true" outlineLevel="0" collapsed="false">
      <c r="A72" s="26" t="s">
        <v>446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</row>
    <row r="73" customFormat="false" ht="15" hidden="false" customHeight="true" outlineLevel="0" collapsed="false">
      <c r="A73" s="26" t="s">
        <v>447</v>
      </c>
      <c r="B73" s="25"/>
      <c r="C73" s="25"/>
      <c r="D73" s="25"/>
      <c r="E73" s="25"/>
      <c r="F73" s="25"/>
      <c r="G73" s="25"/>
      <c r="H73" s="25"/>
      <c r="O73" s="25"/>
      <c r="P73" s="25"/>
      <c r="Q73" s="25"/>
      <c r="R73" s="25"/>
      <c r="S73" s="25"/>
      <c r="T73" s="25"/>
    </row>
    <row r="74" customFormat="false" ht="15" hidden="false" customHeight="true" outlineLevel="0" collapsed="false">
      <c r="A74" s="23" t="s">
        <v>448</v>
      </c>
      <c r="W74" s="25"/>
      <c r="X74" s="25"/>
      <c r="Y74" s="25"/>
      <c r="Z74" s="25"/>
      <c r="AA74" s="25"/>
      <c r="AB74" s="25"/>
      <c r="AC74" s="25"/>
      <c r="AD74" s="25"/>
      <c r="AF74" s="25"/>
      <c r="AG74" s="25"/>
      <c r="AH74" s="25"/>
      <c r="AI74" s="25"/>
      <c r="AJ74" s="25"/>
      <c r="AK74" s="25"/>
    </row>
    <row r="75" customFormat="false" ht="15" hidden="false" customHeight="true" outlineLevel="0" collapsed="false">
      <c r="A75" s="23" t="s">
        <v>449</v>
      </c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</row>
    <row r="76" customFormat="false" ht="15" hidden="false" customHeight="true" outlineLevel="0" collapsed="false">
      <c r="A76" s="23" t="s">
        <v>450</v>
      </c>
      <c r="B76" s="25" t="n">
        <v>-0.000239</v>
      </c>
      <c r="C76" s="25" t="n">
        <v>-0.000224</v>
      </c>
      <c r="D76" s="25" t="n">
        <v>-0.000218</v>
      </c>
      <c r="E76" s="25" t="n">
        <v>-0.000195</v>
      </c>
      <c r="F76" s="25" t="n">
        <v>-0.000213</v>
      </c>
      <c r="G76" s="25" t="n">
        <v>-0.00016</v>
      </c>
      <c r="H76" s="25" t="n">
        <v>-0.000159</v>
      </c>
      <c r="I76" s="25" t="n">
        <v>-6.7E-005</v>
      </c>
      <c r="J76" s="25" t="n">
        <v>-5.3E-005</v>
      </c>
      <c r="K76" s="25" t="n">
        <v>-5.6E-005</v>
      </c>
      <c r="L76" s="25" t="n">
        <v>-4.7E-005</v>
      </c>
      <c r="M76" s="25" t="n">
        <v>-0.000107</v>
      </c>
      <c r="N76" s="25" t="n">
        <v>-0.000232</v>
      </c>
      <c r="O76" s="25" t="n">
        <v>-0.000174</v>
      </c>
      <c r="P76" s="25" t="n">
        <v>-0.000164</v>
      </c>
      <c r="Q76" s="25" t="n">
        <v>-0.000176</v>
      </c>
      <c r="R76" s="25" t="n">
        <v>-0.00026</v>
      </c>
      <c r="S76" s="25" t="n">
        <v>-0.000657</v>
      </c>
      <c r="T76" s="25" t="n">
        <v>-0.000735</v>
      </c>
      <c r="U76" s="25" t="n">
        <v>-0.001091</v>
      </c>
      <c r="V76" s="25" t="n">
        <v>-0.001144</v>
      </c>
      <c r="W76" s="25" t="n">
        <v>-0.002005</v>
      </c>
      <c r="X76" s="25" t="n">
        <v>-0.00426</v>
      </c>
      <c r="Y76" s="25" t="n">
        <v>-0.008295</v>
      </c>
      <c r="Z76" s="25" t="n">
        <v>-0.008165</v>
      </c>
      <c r="AA76" s="25" t="n">
        <v>-0.009571</v>
      </c>
      <c r="AB76" s="25" t="n">
        <v>-0.011247</v>
      </c>
      <c r="AC76" s="25" t="n">
        <v>-0.012734</v>
      </c>
      <c r="AD76" s="25" t="n">
        <v>-0.012451</v>
      </c>
      <c r="AE76" s="25" t="n">
        <v>-0.013313</v>
      </c>
      <c r="AF76" s="25" t="n">
        <v>-0.010495</v>
      </c>
      <c r="AG76" s="25" t="n">
        <v>-0.007309</v>
      </c>
      <c r="AH76" s="25" t="n">
        <v>-0.011085</v>
      </c>
      <c r="AI76" s="25" t="n">
        <v>-0.010708</v>
      </c>
      <c r="AJ76" s="25" t="n">
        <v>-0.010959</v>
      </c>
      <c r="AK76" s="25" t="n">
        <v>-0.009447</v>
      </c>
      <c r="AL76" s="25" t="n">
        <v>-0.012715</v>
      </c>
    </row>
    <row r="77" customFormat="false" ht="15" hidden="false" customHeight="true" outlineLevel="0" collapsed="false">
      <c r="A77" s="23" t="s">
        <v>451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</row>
    <row r="78" customFormat="false" ht="15" hidden="false" customHeight="true" outlineLevel="0" collapsed="false">
      <c r="A78" s="23" t="s">
        <v>452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</row>
    <row r="79" customFormat="false" ht="15" hidden="false" customHeight="true" outlineLevel="0" collapsed="false">
      <c r="A79" s="23" t="s">
        <v>453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</row>
    <row r="80" customFormat="false" ht="15" hidden="false" customHeight="true" outlineLevel="0" collapsed="false">
      <c r="A80" s="23" t="s">
        <v>454</v>
      </c>
      <c r="B80" s="25" t="n">
        <v>-1.3E-005</v>
      </c>
      <c r="C80" s="25" t="n">
        <v>-0.00057</v>
      </c>
      <c r="D80" s="25" t="n">
        <v>-0.000185</v>
      </c>
      <c r="E80" s="25" t="n">
        <v>-0.000213</v>
      </c>
      <c r="F80" s="25" t="n">
        <v>-0.000273</v>
      </c>
      <c r="G80" s="25" t="n">
        <v>-8.2E-005</v>
      </c>
      <c r="H80" s="25" t="n">
        <v>-8.6E-005</v>
      </c>
      <c r="I80" s="25" t="n">
        <v>-3.9E-005</v>
      </c>
      <c r="J80" s="25" t="n">
        <v>-0.000184</v>
      </c>
      <c r="K80" s="25" t="n">
        <v>-4.1E-005</v>
      </c>
      <c r="L80" s="25" t="n">
        <v>-7.5E-005</v>
      </c>
      <c r="M80" s="25" t="n">
        <v>-0.000116</v>
      </c>
      <c r="N80" s="25" t="n">
        <v>-4.2E-005</v>
      </c>
      <c r="O80" s="25" t="n">
        <v>-0.000105</v>
      </c>
      <c r="P80" s="25" t="n">
        <v>-2.6E-005</v>
      </c>
      <c r="Q80" s="25" t="n">
        <v>-0.000427</v>
      </c>
      <c r="R80" s="25" t="n">
        <v>-0.000543</v>
      </c>
      <c r="S80" s="25" t="n">
        <v>-0.000355</v>
      </c>
      <c r="T80" s="25" t="n">
        <v>-3E-006</v>
      </c>
      <c r="U80" s="25" t="n">
        <v>-0.000124</v>
      </c>
      <c r="V80" s="25" t="n">
        <v>-0.000475</v>
      </c>
      <c r="W80" s="25" t="n">
        <v>-0.000912</v>
      </c>
      <c r="X80" s="25" t="n">
        <v>-0.000831</v>
      </c>
      <c r="Y80" s="25" t="n">
        <v>-0.000665</v>
      </c>
      <c r="Z80" s="25" t="n">
        <v>-0.02286</v>
      </c>
      <c r="AA80" s="25" t="n">
        <v>-0.045</v>
      </c>
      <c r="AB80" s="25" t="n">
        <v>-0.035253</v>
      </c>
      <c r="AC80" s="25" t="n">
        <v>-0.029722</v>
      </c>
      <c r="AD80" s="25" t="n">
        <v>-0.032345</v>
      </c>
      <c r="AE80" s="25" t="n">
        <v>-0.072738</v>
      </c>
      <c r="AF80" s="25" t="n">
        <v>-0.066897</v>
      </c>
      <c r="AG80" s="25" t="n">
        <v>-0.072358</v>
      </c>
      <c r="AH80" s="25" t="n">
        <v>-0.085971</v>
      </c>
      <c r="AI80" s="25" t="n">
        <v>-0.089402</v>
      </c>
      <c r="AJ80" s="25" t="n">
        <v>-0.07755</v>
      </c>
      <c r="AK80" s="25" t="n">
        <v>-0.094949</v>
      </c>
      <c r="AL80" s="25" t="n">
        <v>-0.090711</v>
      </c>
    </row>
    <row r="81" customFormat="false" ht="15" hidden="false" customHeight="true" outlineLevel="0" collapsed="false">
      <c r="A81" s="23" t="s">
        <v>455</v>
      </c>
      <c r="B81" s="25" t="n">
        <v>0.000268</v>
      </c>
      <c r="C81" s="25" t="n">
        <v>0.00074</v>
      </c>
      <c r="D81" s="25" t="n">
        <v>-9E-005</v>
      </c>
      <c r="E81" s="25" t="n">
        <v>0.000689</v>
      </c>
      <c r="F81" s="25" t="n">
        <v>-0.000875</v>
      </c>
      <c r="G81" s="25" t="n">
        <v>0.000577</v>
      </c>
      <c r="H81" s="25" t="n">
        <v>-0.000399</v>
      </c>
      <c r="I81" s="25" t="n">
        <v>0.000452</v>
      </c>
      <c r="J81" s="25" t="n">
        <v>0.000135</v>
      </c>
      <c r="K81" s="25" t="n">
        <v>0.000719</v>
      </c>
      <c r="L81" s="25" t="n">
        <v>0.000751</v>
      </c>
      <c r="M81" s="25" t="n">
        <v>0.000719</v>
      </c>
      <c r="N81" s="25" t="n">
        <v>-4.7E-005</v>
      </c>
      <c r="O81" s="25" t="n">
        <v>-8.5E-005</v>
      </c>
      <c r="P81" s="25" t="n">
        <v>0.000125</v>
      </c>
      <c r="Q81" s="25" t="n">
        <v>0.000758</v>
      </c>
      <c r="R81" s="25" t="n">
        <v>0.002275</v>
      </c>
      <c r="S81" s="25" t="n">
        <v>0.001563</v>
      </c>
      <c r="T81" s="25" t="n">
        <v>0.004484</v>
      </c>
      <c r="U81" s="25" t="n">
        <v>0.008397</v>
      </c>
      <c r="V81" s="25" t="n">
        <v>0.008946</v>
      </c>
      <c r="W81" s="25" t="n">
        <v>0.016474</v>
      </c>
      <c r="X81" s="25" t="n">
        <v>0.030077</v>
      </c>
      <c r="Y81" s="25" t="n">
        <v>0.041454</v>
      </c>
      <c r="Z81" s="25" t="n">
        <v>0.04459</v>
      </c>
      <c r="AA81" s="25" t="n">
        <v>0.0499</v>
      </c>
      <c r="AB81" s="25" t="n">
        <v>0.069778</v>
      </c>
      <c r="AC81" s="25" t="n">
        <v>0.052276</v>
      </c>
      <c r="AD81" s="25" t="n">
        <v>0.050803</v>
      </c>
      <c r="AE81" s="25" t="n">
        <v>0.064121</v>
      </c>
      <c r="AF81" s="25" t="n">
        <v>0.058896</v>
      </c>
      <c r="AG81" s="25" t="n">
        <v>0.073365</v>
      </c>
      <c r="AH81" s="25" t="n">
        <v>0.092953</v>
      </c>
      <c r="AI81" s="25" t="n">
        <v>0.111443</v>
      </c>
      <c r="AJ81" s="25" t="n">
        <v>0.099584</v>
      </c>
      <c r="AK81" s="25" t="n">
        <v>0.108807</v>
      </c>
      <c r="AL81" s="25" t="n">
        <v>0.098767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2" min="2" style="1" width="8"/>
  </cols>
  <sheetData>
    <row r="1" customFormat="false" ht="15" hidden="false" customHeight="true" outlineLevel="0" collapsed="false">
      <c r="A1" s="2" t="s">
        <v>456</v>
      </c>
    </row>
    <row r="2" customFormat="false" ht="15" hidden="false" customHeight="true" outlineLevel="0" collapsed="false">
      <c r="A2" s="3" t="s">
        <v>457</v>
      </c>
    </row>
    <row r="4" customFormat="false" ht="15" hidden="false" customHeight="true" outlineLevel="0" collapsed="false">
      <c r="A4" s="4" t="s">
        <v>458</v>
      </c>
      <c r="AR4" s="7" t="s">
        <v>459</v>
      </c>
    </row>
    <row r="5" customFormat="false" ht="15" hidden="false" customHeight="true" outlineLevel="0" collapsed="false">
      <c r="A5" s="26" t="s">
        <v>460</v>
      </c>
      <c r="B5" s="31" t="n">
        <v>335.123</v>
      </c>
      <c r="D5" s="7" t="s">
        <v>461</v>
      </c>
    </row>
    <row r="7" customFormat="false" ht="15" hidden="false" customHeight="true" outlineLevel="0" collapsed="false">
      <c r="A7" s="23" t="s">
        <v>462</v>
      </c>
      <c r="B7" s="24" t="s">
        <v>176</v>
      </c>
      <c r="C7" s="24" t="s">
        <v>177</v>
      </c>
      <c r="D7" s="24" t="s">
        <v>178</v>
      </c>
      <c r="E7" s="24" t="s">
        <v>179</v>
      </c>
      <c r="F7" s="24" t="s">
        <v>180</v>
      </c>
      <c r="G7" s="24" t="s">
        <v>181</v>
      </c>
      <c r="H7" s="24" t="s">
        <v>182</v>
      </c>
      <c r="I7" s="24" t="s">
        <v>183</v>
      </c>
      <c r="J7" s="24" t="s">
        <v>184</v>
      </c>
      <c r="K7" s="24" t="s">
        <v>185</v>
      </c>
      <c r="L7" s="24" t="s">
        <v>186</v>
      </c>
      <c r="M7" s="24" t="s">
        <v>187</v>
      </c>
      <c r="N7" s="24" t="s">
        <v>188</v>
      </c>
      <c r="O7" s="24" t="s">
        <v>189</v>
      </c>
      <c r="P7" s="24" t="s">
        <v>190</v>
      </c>
      <c r="Q7" s="24" t="s">
        <v>191</v>
      </c>
      <c r="R7" s="24" t="s">
        <v>192</v>
      </c>
      <c r="S7" s="24" t="s">
        <v>193</v>
      </c>
      <c r="T7" s="24" t="s">
        <v>194</v>
      </c>
      <c r="U7" s="24" t="s">
        <v>195</v>
      </c>
      <c r="V7" s="24" t="s">
        <v>196</v>
      </c>
      <c r="W7" s="24" t="s">
        <v>197</v>
      </c>
      <c r="X7" s="24" t="s">
        <v>198</v>
      </c>
      <c r="Y7" s="24" t="s">
        <v>199</v>
      </c>
      <c r="Z7" s="24" t="s">
        <v>200</v>
      </c>
      <c r="AA7" s="24" t="s">
        <v>201</v>
      </c>
      <c r="AB7" s="24" t="s">
        <v>202</v>
      </c>
      <c r="AC7" s="24" t="s">
        <v>203</v>
      </c>
      <c r="AD7" s="24" t="s">
        <v>204</v>
      </c>
      <c r="AE7" s="24" t="s">
        <v>205</v>
      </c>
      <c r="AF7" s="24" t="s">
        <v>206</v>
      </c>
      <c r="AG7" s="24" t="s">
        <v>207</v>
      </c>
      <c r="AH7" s="24" t="s">
        <v>208</v>
      </c>
      <c r="AI7" s="24" t="s">
        <v>209</v>
      </c>
      <c r="AJ7" s="24" t="s">
        <v>210</v>
      </c>
      <c r="AK7" s="24" t="s">
        <v>211</v>
      </c>
      <c r="AL7" s="24" t="s">
        <v>212</v>
      </c>
      <c r="AM7" s="24" t="s">
        <v>213</v>
      </c>
      <c r="AN7" s="24" t="s">
        <v>214</v>
      </c>
      <c r="AO7" s="24" t="s">
        <v>215</v>
      </c>
      <c r="AP7" s="24" t="s">
        <v>216</v>
      </c>
    </row>
    <row r="8" customFormat="false" ht="15" hidden="false" customHeight="true" outlineLevel="0" collapsed="false">
      <c r="A8" s="26" t="s">
        <v>463</v>
      </c>
      <c r="B8" s="31" t="n">
        <v>107.6</v>
      </c>
      <c r="C8" s="31" t="n">
        <v>109.6</v>
      </c>
      <c r="D8" s="31" t="n">
        <v>113.6</v>
      </c>
      <c r="E8" s="31" t="n">
        <v>118.3</v>
      </c>
      <c r="F8" s="31" t="n">
        <v>124</v>
      </c>
      <c r="G8" s="31" t="n">
        <v>130.7</v>
      </c>
      <c r="H8" s="31" t="n">
        <v>136.2</v>
      </c>
      <c r="I8" s="31" t="n">
        <v>140.3</v>
      </c>
      <c r="J8" s="31" t="n">
        <v>144.5</v>
      </c>
      <c r="K8" s="31" t="n">
        <v>148.2</v>
      </c>
      <c r="L8" s="31" t="n">
        <v>152.4</v>
      </c>
      <c r="M8" s="31" t="n">
        <v>156.9</v>
      </c>
      <c r="N8" s="31" t="n">
        <v>160.5</v>
      </c>
      <c r="O8" s="31" t="n">
        <v>163</v>
      </c>
      <c r="P8" s="31" t="n">
        <v>166.6</v>
      </c>
      <c r="Q8" s="31" t="n">
        <v>172.2</v>
      </c>
      <c r="R8" s="31" t="n">
        <v>177.1</v>
      </c>
      <c r="S8" s="31" t="n">
        <v>179.9</v>
      </c>
      <c r="T8" s="31" t="n">
        <v>184</v>
      </c>
      <c r="U8" s="31" t="n">
        <v>188.9</v>
      </c>
      <c r="V8" s="31" t="n">
        <v>195.3</v>
      </c>
      <c r="W8" s="31" t="n">
        <v>201.6</v>
      </c>
      <c r="X8" s="31" t="n">
        <v>207.342</v>
      </c>
      <c r="Y8" s="31" t="n">
        <v>215.303</v>
      </c>
      <c r="Z8" s="31" t="n">
        <v>214.537</v>
      </c>
      <c r="AA8" s="31" t="n">
        <v>218.056</v>
      </c>
      <c r="AB8" s="31" t="n">
        <v>224.939</v>
      </c>
      <c r="AC8" s="31" t="n">
        <v>229.594</v>
      </c>
      <c r="AD8" s="31" t="n">
        <v>232.957</v>
      </c>
      <c r="AE8" s="31" t="n">
        <v>236.736</v>
      </c>
      <c r="AF8" s="31" t="n">
        <v>237.017</v>
      </c>
      <c r="AG8" s="31" t="n">
        <v>240.007</v>
      </c>
      <c r="AH8" s="31" t="n">
        <v>245.12</v>
      </c>
      <c r="AI8" s="31" t="n">
        <v>251.107</v>
      </c>
      <c r="AJ8" s="31" t="n">
        <v>255.657</v>
      </c>
      <c r="AK8" s="31" t="n">
        <v>258.811</v>
      </c>
      <c r="AL8" s="31" t="n">
        <v>270.97</v>
      </c>
      <c r="AM8" s="31" t="n">
        <v>292.655</v>
      </c>
      <c r="AN8" s="31" t="n">
        <v>304.702</v>
      </c>
      <c r="AO8" s="31" t="n">
        <v>313.689</v>
      </c>
      <c r="AP8" s="31" t="n">
        <v>321.943</v>
      </c>
    </row>
    <row r="9" customFormat="false" ht="15" hidden="false" customHeight="true" outlineLevel="0" collapsed="false">
      <c r="A9" s="26" t="s">
        <v>464</v>
      </c>
      <c r="B9" s="32" t="n">
        <f aca="false">md_cpi_base/B8</f>
        <v>3.11452602230483</v>
      </c>
      <c r="C9" s="32" t="n">
        <f aca="false">md_cpi_base/C8</f>
        <v>3.05769160583942</v>
      </c>
      <c r="D9" s="32" t="n">
        <f aca="false">md_cpi_base/D8</f>
        <v>2.9500264084507</v>
      </c>
      <c r="E9" s="32" t="n">
        <f aca="false">md_cpi_base/E8</f>
        <v>2.83282333051564</v>
      </c>
      <c r="F9" s="32" t="n">
        <f aca="false">md_cpi_base/F8</f>
        <v>2.70260483870968</v>
      </c>
      <c r="G9" s="32" t="n">
        <f aca="false">md_cpi_base/G8</f>
        <v>2.56406273909717</v>
      </c>
      <c r="H9" s="32" t="n">
        <f aca="false">md_cpi_base/H8</f>
        <v>2.46052129221733</v>
      </c>
      <c r="I9" s="32" t="n">
        <f aca="false">md_cpi_base/I8</f>
        <v>2.38861724875267</v>
      </c>
      <c r="J9" s="32" t="n">
        <f aca="false">md_cpi_base/J8</f>
        <v>2.31919031141869</v>
      </c>
      <c r="K9" s="32" t="n">
        <f aca="false">md_cpi_base/K8</f>
        <v>2.26128879892038</v>
      </c>
      <c r="L9" s="32" t="n">
        <f aca="false">md_cpi_base/L8</f>
        <v>2.19896981627297</v>
      </c>
      <c r="M9" s="32" t="n">
        <f aca="false">md_cpi_base/M8</f>
        <v>2.13590184831103</v>
      </c>
      <c r="N9" s="32" t="n">
        <f aca="false">md_cpi_base/N8</f>
        <v>2.0879937694704</v>
      </c>
      <c r="O9" s="32" t="n">
        <f aca="false">md_cpi_base/O8</f>
        <v>2.05596932515337</v>
      </c>
      <c r="P9" s="32" t="n">
        <f aca="false">md_cpi_base/P8</f>
        <v>2.01154261704682</v>
      </c>
      <c r="Q9" s="32" t="n">
        <f aca="false">md_cpi_base/Q8</f>
        <v>1.94612659698026</v>
      </c>
      <c r="R9" s="32" t="n">
        <f aca="false">md_cpi_base/R8</f>
        <v>1.89228119706381</v>
      </c>
      <c r="S9" s="32" t="n">
        <f aca="false">md_cpi_base/S8</f>
        <v>1.86282934963869</v>
      </c>
      <c r="T9" s="32" t="n">
        <f aca="false">md_cpi_base/T8</f>
        <v>1.82132065217391</v>
      </c>
      <c r="U9" s="32" t="n">
        <f aca="false">md_cpi_base/U8</f>
        <v>1.77407623080995</v>
      </c>
      <c r="V9" s="32" t="n">
        <f aca="false">md_cpi_base/V8</f>
        <v>1.71593958013313</v>
      </c>
      <c r="W9" s="32" t="n">
        <f aca="false">md_cpi_base/W8</f>
        <v>1.66231646825397</v>
      </c>
      <c r="X9" s="32" t="n">
        <f aca="false">md_cpi_base/X8</f>
        <v>1.61628131299978</v>
      </c>
      <c r="Y9" s="32" t="n">
        <f aca="false">md_cpi_base/Y8</f>
        <v>1.55651802343674</v>
      </c>
      <c r="Z9" s="32" t="n">
        <f aca="false">md_cpi_base/Z8</f>
        <v>1.56207553941744</v>
      </c>
      <c r="AA9" s="32" t="n">
        <f aca="false">md_cpi_base/AA8</f>
        <v>1.53686667645009</v>
      </c>
      <c r="AB9" s="32" t="n">
        <f aca="false">md_cpi_base/AB8</f>
        <v>1.48983946758899</v>
      </c>
      <c r="AC9" s="32" t="n">
        <f aca="false">md_cpi_base/AC8</f>
        <v>1.45963309145709</v>
      </c>
      <c r="AD9" s="32" t="n">
        <f aca="false">md_cpi_base/AD8</f>
        <v>1.43856162296046</v>
      </c>
      <c r="AE9" s="32" t="n">
        <f aca="false">md_cpi_base/AE8</f>
        <v>1.4155979656664</v>
      </c>
      <c r="AF9" s="32" t="n">
        <f aca="false">md_cpi_base/AF8</f>
        <v>1.41391967664767</v>
      </c>
      <c r="AG9" s="32" t="n">
        <f aca="false">md_cpi_base/AG8</f>
        <v>1.39630510776769</v>
      </c>
      <c r="AH9" s="32" t="n">
        <f aca="false">md_cpi_base/AH8</f>
        <v>1.36717934073107</v>
      </c>
      <c r="AI9" s="32" t="n">
        <f aca="false">md_cpi_base/AI8</f>
        <v>1.33458246882803</v>
      </c>
      <c r="AJ9" s="32" t="n">
        <f aca="false">md_cpi_base/AJ8</f>
        <v>1.31083052683869</v>
      </c>
      <c r="AK9" s="32" t="n">
        <f aca="false">md_cpi_base/AK8</f>
        <v>1.29485609189718</v>
      </c>
      <c r="AL9" s="32" t="n">
        <f aca="false">md_cpi_base/AL8</f>
        <v>1.23675314610473</v>
      </c>
      <c r="AM9" s="32" t="n">
        <f aca="false">md_cpi_base/AM8</f>
        <v>1.14511284618407</v>
      </c>
      <c r="AN9" s="32" t="n">
        <f aca="false">md_cpi_base/AN8</f>
        <v>1.0998385307612</v>
      </c>
      <c r="AO9" s="32" t="n">
        <f aca="false">md_cpi_base/AO8</f>
        <v>1.06832882249617</v>
      </c>
      <c r="AP9" s="32" t="n">
        <f aca="false">md_cpi_base/AP8</f>
        <v>1.04093892397101</v>
      </c>
    </row>
    <row r="11" customFormat="false" ht="15" hidden="false" customHeight="true" outlineLevel="0" collapsed="false">
      <c r="A11" s="4" t="s">
        <v>465</v>
      </c>
    </row>
    <row r="12" customFormat="false" ht="15" hidden="false" customHeight="true" outlineLevel="0" collapsed="false">
      <c r="A12" s="26" t="s">
        <v>466</v>
      </c>
      <c r="B12" s="31" t="n">
        <v>118.04</v>
      </c>
      <c r="D12" s="7" t="s">
        <v>467</v>
      </c>
    </row>
    <row r="13" customFormat="false" ht="15" hidden="false" customHeight="true" outlineLevel="0" collapsed="false">
      <c r="A13" s="23" t="s">
        <v>462</v>
      </c>
      <c r="B13" s="24" t="s">
        <v>176</v>
      </c>
      <c r="C13" s="24" t="s">
        <v>177</v>
      </c>
      <c r="D13" s="24" t="s">
        <v>178</v>
      </c>
      <c r="E13" s="24" t="s">
        <v>179</v>
      </c>
      <c r="F13" s="24" t="s">
        <v>180</v>
      </c>
      <c r="G13" s="24" t="s">
        <v>181</v>
      </c>
      <c r="H13" s="24" t="s">
        <v>182</v>
      </c>
      <c r="I13" s="24" t="s">
        <v>183</v>
      </c>
      <c r="J13" s="24" t="s">
        <v>184</v>
      </c>
      <c r="K13" s="24" t="s">
        <v>185</v>
      </c>
      <c r="L13" s="24" t="s">
        <v>186</v>
      </c>
      <c r="M13" s="24" t="s">
        <v>187</v>
      </c>
      <c r="N13" s="24" t="s">
        <v>188</v>
      </c>
      <c r="O13" s="24" t="s">
        <v>189</v>
      </c>
      <c r="P13" s="24" t="s">
        <v>190</v>
      </c>
      <c r="Q13" s="24" t="s">
        <v>191</v>
      </c>
      <c r="R13" s="24" t="s">
        <v>192</v>
      </c>
      <c r="S13" s="24" t="s">
        <v>193</v>
      </c>
      <c r="T13" s="24" t="s">
        <v>194</v>
      </c>
      <c r="U13" s="24" t="s">
        <v>195</v>
      </c>
      <c r="V13" s="24" t="s">
        <v>196</v>
      </c>
      <c r="W13" s="24" t="s">
        <v>197</v>
      </c>
      <c r="X13" s="24" t="s">
        <v>198</v>
      </c>
      <c r="Y13" s="24" t="s">
        <v>199</v>
      </c>
      <c r="Z13" s="24" t="s">
        <v>200</v>
      </c>
      <c r="AA13" s="24" t="s">
        <v>201</v>
      </c>
      <c r="AB13" s="24" t="s">
        <v>202</v>
      </c>
      <c r="AC13" s="24" t="s">
        <v>203</v>
      </c>
      <c r="AD13" s="24" t="s">
        <v>204</v>
      </c>
      <c r="AE13" s="24" t="s">
        <v>205</v>
      </c>
      <c r="AF13" s="24" t="s">
        <v>206</v>
      </c>
      <c r="AG13" s="24" t="s">
        <v>207</v>
      </c>
      <c r="AH13" s="24" t="s">
        <v>208</v>
      </c>
      <c r="AI13" s="24" t="s">
        <v>209</v>
      </c>
      <c r="AJ13" s="24" t="s">
        <v>210</v>
      </c>
      <c r="AK13" s="24" t="s">
        <v>211</v>
      </c>
      <c r="AL13" s="24" t="s">
        <v>212</v>
      </c>
      <c r="AM13" s="24" t="s">
        <v>213</v>
      </c>
      <c r="AN13" s="24" t="s">
        <v>214</v>
      </c>
      <c r="AO13" s="24" t="s">
        <v>215</v>
      </c>
      <c r="AP13" s="24" t="s">
        <v>216</v>
      </c>
    </row>
    <row r="14" customFormat="false" ht="15" hidden="false" customHeight="true" outlineLevel="0" collapsed="false">
      <c r="A14" s="26" t="s">
        <v>468</v>
      </c>
      <c r="B14" s="31" t="n">
        <v>83.305</v>
      </c>
      <c r="C14" s="31" t="n">
        <v>84.766</v>
      </c>
      <c r="D14" s="31" t="n">
        <v>85.733</v>
      </c>
      <c r="E14" s="31" t="n">
        <v>87.893</v>
      </c>
      <c r="F14" s="31" t="n">
        <v>89.936</v>
      </c>
      <c r="G14" s="31" t="n">
        <v>91.867</v>
      </c>
      <c r="H14" s="31" t="n">
        <v>93.606</v>
      </c>
      <c r="I14" s="31" t="n">
        <v>93.3</v>
      </c>
      <c r="J14" s="31" t="n">
        <v>93.501</v>
      </c>
      <c r="K14" s="31" t="n">
        <v>94.238</v>
      </c>
      <c r="L14" s="31" t="n">
        <v>95.177</v>
      </c>
      <c r="M14" s="31" t="n">
        <v>94.599</v>
      </c>
      <c r="N14" s="31" t="n">
        <v>94.07</v>
      </c>
      <c r="O14" s="31" t="n">
        <v>92.594</v>
      </c>
      <c r="P14" s="31" t="n">
        <v>91.666</v>
      </c>
      <c r="Q14" s="31" t="n">
        <v>92.067</v>
      </c>
      <c r="R14" s="31" t="n">
        <v>91.698</v>
      </c>
      <c r="S14" s="31" t="n">
        <v>91.219</v>
      </c>
      <c r="T14" s="31" t="n">
        <v>90.516</v>
      </c>
      <c r="U14" s="31" t="n">
        <v>91.41</v>
      </c>
      <c r="V14" s="31" t="n">
        <v>93.78</v>
      </c>
      <c r="W14" s="31" t="n">
        <v>96.066</v>
      </c>
      <c r="X14" s="31" t="n">
        <v>97.621</v>
      </c>
      <c r="Y14" s="31" t="n">
        <v>99.132</v>
      </c>
      <c r="Z14" s="31" t="n">
        <v>98.488</v>
      </c>
      <c r="AA14" s="31" t="n">
        <v>96.695</v>
      </c>
      <c r="AB14" s="31" t="n">
        <v>97.756</v>
      </c>
      <c r="AC14" s="31" t="n">
        <v>99.13</v>
      </c>
      <c r="AD14" s="31" t="n">
        <v>99.229</v>
      </c>
      <c r="AE14" s="31" t="n">
        <v>100.169</v>
      </c>
      <c r="AF14" s="31" t="n">
        <v>100.345</v>
      </c>
      <c r="AG14" s="31" t="n">
        <v>99.38</v>
      </c>
      <c r="AH14" s="31" t="n">
        <v>100</v>
      </c>
      <c r="AI14" s="31" t="n">
        <v>100.427</v>
      </c>
      <c r="AJ14" s="31" t="n">
        <v>101.406</v>
      </c>
      <c r="AK14" s="31" t="n">
        <v>101.97</v>
      </c>
      <c r="AL14" s="31" t="n">
        <v>103.147</v>
      </c>
      <c r="AM14" s="31" t="n">
        <v>109.323</v>
      </c>
      <c r="AN14" s="31" t="n">
        <v>112.793</v>
      </c>
      <c r="AO14" s="31" t="n">
        <v>114.324</v>
      </c>
      <c r="AP14" s="31" t="n">
        <v>116.039</v>
      </c>
    </row>
    <row r="15" customFormat="false" ht="15" hidden="false" customHeight="true" outlineLevel="0" collapsed="false">
      <c r="A15" s="26" t="s">
        <v>469</v>
      </c>
      <c r="B15" s="32" t="n">
        <f aca="false">md_bea_base/B14</f>
        <v>1.41696176700078</v>
      </c>
      <c r="C15" s="32" t="n">
        <f aca="false">md_bea_base/C14</f>
        <v>1.39253946157658</v>
      </c>
      <c r="D15" s="32" t="n">
        <f aca="false">md_bea_base/D14</f>
        <v>1.37683272485507</v>
      </c>
      <c r="E15" s="32" t="n">
        <f aca="false">md_bea_base/E14</f>
        <v>1.34299659813637</v>
      </c>
      <c r="F15" s="32" t="n">
        <f aca="false">md_bea_base/F14</f>
        <v>1.31248888098203</v>
      </c>
      <c r="G15" s="32" t="n">
        <f aca="false">md_bea_base/G14</f>
        <v>1.28490099818215</v>
      </c>
      <c r="H15" s="32" t="n">
        <f aca="false">md_bea_base/H14</f>
        <v>1.26103027583702</v>
      </c>
      <c r="I15" s="32" t="n">
        <f aca="false">md_bea_base/I14</f>
        <v>1.26516613076099</v>
      </c>
      <c r="J15" s="32" t="n">
        <f aca="false">md_bea_base/J14</f>
        <v>1.26244639094769</v>
      </c>
      <c r="K15" s="32" t="n">
        <f aca="false">md_bea_base/K14</f>
        <v>1.25257327192852</v>
      </c>
      <c r="L15" s="32" t="n">
        <f aca="false">md_bea_base/L14</f>
        <v>1.24021559830631</v>
      </c>
      <c r="M15" s="32" t="n">
        <f aca="false">md_bea_base/M14</f>
        <v>1.24779331705409</v>
      </c>
      <c r="N15" s="32" t="n">
        <f aca="false">md_bea_base/N14</f>
        <v>1.25481024768789</v>
      </c>
      <c r="O15" s="32" t="n">
        <f aca="false">md_bea_base/O14</f>
        <v>1.27481262284813</v>
      </c>
      <c r="P15" s="32" t="n">
        <f aca="false">md_bea_base/P14</f>
        <v>1.28771845613423</v>
      </c>
      <c r="Q15" s="32" t="n">
        <f aca="false">md_bea_base/Q14</f>
        <v>1.28210976788643</v>
      </c>
      <c r="R15" s="32" t="n">
        <f aca="false">md_bea_base/R14</f>
        <v>1.28726907893302</v>
      </c>
      <c r="S15" s="32" t="n">
        <f aca="false">md_bea_base/S14</f>
        <v>1.29402865631064</v>
      </c>
      <c r="T15" s="32" t="n">
        <f aca="false">md_bea_base/T14</f>
        <v>1.30407883689072</v>
      </c>
      <c r="U15" s="32" t="n">
        <f aca="false">md_bea_base/U14</f>
        <v>1.29132480035007</v>
      </c>
      <c r="V15" s="32" t="n">
        <f aca="false">md_bea_base/V14</f>
        <v>1.25869055235658</v>
      </c>
      <c r="W15" s="32" t="n">
        <f aca="false">md_bea_base/W14</f>
        <v>1.22873857556263</v>
      </c>
      <c r="X15" s="32" t="n">
        <f aca="false">md_bea_base/X14</f>
        <v>1.20916606058123</v>
      </c>
      <c r="Y15" s="32" t="n">
        <f aca="false">md_bea_base/Y14</f>
        <v>1.19073558487673</v>
      </c>
      <c r="Z15" s="32" t="n">
        <f aca="false">md_bea_base/Z14</f>
        <v>1.19852164730729</v>
      </c>
      <c r="AA15" s="32" t="n">
        <f aca="false">md_bea_base/AA14</f>
        <v>1.22074564351828</v>
      </c>
      <c r="AB15" s="32" t="n">
        <f aca="false">md_bea_base/AB14</f>
        <v>1.20749621506608</v>
      </c>
      <c r="AC15" s="32" t="n">
        <f aca="false">md_bea_base/AC14</f>
        <v>1.19075960859477</v>
      </c>
      <c r="AD15" s="32" t="n">
        <f aca="false">md_bea_base/AD14</f>
        <v>1.18957159701297</v>
      </c>
      <c r="AE15" s="32" t="n">
        <f aca="false">md_bea_base/AE14</f>
        <v>1.17840848965249</v>
      </c>
      <c r="AF15" s="32" t="n">
        <f aca="false">md_bea_base/AF14</f>
        <v>1.17634162140615</v>
      </c>
      <c r="AG15" s="32" t="n">
        <f aca="false">md_bea_base/AG14</f>
        <v>1.18776413765345</v>
      </c>
      <c r="AH15" s="32" t="n">
        <f aca="false">md_bea_base/AH14</f>
        <v>1.1804</v>
      </c>
      <c r="AI15" s="32" t="n">
        <f aca="false">md_bea_base/AI14</f>
        <v>1.17538112260647</v>
      </c>
      <c r="AJ15" s="32" t="n">
        <f aca="false">md_bea_base/AJ14</f>
        <v>1.16403368636964</v>
      </c>
      <c r="AK15" s="32" t="n">
        <f aca="false">md_bea_base/AK14</f>
        <v>1.1575953711876</v>
      </c>
      <c r="AL15" s="32" t="n">
        <f aca="false">md_bea_base/AL14</f>
        <v>1.14438616731461</v>
      </c>
      <c r="AM15" s="32" t="n">
        <f aca="false">md_bea_base/AM14</f>
        <v>1.07973619457937</v>
      </c>
      <c r="AN15" s="32" t="n">
        <f aca="false">md_bea_base/AN14</f>
        <v>1.04651884425452</v>
      </c>
      <c r="AO15" s="32" t="n">
        <f aca="false">md_bea_base/AO14</f>
        <v>1.03250411112277</v>
      </c>
      <c r="AP15" s="32" t="n">
        <f aca="false">md_bea_base/AP14</f>
        <v>1.01724420238023</v>
      </c>
    </row>
    <row r="16" customFormat="false" ht="15" hidden="false" customHeight="true" outlineLevel="0" collapsed="false">
      <c r="A16" s="26" t="s">
        <v>470</v>
      </c>
      <c r="B16" s="27" t="n">
        <v>5</v>
      </c>
      <c r="C16" s="27" t="n">
        <v>12.5</v>
      </c>
      <c r="D16" s="27" t="n">
        <v>20</v>
      </c>
      <c r="E16" s="27" t="n">
        <v>27.5</v>
      </c>
      <c r="F16" s="27" t="n">
        <v>35</v>
      </c>
      <c r="G16" s="27" t="n">
        <v>42.5</v>
      </c>
      <c r="H16" s="27" t="n">
        <v>50</v>
      </c>
      <c r="I16" s="27" t="n">
        <v>57.5</v>
      </c>
      <c r="J16" s="27" t="n">
        <v>65</v>
      </c>
      <c r="K16" s="27" t="n">
        <v>72.5</v>
      </c>
      <c r="L16" s="27" t="n">
        <v>80</v>
      </c>
      <c r="M16" s="27" t="n">
        <v>87.5</v>
      </c>
      <c r="N16" s="27" t="n">
        <v>95</v>
      </c>
      <c r="O16" s="27" t="n">
        <v>102.5</v>
      </c>
      <c r="P16" s="27" t="n">
        <v>110</v>
      </c>
      <c r="Q16" s="27" t="n">
        <v>117.5</v>
      </c>
      <c r="R16" s="27" t="n">
        <v>125</v>
      </c>
      <c r="S16" s="27" t="n">
        <v>132.5</v>
      </c>
      <c r="T16" s="27" t="n">
        <v>140</v>
      </c>
      <c r="U16" s="27" t="n">
        <v>147.5</v>
      </c>
      <c r="V16" s="27" t="n">
        <v>155</v>
      </c>
      <c r="W16" s="27" t="n">
        <v>162.5</v>
      </c>
      <c r="X16" s="27" t="n">
        <v>170</v>
      </c>
      <c r="Y16" s="33" t="n">
        <v>177.5</v>
      </c>
      <c r="Z16" s="33" t="n">
        <v>185</v>
      </c>
      <c r="AA16" s="33" t="n">
        <v>192.5</v>
      </c>
      <c r="AB16" s="33" t="n">
        <v>200</v>
      </c>
      <c r="AC16" s="33" t="n">
        <v>207.5</v>
      </c>
      <c r="AD16" s="33" t="n">
        <v>215</v>
      </c>
      <c r="AE16" s="33" t="n">
        <v>222.5</v>
      </c>
      <c r="AF16" s="33" t="n">
        <v>230</v>
      </c>
      <c r="AG16" s="33" t="n">
        <v>237.5</v>
      </c>
      <c r="AH16" s="33" t="n">
        <v>245</v>
      </c>
      <c r="AI16" s="33" t="n">
        <v>252.5</v>
      </c>
      <c r="AJ16" s="33" t="n">
        <v>260</v>
      </c>
      <c r="AK16" s="33" t="n">
        <v>267.5</v>
      </c>
      <c r="AL16" s="33" t="n">
        <v>275</v>
      </c>
      <c r="AM16" s="33" t="n">
        <v>282.5</v>
      </c>
      <c r="AN16" s="33" t="n">
        <v>290</v>
      </c>
      <c r="AO16" s="33" t="n">
        <v>297.5</v>
      </c>
      <c r="AP16" s="33" t="n">
        <v>305</v>
      </c>
    </row>
    <row r="17" customFormat="false" ht="15" hidden="false" customHeight="true" outlineLevel="0" collapsed="false">
      <c r="A17" s="7" t="s">
        <v>471</v>
      </c>
      <c r="B17" s="1" t="n">
        <v>5</v>
      </c>
      <c r="C17" s="1" t="n">
        <v>12.5</v>
      </c>
      <c r="D17" s="1" t="n">
        <v>20</v>
      </c>
      <c r="E17" s="1" t="n">
        <v>27.5</v>
      </c>
      <c r="F17" s="1" t="n">
        <v>35</v>
      </c>
      <c r="G17" s="1" t="n">
        <v>42.5</v>
      </c>
      <c r="H17" s="1" t="n">
        <v>50</v>
      </c>
      <c r="I17" s="1" t="n">
        <v>57.5</v>
      </c>
      <c r="J17" s="1" t="n">
        <v>65</v>
      </c>
      <c r="K17" s="1" t="n">
        <v>72.5</v>
      </c>
      <c r="L17" s="1" t="n">
        <v>80</v>
      </c>
      <c r="M17" s="1" t="n">
        <v>87.5</v>
      </c>
      <c r="N17" s="1" t="n">
        <v>95</v>
      </c>
      <c r="O17" s="1" t="n">
        <v>102.5</v>
      </c>
      <c r="P17" s="1" t="n">
        <v>110</v>
      </c>
      <c r="Q17" s="1" t="n">
        <v>117.5</v>
      </c>
      <c r="R17" s="1" t="n">
        <v>125</v>
      </c>
      <c r="S17" s="1" t="n">
        <v>132.5</v>
      </c>
      <c r="T17" s="1" t="n">
        <v>140</v>
      </c>
      <c r="U17" s="1" t="n">
        <v>147.5</v>
      </c>
      <c r="V17" s="1" t="n">
        <v>155</v>
      </c>
      <c r="W17" s="1" t="n">
        <v>162.5</v>
      </c>
      <c r="X17" s="1" t="n">
        <v>170</v>
      </c>
      <c r="Y17" s="1" t="n">
        <v>177.5</v>
      </c>
      <c r="Z17" s="1" t="n">
        <v>185</v>
      </c>
      <c r="AA17" s="1" t="n">
        <v>192.5</v>
      </c>
      <c r="AB17" s="1" t="n">
        <v>200</v>
      </c>
      <c r="AC17" s="1" t="n">
        <v>207.5</v>
      </c>
      <c r="AD17" s="1" t="n">
        <v>215</v>
      </c>
      <c r="AE17" s="1" t="n">
        <v>222.5</v>
      </c>
      <c r="AF17" s="1" t="n">
        <v>230</v>
      </c>
      <c r="AG17" s="1" t="n">
        <v>237.5</v>
      </c>
      <c r="AH17" s="1" t="n">
        <v>245</v>
      </c>
      <c r="AI17" s="1" t="n">
        <v>252.5</v>
      </c>
      <c r="AJ17" s="1" t="n">
        <v>260</v>
      </c>
      <c r="AK17" s="1" t="n">
        <v>267.5</v>
      </c>
      <c r="AL17" s="1" t="n">
        <v>275</v>
      </c>
      <c r="AM17" s="1" t="n">
        <v>282.5</v>
      </c>
      <c r="AN17" s="1" t="n">
        <v>290</v>
      </c>
      <c r="AO17" s="1" t="n">
        <v>297.5</v>
      </c>
      <c r="AP17" s="1" t="n">
        <v>305</v>
      </c>
    </row>
    <row r="18" customFormat="false" ht="15" hidden="false" customHeight="true" outlineLevel="0" collapsed="false">
      <c r="A18" s="4" t="s">
        <v>472</v>
      </c>
    </row>
    <row r="19" customFormat="false" ht="15" hidden="false" customHeight="true" outlineLevel="0" collapsed="false">
      <c r="A19" s="3" t="s">
        <v>473</v>
      </c>
    </row>
    <row r="20" customFormat="false" ht="15" hidden="false" customHeight="true" outlineLevel="0" collapsed="false">
      <c r="A20" s="23" t="s">
        <v>474</v>
      </c>
      <c r="B20" s="34" t="n">
        <v>1</v>
      </c>
      <c r="C20" s="34" t="n">
        <v>2</v>
      </c>
      <c r="D20" s="34" t="n">
        <v>3</v>
      </c>
      <c r="E20" s="34" t="n">
        <v>4</v>
      </c>
      <c r="F20" s="34" t="n">
        <v>5</v>
      </c>
      <c r="G20" s="34" t="n">
        <v>6</v>
      </c>
      <c r="H20" s="34" t="n">
        <v>7</v>
      </c>
      <c r="I20" s="34" t="n">
        <v>8</v>
      </c>
      <c r="J20" s="34" t="n">
        <v>9</v>
      </c>
      <c r="K20" s="34" t="n">
        <v>10</v>
      </c>
      <c r="L20" s="34" t="n">
        <v>11</v>
      </c>
      <c r="M20" s="34" t="n">
        <v>12</v>
      </c>
      <c r="N20" s="34" t="n">
        <v>13</v>
      </c>
      <c r="O20" s="34" t="n">
        <v>14</v>
      </c>
      <c r="P20" s="34" t="n">
        <v>15</v>
      </c>
      <c r="Q20" s="34" t="n">
        <v>16</v>
      </c>
      <c r="R20" s="34" t="n">
        <v>17</v>
      </c>
      <c r="S20" s="34" t="n">
        <v>18</v>
      </c>
      <c r="T20" s="34" t="n">
        <v>19</v>
      </c>
      <c r="U20" s="34" t="n">
        <v>20</v>
      </c>
      <c r="V20" s="34" t="n">
        <v>21</v>
      </c>
      <c r="W20" s="34" t="n">
        <v>22</v>
      </c>
      <c r="X20" s="34" t="n">
        <v>23</v>
      </c>
      <c r="Y20" s="34" t="n">
        <v>24</v>
      </c>
      <c r="Z20" s="34" t="n">
        <v>25</v>
      </c>
      <c r="AA20" s="34" t="n">
        <v>26</v>
      </c>
      <c r="AB20" s="34" t="n">
        <v>27</v>
      </c>
      <c r="AC20" s="34" t="n">
        <v>28</v>
      </c>
      <c r="AD20" s="34" t="n">
        <v>29</v>
      </c>
      <c r="AE20" s="34" t="n">
        <v>30</v>
      </c>
    </row>
    <row r="21" customFormat="false" ht="15" hidden="false" customHeight="true" outlineLevel="0" collapsed="false">
      <c r="A21" s="26" t="s">
        <v>475</v>
      </c>
      <c r="B21" s="35" t="n">
        <v>0.029992</v>
      </c>
      <c r="C21" s="35" t="n">
        <v>0.027858</v>
      </c>
      <c r="D21" s="35" t="n">
        <v>0.026246</v>
      </c>
      <c r="E21" s="35" t="n">
        <v>0.025034</v>
      </c>
      <c r="F21" s="35" t="n">
        <v>0.024131</v>
      </c>
      <c r="G21" s="35" t="n">
        <v>0.023465</v>
      </c>
      <c r="H21" s="35" t="n">
        <v>0.022981</v>
      </c>
      <c r="I21" s="35" t="n">
        <v>0.022638</v>
      </c>
      <c r="J21" s="35" t="n">
        <v>0.022402</v>
      </c>
      <c r="K21" s="35" t="n">
        <v>0.022249</v>
      </c>
      <c r="L21" s="35" t="n">
        <v>0.022159</v>
      </c>
      <c r="M21" s="35" t="n">
        <v>0.022117</v>
      </c>
      <c r="N21" s="35" t="n">
        <v>0.022111</v>
      </c>
      <c r="O21" s="35" t="n">
        <v>0.02213</v>
      </c>
      <c r="P21" s="35" t="n">
        <v>0.022168</v>
      </c>
      <c r="Q21" s="35" t="n">
        <v>0.022219</v>
      </c>
      <c r="R21" s="35" t="n">
        <v>0.022279</v>
      </c>
      <c r="S21" s="35" t="n">
        <v>0.022342</v>
      </c>
      <c r="T21" s="35" t="n">
        <v>0.022407</v>
      </c>
      <c r="U21" s="35" t="n">
        <v>0.022471</v>
      </c>
      <c r="V21" s="35" t="n">
        <v>0.022533</v>
      </c>
      <c r="W21" s="35" t="n">
        <v>0.02259</v>
      </c>
      <c r="X21" s="35" t="n">
        <v>0.022642</v>
      </c>
      <c r="Y21" s="35" t="n">
        <v>0.022688</v>
      </c>
      <c r="Z21" s="35" t="n">
        <v>0.022727</v>
      </c>
      <c r="AA21" s="35" t="n">
        <v>0.022759</v>
      </c>
      <c r="AB21" s="35" t="n">
        <v>0.022783</v>
      </c>
      <c r="AC21" s="35" t="n">
        <v>0.022799</v>
      </c>
      <c r="AD21" s="35" t="n">
        <v>0.022807</v>
      </c>
      <c r="AE21" s="35" t="n">
        <v>0.022806</v>
      </c>
    </row>
    <row r="22" customFormat="false" ht="15" hidden="false" customHeight="true" outlineLevel="0" collapsed="false">
      <c r="A22" s="26" t="s">
        <v>476</v>
      </c>
      <c r="B22" s="36" t="n">
        <f aca="false">B21</f>
        <v>0.029992</v>
      </c>
      <c r="C22" s="36" t="n">
        <f aca="false">(1+C21)^C20/(1+B21)^B20-1</f>
        <v>0.0257284213508453</v>
      </c>
      <c r="D22" s="36" t="n">
        <f aca="false">(1+D21)^D20/(1+C21)^C20-1</f>
        <v>0.0230295803823852</v>
      </c>
      <c r="E22" s="36" t="n">
        <f aca="false">(1+E21)^E20/(1+D21)^D20-1</f>
        <v>0.0214065814967732</v>
      </c>
      <c r="F22" s="36" t="n">
        <f aca="false">(1+F21)^F20/(1+E21)^E20-1</f>
        <v>0.0205269479410897</v>
      </c>
      <c r="G22" s="36" t="n">
        <f aca="false">(1+G21)^G20/(1+F21)^F20-1</f>
        <v>0.0201414909409623</v>
      </c>
      <c r="H22" s="36" t="n">
        <f aca="false">(1+H21)^H20/(1+G21)^G20-1</f>
        <v>0.0200818028027501</v>
      </c>
      <c r="I22" s="36" t="n">
        <f aca="false">(1+I21)^I20/(1+H21)^H20-1</f>
        <v>0.0202402180107837</v>
      </c>
      <c r="J22" s="36" t="n">
        <f aca="false">(1+J21)^J20/(1+I21)^I20-1</f>
        <v>0.0205159596149356</v>
      </c>
      <c r="K22" s="36" t="n">
        <f aca="false">(1+K21)^K20/(1+J21)^J20-1</f>
        <v>0.0208730299126345</v>
      </c>
      <c r="L22" s="36" t="n">
        <f aca="false">(1+L21)^L20/(1+K21)^K20-1</f>
        <v>0.0212594356887161</v>
      </c>
      <c r="M22" s="36" t="n">
        <f aca="false">(1+M21)^M20/(1+L21)^L20-1</f>
        <v>0.0216551138844878</v>
      </c>
      <c r="N22" s="36" t="n">
        <f aca="false">(1+N21)^N20/(1+M21)^M20-1</f>
        <v>0.0220390027471808</v>
      </c>
      <c r="O22" s="36" t="n">
        <f aca="false">(1+O21)^O20/(1+N21)^N20-1</f>
        <v>0.0223770321427348</v>
      </c>
      <c r="P22" s="36" t="n">
        <f aca="false">(1+P21)^P20/(1+O21)^O20-1</f>
        <v>0.0227001483611953</v>
      </c>
      <c r="Q22" s="36" t="n">
        <f aca="false">(1+Q21)^Q20/(1+P21)^P20-1</f>
        <v>0.0229843054220888</v>
      </c>
      <c r="R22" s="36" t="n">
        <f aca="false">(1+R21)^R20/(1+Q21)^Q20-1</f>
        <v>0.0232394790986237</v>
      </c>
      <c r="S22" s="36" t="n">
        <f aca="false">(1+S21)^S20/(1+R21)^R20-1</f>
        <v>0.0234135942180562</v>
      </c>
      <c r="T22" s="36" t="n">
        <f aca="false">(1+T21)^T20/(1+S21)^S20-1</f>
        <v>0.0235777069408887</v>
      </c>
      <c r="U22" s="36" t="n">
        <f aca="false">(1+U21)^U20/(1+T21)^T20-1</f>
        <v>0.0236877614701088</v>
      </c>
      <c r="V22" s="36" t="n">
        <f aca="false">(1+V21)^V20/(1+U21)^U20-1</f>
        <v>0.0237737898024439</v>
      </c>
      <c r="W22" s="36" t="n">
        <f aca="false">(1+W21)^W20/(1+V21)^V20-1</f>
        <v>0.0237877342530664</v>
      </c>
      <c r="X22" s="36" t="n">
        <f aca="false">(1+X21)^X20/(1+W21)^W20-1</f>
        <v>0.0237866692375013</v>
      </c>
      <c r="Y22" s="36" t="n">
        <f aca="false">(1+Y21)^Y20/(1+X21)^X20-1</f>
        <v>0.0237465712739078</v>
      </c>
      <c r="Z22" s="36" t="n">
        <f aca="false">(1+Z21)^Z20/(1+Y21)^Y20-1</f>
        <v>0.0236634463076055</v>
      </c>
      <c r="AA22" s="36" t="n">
        <f aca="false">(1+AA21)^AA20/(1+Z21)^Z20-1</f>
        <v>0.0235593254859989</v>
      </c>
      <c r="AB22" s="36" t="n">
        <f aca="false">(1+AB21)^AB20/(1+AA21)^AA20-1</f>
        <v>0.0234071977157293</v>
      </c>
      <c r="AC22" s="36" t="n">
        <f aca="false">(1+AC21)^AC20/(1+AB21)^AB20-1</f>
        <v>0.0232310946252736</v>
      </c>
      <c r="AD22" s="36" t="n">
        <f aca="false">(1+AD21)^AD20/(1+AC21)^AC20-1</f>
        <v>0.0230310254065849</v>
      </c>
      <c r="AE22" s="36" t="n">
        <f aca="false">(1+AE21)^AE20/(1+AD21)^AD20-1</f>
        <v>0.0227770004252987</v>
      </c>
    </row>
    <row r="23" customFormat="false" ht="15" hidden="false" customHeight="true" outlineLevel="0" collapsed="false">
      <c r="A23" s="26" t="s">
        <v>477</v>
      </c>
      <c r="B23" s="35" t="n">
        <v>0.010253</v>
      </c>
      <c r="C23" s="35" t="n">
        <v>0.013082</v>
      </c>
      <c r="D23" s="35" t="n">
        <v>0.015355</v>
      </c>
      <c r="E23" s="35" t="n">
        <v>0.017195</v>
      </c>
      <c r="F23" s="35" t="n">
        <v>0.018697</v>
      </c>
      <c r="G23" s="35" t="n">
        <v>0.019931</v>
      </c>
      <c r="H23" s="35" t="n">
        <v>0.020954</v>
      </c>
      <c r="I23" s="35" t="n">
        <v>0.021809</v>
      </c>
      <c r="J23" s="35" t="n">
        <v>0.022528</v>
      </c>
      <c r="K23" s="35" t="n">
        <v>0.023138</v>
      </c>
      <c r="L23" s="35" t="n">
        <v>0.023659</v>
      </c>
      <c r="M23" s="35" t="n">
        <v>0.024108</v>
      </c>
      <c r="N23" s="35" t="n">
        <v>0.024497</v>
      </c>
      <c r="O23" s="35" t="n">
        <v>0.024837</v>
      </c>
      <c r="P23" s="35" t="n">
        <v>0.025135</v>
      </c>
      <c r="Q23" s="35" t="n">
        <v>0.025399</v>
      </c>
      <c r="R23" s="35" t="n">
        <v>0.025634</v>
      </c>
      <c r="S23" s="35" t="n">
        <v>0.025843</v>
      </c>
      <c r="T23" s="35" t="n">
        <v>0.026032</v>
      </c>
      <c r="U23" s="35" t="n">
        <v>0.026202</v>
      </c>
      <c r="V23" s="35" t="n">
        <v>0.026356</v>
      </c>
      <c r="W23" s="35" t="n">
        <v>0.026496</v>
      </c>
      <c r="X23" s="35" t="n">
        <v>0.026625</v>
      </c>
      <c r="Y23" s="35" t="n">
        <v>0.026743</v>
      </c>
      <c r="Z23" s="35" t="n">
        <v>0.026851</v>
      </c>
      <c r="AA23" s="35" t="n">
        <v>0.026951</v>
      </c>
      <c r="AB23" s="35" t="n">
        <v>0.027044</v>
      </c>
      <c r="AC23" s="35" t="n">
        <v>0.02713</v>
      </c>
      <c r="AD23" s="35" t="n">
        <v>0.02721</v>
      </c>
      <c r="AE23" s="35" t="n">
        <v>0.027285</v>
      </c>
    </row>
    <row r="24" customFormat="false" ht="15" hidden="false" customHeight="true" outlineLevel="0" collapsed="false">
      <c r="A24" s="26" t="s">
        <v>478</v>
      </c>
      <c r="B24" s="36" t="n">
        <f aca="false">B23</f>
        <v>0.010253</v>
      </c>
      <c r="C24" s="36" t="n">
        <f aca="false">(1+C23)^C20/(1+B23)^B20-1</f>
        <v>0.0159189220165641</v>
      </c>
      <c r="D24" s="36" t="n">
        <f aca="false">(1+D23)^D20/(1+C23)^C20-1</f>
        <v>0.0199163108819183</v>
      </c>
      <c r="E24" s="36" t="n">
        <f aca="false">(1+E23)^E20/(1+D23)^D20-1</f>
        <v>0.0227350305827072</v>
      </c>
      <c r="F24" s="36" t="n">
        <f aca="false">(1+F23)^F20/(1+E23)^E20-1</f>
        <v>0.0247272114510739</v>
      </c>
      <c r="G24" s="36" t="n">
        <f aca="false">(1+G23)^G20/(1+F23)^F20-1</f>
        <v>0.0261234583614007</v>
      </c>
      <c r="H24" s="36" t="n">
        <f aca="false">(1+H23)^H20/(1+G23)^G20-1</f>
        <v>0.0271135836998802</v>
      </c>
      <c r="I24" s="36" t="n">
        <f aca="false">(1+I23)^I20/(1+H23)^H20-1</f>
        <v>0.0278140822162616</v>
      </c>
      <c r="J24" s="36" t="n">
        <f aca="false">(1+J23)^J20/(1+I23)^I20-1</f>
        <v>0.0282982433157826</v>
      </c>
      <c r="K24" s="36" t="n">
        <f aca="false">(1+K23)^K20/(1+J23)^J20-1</f>
        <v>0.0286444016686651</v>
      </c>
      <c r="L24" s="36" t="n">
        <f aca="false">(1+L23)^L20/(1+K23)^K20-1</f>
        <v>0.0288836139474513</v>
      </c>
      <c r="M24" s="36" t="n">
        <f aca="false">(1+M23)^M20/(1+L23)^L20-1</f>
        <v>0.0290600171659692</v>
      </c>
      <c r="N24" s="36" t="n">
        <f aca="false">(1+N23)^N20/(1+M23)^M20-1</f>
        <v>0.0291765412557872</v>
      </c>
      <c r="O24" s="36" t="n">
        <f aca="false">(1+O23)^O20/(1+N23)^N20-1</f>
        <v>0.0292672817063584</v>
      </c>
      <c r="P24" s="36" t="n">
        <f aca="false">(1+P23)^P20/(1+O23)^O20-1</f>
        <v>0.0293161099163826</v>
      </c>
      <c r="Q24" s="36" t="n">
        <f aca="false">(1+Q23)^Q20/(1+P23)^P20-1</f>
        <v>0.0293671682701668</v>
      </c>
      <c r="R24" s="36" t="n">
        <f aca="false">(1+R23)^R20/(1+Q23)^Q20-1</f>
        <v>0.0294013329633336</v>
      </c>
      <c r="S24" s="36" t="n">
        <f aca="false">(1+S23)^S20/(1+R23)^R20-1</f>
        <v>0.0294025232450363</v>
      </c>
      <c r="T24" s="36" t="n">
        <f aca="false">(1+T23)^T20/(1+S23)^S20-1</f>
        <v>0.0294399606322571</v>
      </c>
      <c r="U24" s="36" t="n">
        <f aca="false">(1+U23)^U20/(1+T23)^T20-1</f>
        <v>0.0294373570089088</v>
      </c>
      <c r="V24" s="36" t="n">
        <f aca="false">(1+V23)^V20/(1+U23)^U20-1</f>
        <v>0.0294408578122849</v>
      </c>
      <c r="W24" s="36" t="n">
        <f aca="false">(1+W23)^W20/(1+V23)^V20-1</f>
        <v>0.0294404153489778</v>
      </c>
      <c r="X24" s="36" t="n">
        <f aca="false">(1+X23)^X20/(1+W23)^W20-1</f>
        <v>0.0294671051099844</v>
      </c>
      <c r="Y24" s="36" t="n">
        <f aca="false">(1+Y23)^Y20/(1+X23)^X20-1</f>
        <v>0.0294607465142664</v>
      </c>
      <c r="Z24" s="36" t="n">
        <f aca="false">(1+Z23)^Z20/(1+Y23)^Y20-1</f>
        <v>0.0294464108082602</v>
      </c>
      <c r="AA24" s="36" t="n">
        <f aca="false">(1+AA23)^AA20/(1+Z23)^Z20-1</f>
        <v>0.029454167483336</v>
      </c>
      <c r="AB24" s="36" t="n">
        <f aca="false">(1+AB23)^AB20/(1+AA23)^AA20-1</f>
        <v>0.0294649583604749</v>
      </c>
      <c r="AC24" s="36" t="n">
        <f aca="false">(1+AC23)^AC20/(1+AB23)^AB20-1</f>
        <v>0.0294547240487404</v>
      </c>
      <c r="AD24" s="36" t="n">
        <f aca="false">(1+AD23)^AD20/(1+AC23)^AC20-1</f>
        <v>0.0294525315416265</v>
      </c>
      <c r="AE24" s="36" t="n">
        <f aca="false">(1+AE23)^AE20/(1+AD23)^AD20-1</f>
        <v>0.0294623836832437</v>
      </c>
    </row>
    <row r="25" customFormat="false" ht="15" hidden="false" customHeight="true" outlineLevel="0" collapsed="false">
      <c r="A25" s="26" t="s">
        <v>479</v>
      </c>
      <c r="B25" s="36" t="n">
        <f aca="false">in_erp</f>
        <v>0.04</v>
      </c>
    </row>
    <row r="26" customFormat="false" ht="15" hidden="false" customHeight="true" outlineLevel="0" collapsed="false">
      <c r="A26" s="26" t="s">
        <v>480</v>
      </c>
      <c r="B26" s="36" t="n">
        <f aca="false">IF(cfg_coe_mode="Single",$AE$24+finrate_erp,B24+finrate_erp)</f>
        <v>0.050253</v>
      </c>
      <c r="C26" s="36" t="n">
        <f aca="false">IF(cfg_coe_mode="Single",$AE$24+finrate_erp,C24+finrate_erp)</f>
        <v>0.0559189220165641</v>
      </c>
      <c r="D26" s="36" t="n">
        <f aca="false">IF(cfg_coe_mode="Single",$AE$24+finrate_erp,D24+finrate_erp)</f>
        <v>0.0599163108819183</v>
      </c>
      <c r="E26" s="36" t="n">
        <f aca="false">IF(cfg_coe_mode="Single",$AE$24+finrate_erp,E24+finrate_erp)</f>
        <v>0.0627350305827072</v>
      </c>
      <c r="F26" s="36" t="n">
        <f aca="false">IF(cfg_coe_mode="Single",$AE$24+finrate_erp,F24+finrate_erp)</f>
        <v>0.0647272114510739</v>
      </c>
      <c r="G26" s="36" t="n">
        <f aca="false">IF(cfg_coe_mode="Single",$AE$24+finrate_erp,G24+finrate_erp)</f>
        <v>0.0661234583614007</v>
      </c>
      <c r="H26" s="36" t="n">
        <f aca="false">IF(cfg_coe_mode="Single",$AE$24+finrate_erp,H24+finrate_erp)</f>
        <v>0.0671135836998802</v>
      </c>
      <c r="I26" s="36" t="n">
        <f aca="false">IF(cfg_coe_mode="Single",$AE$24+finrate_erp,I24+finrate_erp)</f>
        <v>0.0678140822162616</v>
      </c>
      <c r="J26" s="36" t="n">
        <f aca="false">IF(cfg_coe_mode="Single",$AE$24+finrate_erp,J24+finrate_erp)</f>
        <v>0.0682982433157826</v>
      </c>
      <c r="K26" s="36" t="n">
        <f aca="false">IF(cfg_coe_mode="Single",$AE$24+finrate_erp,K24+finrate_erp)</f>
        <v>0.0686444016686651</v>
      </c>
      <c r="L26" s="36" t="n">
        <f aca="false">IF(cfg_coe_mode="Single",$AE$24+finrate_erp,L24+finrate_erp)</f>
        <v>0.0688836139474513</v>
      </c>
      <c r="M26" s="36" t="n">
        <f aca="false">IF(cfg_coe_mode="Single",$AE$24+finrate_erp,M24+finrate_erp)</f>
        <v>0.0690600171659692</v>
      </c>
      <c r="N26" s="36" t="n">
        <f aca="false">IF(cfg_coe_mode="Single",$AE$24+finrate_erp,N24+finrate_erp)</f>
        <v>0.0691765412557872</v>
      </c>
      <c r="O26" s="36" t="n">
        <f aca="false">IF(cfg_coe_mode="Single",$AE$24+finrate_erp,O24+finrate_erp)</f>
        <v>0.0692672817063584</v>
      </c>
      <c r="P26" s="36" t="n">
        <f aca="false">IF(cfg_coe_mode="Single",$AE$24+finrate_erp,P24+finrate_erp)</f>
        <v>0.0693161099163826</v>
      </c>
      <c r="Q26" s="36" t="n">
        <f aca="false">IF(cfg_coe_mode="Single",$AE$24+finrate_erp,Q24+finrate_erp)</f>
        <v>0.0693671682701668</v>
      </c>
      <c r="R26" s="36" t="n">
        <f aca="false">IF(cfg_coe_mode="Single",$AE$24+finrate_erp,R24+finrate_erp)</f>
        <v>0.0694013329633336</v>
      </c>
      <c r="S26" s="36" t="n">
        <f aca="false">IF(cfg_coe_mode="Single",$AE$24+finrate_erp,S24+finrate_erp)</f>
        <v>0.0694025232450364</v>
      </c>
      <c r="T26" s="36" t="n">
        <f aca="false">IF(cfg_coe_mode="Single",$AE$24+finrate_erp,T24+finrate_erp)</f>
        <v>0.0694399606322571</v>
      </c>
      <c r="U26" s="36" t="n">
        <f aca="false">IF(cfg_coe_mode="Single",$AE$24+finrate_erp,U24+finrate_erp)</f>
        <v>0.0694373570089088</v>
      </c>
      <c r="V26" s="36" t="n">
        <f aca="false">IF(cfg_coe_mode="Single",$AE$24+finrate_erp,V24+finrate_erp)</f>
        <v>0.0694408578122849</v>
      </c>
      <c r="W26" s="36" t="n">
        <f aca="false">IF(cfg_coe_mode="Single",$AE$24+finrate_erp,W24+finrate_erp)</f>
        <v>0.0694404153489778</v>
      </c>
      <c r="X26" s="36" t="n">
        <f aca="false">IF(cfg_coe_mode="Single",$AE$24+finrate_erp,X24+finrate_erp)</f>
        <v>0.0694671051099844</v>
      </c>
      <c r="Y26" s="36" t="n">
        <f aca="false">IF(cfg_coe_mode="Single",$AE$24+finrate_erp,Y24+finrate_erp)</f>
        <v>0.0694607465142665</v>
      </c>
      <c r="Z26" s="36" t="n">
        <f aca="false">IF(cfg_coe_mode="Single",$AE$24+finrate_erp,Z24+finrate_erp)</f>
        <v>0.0694464108082602</v>
      </c>
      <c r="AA26" s="36" t="n">
        <f aca="false">IF(cfg_coe_mode="Single",$AE$24+finrate_erp,AA24+finrate_erp)</f>
        <v>0.069454167483336</v>
      </c>
      <c r="AB26" s="36" t="n">
        <f aca="false">IF(cfg_coe_mode="Single",$AE$24+finrate_erp,AB24+finrate_erp)</f>
        <v>0.0694649583604749</v>
      </c>
      <c r="AC26" s="36" t="n">
        <f aca="false">IF(cfg_coe_mode="Single",$AE$24+finrate_erp,AC24+finrate_erp)</f>
        <v>0.0694547240487404</v>
      </c>
      <c r="AD26" s="36" t="n">
        <f aca="false">IF(cfg_coe_mode="Single",$AE$24+finrate_erp,AD24+finrate_erp)</f>
        <v>0.0694525315416265</v>
      </c>
      <c r="AE26" s="36" t="n">
        <f aca="false">IF(cfg_coe_mode="Single",$AE$24+finrate_erp,AE24+finrate_erp)</f>
        <v>0.0694623836832437</v>
      </c>
    </row>
    <row r="27" customFormat="false" ht="15" hidden="false" customHeight="true" outlineLevel="0" collapsed="false">
      <c r="A27" s="26" t="s">
        <v>481</v>
      </c>
      <c r="B27" s="35" t="n">
        <v>0.05</v>
      </c>
      <c r="C27" s="35" t="n">
        <v>0.05</v>
      </c>
      <c r="D27" s="35" t="n">
        <v>0.05</v>
      </c>
      <c r="E27" s="35" t="n">
        <v>0.05</v>
      </c>
      <c r="F27" s="35" t="n">
        <v>0.05</v>
      </c>
      <c r="G27" s="35" t="n">
        <v>0.05</v>
      </c>
      <c r="H27" s="35" t="n">
        <v>0.05</v>
      </c>
      <c r="I27" s="35" t="n">
        <v>0.05</v>
      </c>
      <c r="J27" s="35" t="n">
        <v>0.05</v>
      </c>
      <c r="K27" s="35" t="n">
        <v>0.05</v>
      </c>
      <c r="L27" s="35" t="n">
        <v>0.05</v>
      </c>
      <c r="M27" s="35" t="n">
        <v>0.05</v>
      </c>
      <c r="N27" s="35" t="n">
        <v>0.05</v>
      </c>
      <c r="O27" s="35" t="n">
        <v>0.05</v>
      </c>
      <c r="P27" s="35" t="n">
        <v>0.05</v>
      </c>
      <c r="Q27" s="35" t="n">
        <v>0.05</v>
      </c>
      <c r="R27" s="35" t="n">
        <v>0.05</v>
      </c>
      <c r="S27" s="35" t="n">
        <v>0.05</v>
      </c>
      <c r="T27" s="35" t="n">
        <v>0.05</v>
      </c>
      <c r="U27" s="35" t="n">
        <v>0.05</v>
      </c>
      <c r="V27" s="35" t="n">
        <v>0.05</v>
      </c>
      <c r="W27" s="35" t="n">
        <v>0.05</v>
      </c>
      <c r="X27" s="35" t="n">
        <v>0.05</v>
      </c>
      <c r="Y27" s="35" t="n">
        <v>0.05</v>
      </c>
      <c r="Z27" s="35" t="n">
        <v>0.05</v>
      </c>
      <c r="AA27" s="35" t="n">
        <v>0.05</v>
      </c>
      <c r="AB27" s="35" t="n">
        <v>0.05</v>
      </c>
      <c r="AC27" s="35" t="n">
        <v>0.05</v>
      </c>
      <c r="AD27" s="35" t="n">
        <v>0.06325</v>
      </c>
      <c r="AE27" s="35" t="n">
        <v>0.06345</v>
      </c>
    </row>
    <row r="28" customFormat="false" ht="15" hidden="false" customHeight="true" outlineLevel="0" collapsed="false">
      <c r="A28" s="26" t="s">
        <v>482</v>
      </c>
      <c r="B28" s="36" t="n">
        <f aca="false">B27</f>
        <v>0.05</v>
      </c>
      <c r="C28" s="36" t="n">
        <f aca="false">(1+C27)^C20/(1+B27)^B20-1</f>
        <v>0.05</v>
      </c>
      <c r="D28" s="36" t="n">
        <f aca="false">(1+D27)^D20/(1+C27)^C20-1</f>
        <v>0.05</v>
      </c>
      <c r="E28" s="36" t="n">
        <f aca="false">(1+E27)^E20/(1+D27)^D20-1</f>
        <v>0.05</v>
      </c>
      <c r="F28" s="36" t="n">
        <f aca="false">(1+F27)^F20/(1+E27)^E20-1</f>
        <v>0.05</v>
      </c>
      <c r="G28" s="36" t="n">
        <f aca="false">(1+G27)^G20/(1+F27)^F20-1</f>
        <v>0.05</v>
      </c>
      <c r="H28" s="36" t="n">
        <f aca="false">(1+H27)^H20/(1+G27)^G20-1</f>
        <v>0.05</v>
      </c>
      <c r="I28" s="36" t="n">
        <f aca="false">(1+I27)^I20/(1+H27)^H20-1</f>
        <v>0.05</v>
      </c>
      <c r="J28" s="36" t="n">
        <f aca="false">(1+J27)^J20/(1+I27)^I20-1</f>
        <v>0.05</v>
      </c>
      <c r="K28" s="36" t="n">
        <f aca="false">(1+K27)^K20/(1+J27)^J20-1</f>
        <v>0.05</v>
      </c>
      <c r="L28" s="36" t="n">
        <f aca="false">(1+L27)^L20/(1+K27)^K20-1</f>
        <v>0.05</v>
      </c>
      <c r="M28" s="36" t="n">
        <f aca="false">(1+M27)^M20/(1+L27)^L20-1</f>
        <v>0.05</v>
      </c>
      <c r="N28" s="36" t="n">
        <f aca="false">(1+N27)^N20/(1+M27)^M20-1</f>
        <v>0.05</v>
      </c>
      <c r="O28" s="36" t="n">
        <f aca="false">(1+O27)^O20/(1+N27)^N20-1</f>
        <v>0.05</v>
      </c>
      <c r="P28" s="36" t="n">
        <f aca="false">(1+P27)^P20/(1+O27)^O20-1</f>
        <v>0.05</v>
      </c>
      <c r="Q28" s="36" t="n">
        <f aca="false">(1+Q27)^Q20/(1+P27)^P20-1</f>
        <v>0.0499999999999998</v>
      </c>
      <c r="R28" s="36" t="n">
        <f aca="false">(1+R27)^R20/(1+Q27)^Q20-1</f>
        <v>0.05</v>
      </c>
      <c r="S28" s="36" t="n">
        <f aca="false">(1+S27)^S20/(1+R27)^R20-1</f>
        <v>0.05</v>
      </c>
      <c r="T28" s="36" t="n">
        <f aca="false">(1+T27)^T20/(1+S27)^S20-1</f>
        <v>0.0500000000000003</v>
      </c>
      <c r="U28" s="36" t="n">
        <f aca="false">(1+U27)^U20/(1+T27)^T20-1</f>
        <v>0.0499999999999998</v>
      </c>
      <c r="V28" s="36" t="n">
        <f aca="false">(1+V27)^V20/(1+U27)^U20-1</f>
        <v>0.05</v>
      </c>
      <c r="W28" s="36" t="n">
        <f aca="false">(1+W27)^W20/(1+V27)^V20-1</f>
        <v>0.05</v>
      </c>
      <c r="X28" s="36" t="n">
        <f aca="false">(1+X27)^X20/(1+W27)^W20-1</f>
        <v>0.05</v>
      </c>
      <c r="Y28" s="36" t="n">
        <f aca="false">(1+Y27)^Y20/(1+X27)^X20-1</f>
        <v>0.05</v>
      </c>
      <c r="Z28" s="36" t="n">
        <f aca="false">(1+Z27)^Z20/(1+Y27)^Y20-1</f>
        <v>0.05</v>
      </c>
      <c r="AA28" s="36" t="n">
        <f aca="false">(1+AA27)^AA20/(1+Z27)^Z20-1</f>
        <v>0.05</v>
      </c>
      <c r="AB28" s="36" t="n">
        <f aca="false">(1+AB27)^AB20/(1+AA27)^AA20-1</f>
        <v>0.05</v>
      </c>
      <c r="AC28" s="36" t="n">
        <f aca="false">(1+AC27)^AC20/(1+AB27)^AB20-1</f>
        <v>0.05</v>
      </c>
      <c r="AD28" s="36" t="n">
        <f aca="false">(1+AD27)^AD20/(1+AC27)^AC20-1</f>
        <v>0.510518248170535</v>
      </c>
      <c r="AE28" s="36" t="n">
        <f aca="false">(1+AE27)^AE20/(1+AD27)^AD20-1</f>
        <v>0.0692663936860307</v>
      </c>
    </row>
    <row r="29" customFormat="false" ht="15" hidden="false" customHeight="true" outlineLevel="0" collapsed="false">
      <c r="A29" s="26" t="s">
        <v>483</v>
      </c>
      <c r="B29" s="36" t="n">
        <f aca="false">IF(cfg_rd_mode="Single",(1+$AE$28)/(1+$AE$22)-1,(1+B28)/(1+B22)-1)</f>
        <v>0.0194253935952902</v>
      </c>
      <c r="C29" s="36" t="n">
        <f aca="false">IF(cfg_rd_mode="Single",(1+$AE$28)/(1+$AE$22)-1,(1+C28)/(1+C22)-1)</f>
        <v>0.0236627728587164</v>
      </c>
      <c r="D29" s="36" t="n">
        <f aca="false">IF(cfg_rd_mode="Single",(1+$AE$28)/(1+$AE$22)-1,(1+D28)/(1+D22)-1)</f>
        <v>0.0263632842439745</v>
      </c>
      <c r="E29" s="36" t="n">
        <f aca="false">IF(cfg_rd_mode="Single",(1+$AE$28)/(1+$AE$22)-1,(1+E28)/(1+E22)-1)</f>
        <v>0.0279941592517701</v>
      </c>
      <c r="F29" s="36" t="n">
        <f aca="false">IF(cfg_rd_mode="Single",(1+$AE$28)/(1+$AE$22)-1,(1+F28)/(1+F22)-1)</f>
        <v>0.028880229099655</v>
      </c>
      <c r="G29" s="36" t="n">
        <f aca="false">IF(cfg_rd_mode="Single",(1+$AE$28)/(1+$AE$22)-1,(1+G28)/(1+G22)-1)</f>
        <v>0.0292689880023376</v>
      </c>
      <c r="H29" s="36" t="n">
        <f aca="false">IF(cfg_rd_mode="Single",(1+$AE$28)/(1+$AE$22)-1,(1+H28)/(1+H22)-1)</f>
        <v>0.0293292137111432</v>
      </c>
      <c r="I29" s="36" t="n">
        <f aca="false">IF(cfg_rd_mode="Single",(1+$AE$28)/(1+$AE$22)-1,(1+I28)/(1+I22)-1)</f>
        <v>0.0291693872323917</v>
      </c>
      <c r="J29" s="36" t="n">
        <f aca="false">IF(cfg_rd_mode="Single",(1+$AE$28)/(1+$AE$22)-1,(1+J28)/(1+J22)-1)</f>
        <v>0.0288913074874297</v>
      </c>
      <c r="K29" s="36" t="n">
        <f aca="false">IF(cfg_rd_mode="Single",(1+$AE$28)/(1+$AE$22)-1,(1+K28)/(1+K22)-1)</f>
        <v>0.0285314326404118</v>
      </c>
      <c r="L29" s="36" t="n">
        <f aca="false">IF(cfg_rd_mode="Single",(1+$AE$28)/(1+$AE$22)-1,(1+L28)/(1+L22)-1)</f>
        <v>0.0281422754169236</v>
      </c>
      <c r="M29" s="36" t="n">
        <f aca="false">IF(cfg_rd_mode="Single",(1+$AE$28)/(1+$AE$22)-1,(1+M28)/(1+M22)-1)</f>
        <v>0.0277440847995569</v>
      </c>
      <c r="N29" s="36" t="n">
        <f aca="false">IF(cfg_rd_mode="Single",(1+$AE$28)/(1+$AE$22)-1,(1+N28)/(1+N22)-1)</f>
        <v>0.0273580530465685</v>
      </c>
      <c r="O29" s="36" t="n">
        <f aca="false">IF(cfg_rd_mode="Single",(1+$AE$28)/(1+$AE$22)-1,(1+O28)/(1+O22)-1)</f>
        <v>0.0270183767717982</v>
      </c>
      <c r="P29" s="36" t="n">
        <f aca="false">IF(cfg_rd_mode="Single",(1+$AE$28)/(1+$AE$22)-1,(1+P28)/(1+P22)-1)</f>
        <v>0.0266938962339556</v>
      </c>
      <c r="Q29" s="36" t="n">
        <f aca="false">IF(cfg_rd_mode="Single",(1+$AE$28)/(1+$AE$22)-1,(1+Q28)/(1+Q22)-1)</f>
        <v>0.0264087087501936</v>
      </c>
      <c r="R29" s="36" t="n">
        <f aca="false">IF(cfg_rd_mode="Single",(1+$AE$28)/(1+$AE$22)-1,(1+R28)/(1+R22)-1)</f>
        <v>0.0261527447366963</v>
      </c>
      <c r="S29" s="36" t="n">
        <f aca="false">IF(cfg_rd_mode="Single",(1+$AE$28)/(1+$AE$22)-1,(1+S28)/(1+S22)-1)</f>
        <v>0.0259781636008629</v>
      </c>
      <c r="T29" s="36" t="n">
        <f aca="false">IF(cfg_rd_mode="Single",(1+$AE$28)/(1+$AE$22)-1,(1+T28)/(1+T22)-1)</f>
        <v>0.0258136660069301</v>
      </c>
      <c r="U29" s="36" t="n">
        <f aca="false">IF(cfg_rd_mode="Single",(1+$AE$28)/(1+$AE$22)-1,(1+U28)/(1+U22)-1)</f>
        <v>0.0257033829261613</v>
      </c>
      <c r="V29" s="36" t="n">
        <f aca="false">IF(cfg_rd_mode="Single",(1+$AE$28)/(1+$AE$22)-1,(1+V28)/(1+V22)-1)</f>
        <v>0.0256171924489461</v>
      </c>
      <c r="W29" s="36" t="n">
        <f aca="false">IF(cfg_rd_mode="Single",(1+$AE$28)/(1+$AE$22)-1,(1+W28)/(1+W22)-1)</f>
        <v>0.0256032230802781</v>
      </c>
      <c r="X29" s="36" t="n">
        <f aca="false">IF(cfg_rd_mode="Single",(1+$AE$28)/(1+$AE$22)-1,(1+X28)/(1+X22)-1)</f>
        <v>0.0256042899855513</v>
      </c>
      <c r="Y29" s="36" t="n">
        <f aca="false">IF(cfg_rd_mode="Single",(1+$AE$28)/(1+$AE$22)-1,(1+Y28)/(1+Y22)-1)</f>
        <v>0.0256444607120134</v>
      </c>
      <c r="Z29" s="36" t="n">
        <f aca="false">IF(cfg_rd_mode="Single",(1+$AE$28)/(1+$AE$22)-1,(1+Z28)/(1+Z22)-1)</f>
        <v>0.025727746543448</v>
      </c>
      <c r="AA29" s="36" t="n">
        <f aca="false">IF(cfg_rd_mode="Single",(1+$AE$28)/(1+$AE$22)-1,(1+AA28)/(1+AA22)-1)</f>
        <v>0.025832087946096</v>
      </c>
      <c r="AB29" s="36" t="n">
        <f aca="false">IF(cfg_rd_mode="Single",(1+$AE$28)/(1+$AE$22)-1,(1+AB28)/(1+AB22)-1)</f>
        <v>0.0259845761722475</v>
      </c>
      <c r="AC29" s="36" t="n">
        <f aca="false">IF(cfg_rd_mode="Single",(1+$AE$28)/(1+$AE$22)-1,(1+AC28)/(1+AC22)-1)</f>
        <v>0.0261611531503836</v>
      </c>
      <c r="AD29" s="36" t="n">
        <f aca="false">IF(cfg_rd_mode="Single",(1+$AE$28)/(1+$AE$22)-1,(1+AD28)/(1+AD22)-1)</f>
        <v>0.476512647864425</v>
      </c>
      <c r="AE29" s="36" t="n">
        <f aca="false">IF(cfg_rd_mode="Single",(1+$AE$28)/(1+$AE$22)-1,(1+AE28)/(1+AE22)-1)</f>
        <v>0.0454540855351659</v>
      </c>
    </row>
    <row r="30" customFormat="false" ht="15" hidden="false" customHeight="true" outlineLevel="0" collapsed="false">
      <c r="A30" s="7" t="s">
        <v>484</v>
      </c>
      <c r="B30" s="37" t="n">
        <f aca="false">B27-(B23+B21)</f>
        <v>0.009755</v>
      </c>
      <c r="C30" s="37" t="n">
        <f aca="false">C27-(C23+C21)</f>
        <v>0.00906</v>
      </c>
      <c r="D30" s="37" t="n">
        <f aca="false">D27-(D23+D21)</f>
        <v>0.008399</v>
      </c>
      <c r="E30" s="37" t="n">
        <f aca="false">E27-(E23+E21)</f>
        <v>0.007771</v>
      </c>
      <c r="F30" s="37" t="n">
        <f aca="false">F27-(F23+F21)</f>
        <v>0.00717200000000001</v>
      </c>
      <c r="G30" s="37" t="n">
        <f aca="false">G27-(G23+G21)</f>
        <v>0.006604</v>
      </c>
      <c r="H30" s="37" t="n">
        <f aca="false">H27-(H23+H21)</f>
        <v>0.006065</v>
      </c>
      <c r="I30" s="37" t="n">
        <f aca="false">I27-(I23+I21)</f>
        <v>0.005553</v>
      </c>
      <c r="J30" s="37" t="n">
        <f aca="false">J27-(J23+J21)</f>
        <v>0.00507000000000001</v>
      </c>
      <c r="K30" s="37" t="n">
        <f aca="false">K27-(K23+K21)</f>
        <v>0.00461300000000001</v>
      </c>
      <c r="L30" s="37" t="n">
        <f aca="false">L27-(L23+L21)</f>
        <v>0.00418200000000001</v>
      </c>
      <c r="M30" s="37" t="n">
        <f aca="false">M27-(M23+M21)</f>
        <v>0.003775</v>
      </c>
      <c r="N30" s="37" t="n">
        <f aca="false">N27-(N23+N21)</f>
        <v>0.00339200000000001</v>
      </c>
      <c r="O30" s="37" t="n">
        <f aca="false">O27-(O23+O21)</f>
        <v>0.003033</v>
      </c>
      <c r="P30" s="37" t="n">
        <f aca="false">P27-(P23+P21)</f>
        <v>0.00269700000000001</v>
      </c>
      <c r="Q30" s="37" t="n">
        <f aca="false">Q27-(Q23+Q21)</f>
        <v>0.002382</v>
      </c>
      <c r="R30" s="37" t="n">
        <f aca="false">R27-(R23+R21)</f>
        <v>0.00208700000000001</v>
      </c>
      <c r="S30" s="37" t="n">
        <f aca="false">S27-(S23+S21)</f>
        <v>0.001815</v>
      </c>
      <c r="T30" s="37" t="n">
        <f aca="false">T27-(T23+T21)</f>
        <v>0.00156100000000001</v>
      </c>
      <c r="U30" s="37" t="n">
        <f aca="false">U27-(U23+U21)</f>
        <v>0.001327</v>
      </c>
      <c r="V30" s="37" t="n">
        <f aca="false">V27-(V23+V21)</f>
        <v>0.001111</v>
      </c>
      <c r="W30" s="37" t="n">
        <f aca="false">W27-(W23+W21)</f>
        <v>0.000914000000000005</v>
      </c>
      <c r="X30" s="37" t="n">
        <f aca="false">X27-(X23+X21)</f>
        <v>0.000733000000000005</v>
      </c>
      <c r="Y30" s="37" t="n">
        <f aca="false">Y27-(Y23+Y21)</f>
        <v>0.000569</v>
      </c>
      <c r="Z30" s="37" t="n">
        <f aca="false">Z27-(Z23+Z21)</f>
        <v>0.000422000000000006</v>
      </c>
      <c r="AA30" s="37" t="n">
        <f aca="false">AA27-(AA23+AA21)</f>
        <v>0.000289999999999999</v>
      </c>
      <c r="AB30" s="37" t="n">
        <f aca="false">AB27-(AB23+AB21)</f>
        <v>0.000173000000000006</v>
      </c>
      <c r="AC30" s="37" t="n">
        <f aca="false">AC27-(AC23+AC21)</f>
        <v>7.10000000000016E-005</v>
      </c>
      <c r="AD30" s="37" t="n">
        <f aca="false">AD27-(AD23+AD21)</f>
        <v>0.013233</v>
      </c>
      <c r="AE30" s="37" t="n">
        <f aca="false">AE27-(AE23+AE21)</f>
        <v>0.013359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9" min="2" style="1" width="16"/>
  </cols>
  <sheetData>
    <row r="1" customFormat="false" ht="15" hidden="false" customHeight="true" outlineLevel="0" collapsed="false">
      <c r="A1" s="2" t="s">
        <v>485</v>
      </c>
    </row>
    <row r="2" customFormat="false" ht="15" hidden="false" customHeight="true" outlineLevel="0" collapsed="false">
      <c r="A2" s="3" t="s">
        <v>486</v>
      </c>
    </row>
    <row r="4" customFormat="false" ht="15" hidden="false" customHeight="true" outlineLevel="0" collapsed="false">
      <c r="A4" s="4" t="s">
        <v>487</v>
      </c>
    </row>
    <row r="6" customFormat="false" ht="15" hidden="false" customHeight="true" outlineLevel="0" collapsed="false">
      <c r="A6" s="23" t="s">
        <v>488</v>
      </c>
      <c r="B6" s="38" t="s">
        <v>489</v>
      </c>
      <c r="C6" s="38" t="s">
        <v>490</v>
      </c>
      <c r="D6" s="38" t="s">
        <v>491</v>
      </c>
      <c r="E6" s="38" t="s">
        <v>492</v>
      </c>
      <c r="F6" s="38" t="s">
        <v>493</v>
      </c>
      <c r="G6" s="38" t="s">
        <v>494</v>
      </c>
      <c r="H6" s="38" t="s">
        <v>495</v>
      </c>
      <c r="I6" s="38" t="s">
        <v>496</v>
      </c>
      <c r="J6" s="38" t="s">
        <v>497</v>
      </c>
    </row>
    <row r="7" customFormat="false" ht="15" hidden="false" customHeight="true" outlineLevel="0" collapsed="false">
      <c r="A7" s="39" t="s">
        <v>180</v>
      </c>
      <c r="B7" s="12" t="n">
        <f aca="false">-INDEX(rep_capex,MATCH(A7,rep_years_cf,0))</f>
        <v>0.000239</v>
      </c>
      <c r="C7" s="32" t="n">
        <f aca="false">INDEX(md_deflator_ppe,MATCH(A7,md_years_bea,0))</f>
        <v>1.31248888098203</v>
      </c>
      <c r="D7" s="12" t="n">
        <f aca="false">B7*C7</f>
        <v>0.000313684842554706</v>
      </c>
      <c r="E7" s="5" t="n">
        <f aca="false">in_anchor_year-A7</f>
        <v>36</v>
      </c>
      <c r="F7" s="5" t="n">
        <f aca="false">IF(E7&lt;in_ppe_life,1,0)</f>
        <v>0</v>
      </c>
      <c r="G7" s="40" t="n">
        <f aca="false">MAX(0,(in_ppe_life-E7)/in_ppe_life)</f>
        <v>0</v>
      </c>
      <c r="H7" s="12" t="n">
        <f aca="false">D7*F7</f>
        <v>0</v>
      </c>
      <c r="I7" s="12" t="n">
        <f aca="false">D7*G7</f>
        <v>0</v>
      </c>
      <c r="J7" s="5" t="n">
        <f aca="false">VALUE(A7)</f>
        <v>1989</v>
      </c>
    </row>
    <row r="8" customFormat="false" ht="15" hidden="false" customHeight="true" outlineLevel="0" collapsed="false">
      <c r="A8" s="39" t="s">
        <v>181</v>
      </c>
      <c r="B8" s="12" t="n">
        <f aca="false">-INDEX(rep_capex,MATCH(A8,rep_years_cf,0))</f>
        <v>0.000224</v>
      </c>
      <c r="C8" s="32" t="n">
        <f aca="false">INDEX(md_deflator_ppe,MATCH(A8,md_years_bea,0))</f>
        <v>1.28490099818215</v>
      </c>
      <c r="D8" s="12" t="n">
        <f aca="false">B8*C8</f>
        <v>0.000287817823592803</v>
      </c>
      <c r="E8" s="5" t="n">
        <f aca="false">in_anchor_year-A8</f>
        <v>35</v>
      </c>
      <c r="F8" s="5" t="n">
        <f aca="false">IF(E8&lt;in_ppe_life,1,0)</f>
        <v>0</v>
      </c>
      <c r="G8" s="40" t="n">
        <f aca="false">MAX(0,(in_ppe_life-E8)/in_ppe_life)</f>
        <v>0</v>
      </c>
      <c r="H8" s="12" t="n">
        <f aca="false">D8*F8</f>
        <v>0</v>
      </c>
      <c r="I8" s="12" t="n">
        <f aca="false">D8*G8</f>
        <v>0</v>
      </c>
      <c r="J8" s="5" t="n">
        <f aca="false">VALUE(A8)</f>
        <v>1990</v>
      </c>
    </row>
    <row r="9" customFormat="false" ht="15" hidden="false" customHeight="true" outlineLevel="0" collapsed="false">
      <c r="A9" s="39" t="s">
        <v>182</v>
      </c>
      <c r="B9" s="12" t="n">
        <f aca="false">-INDEX(rep_capex,MATCH(A9,rep_years_cf,0))</f>
        <v>0.000218</v>
      </c>
      <c r="C9" s="32" t="n">
        <f aca="false">INDEX(md_deflator_ppe,MATCH(A9,md_years_bea,0))</f>
        <v>1.26103027583702</v>
      </c>
      <c r="D9" s="12" t="n">
        <f aca="false">B9*C9</f>
        <v>0.00027490460013247</v>
      </c>
      <c r="E9" s="5" t="n">
        <f aca="false">in_anchor_year-A9</f>
        <v>34</v>
      </c>
      <c r="F9" s="5" t="n">
        <f aca="false">IF(E9&lt;in_ppe_life,1,0)</f>
        <v>0</v>
      </c>
      <c r="G9" s="40" t="n">
        <f aca="false">MAX(0,(in_ppe_life-E9)/in_ppe_life)</f>
        <v>0</v>
      </c>
      <c r="H9" s="12" t="n">
        <f aca="false">D9*F9</f>
        <v>0</v>
      </c>
      <c r="I9" s="12" t="n">
        <f aca="false">D9*G9</f>
        <v>0</v>
      </c>
      <c r="J9" s="5" t="n">
        <f aca="false">VALUE(A9)</f>
        <v>1991</v>
      </c>
    </row>
    <row r="10" customFormat="false" ht="15" hidden="false" customHeight="true" outlineLevel="0" collapsed="false">
      <c r="A10" s="39" t="s">
        <v>183</v>
      </c>
      <c r="B10" s="12" t="n">
        <f aca="false">-INDEX(rep_capex,MATCH(A10,rep_years_cf,0))</f>
        <v>0.000195</v>
      </c>
      <c r="C10" s="32" t="n">
        <f aca="false">INDEX(md_deflator_ppe,MATCH(A10,md_years_bea,0))</f>
        <v>1.26516613076099</v>
      </c>
      <c r="D10" s="12" t="n">
        <f aca="false">B10*C10</f>
        <v>0.000246707395498392</v>
      </c>
      <c r="E10" s="5" t="n">
        <f aca="false">in_anchor_year-A10</f>
        <v>33</v>
      </c>
      <c r="F10" s="5" t="n">
        <f aca="false">IF(E10&lt;in_ppe_life,1,0)</f>
        <v>0</v>
      </c>
      <c r="G10" s="40" t="n">
        <f aca="false">MAX(0,(in_ppe_life-E10)/in_ppe_life)</f>
        <v>0</v>
      </c>
      <c r="H10" s="12" t="n">
        <f aca="false">D10*F10</f>
        <v>0</v>
      </c>
      <c r="I10" s="12" t="n">
        <f aca="false">D10*G10</f>
        <v>0</v>
      </c>
      <c r="J10" s="5" t="n">
        <f aca="false">VALUE(A10)</f>
        <v>1992</v>
      </c>
    </row>
    <row r="11" customFormat="false" ht="15" hidden="false" customHeight="true" outlineLevel="0" collapsed="false">
      <c r="A11" s="39" t="s">
        <v>184</v>
      </c>
      <c r="B11" s="12" t="n">
        <f aca="false">-INDEX(rep_capex,MATCH(A11,rep_years_cf,0))</f>
        <v>0.000213</v>
      </c>
      <c r="C11" s="32" t="n">
        <f aca="false">INDEX(md_deflator_ppe,MATCH(A11,md_years_bea,0))</f>
        <v>1.26244639094769</v>
      </c>
      <c r="D11" s="12" t="n">
        <f aca="false">B11*C11</f>
        <v>0.000268901081271858</v>
      </c>
      <c r="E11" s="5" t="n">
        <f aca="false">in_anchor_year-A11</f>
        <v>32</v>
      </c>
      <c r="F11" s="5" t="n">
        <f aca="false">IF(E11&lt;in_ppe_life,1,0)</f>
        <v>0</v>
      </c>
      <c r="G11" s="40" t="n">
        <f aca="false">MAX(0,(in_ppe_life-E11)/in_ppe_life)</f>
        <v>0</v>
      </c>
      <c r="H11" s="12" t="n">
        <f aca="false">D11*F11</f>
        <v>0</v>
      </c>
      <c r="I11" s="12" t="n">
        <f aca="false">D11*G11</f>
        <v>0</v>
      </c>
      <c r="J11" s="5" t="n">
        <f aca="false">VALUE(A11)</f>
        <v>1993</v>
      </c>
    </row>
    <row r="12" customFormat="false" ht="15" hidden="false" customHeight="true" outlineLevel="0" collapsed="false">
      <c r="A12" s="39" t="s">
        <v>185</v>
      </c>
      <c r="B12" s="12" t="n">
        <f aca="false">-INDEX(rep_capex,MATCH(A12,rep_years_cf,0))</f>
        <v>0.00016</v>
      </c>
      <c r="C12" s="32" t="n">
        <f aca="false">INDEX(md_deflator_ppe,MATCH(A12,md_years_bea,0))</f>
        <v>1.25257327192852</v>
      </c>
      <c r="D12" s="12" t="n">
        <f aca="false">B12*C12</f>
        <v>0.000200411723508563</v>
      </c>
      <c r="E12" s="5" t="n">
        <f aca="false">in_anchor_year-A12</f>
        <v>31</v>
      </c>
      <c r="F12" s="5" t="n">
        <f aca="false">IF(E12&lt;in_ppe_life,1,0)</f>
        <v>0</v>
      </c>
      <c r="G12" s="40" t="n">
        <f aca="false">MAX(0,(in_ppe_life-E12)/in_ppe_life)</f>
        <v>0</v>
      </c>
      <c r="H12" s="12" t="n">
        <f aca="false">D12*F12</f>
        <v>0</v>
      </c>
      <c r="I12" s="12" t="n">
        <f aca="false">D12*G12</f>
        <v>0</v>
      </c>
      <c r="J12" s="5" t="n">
        <f aca="false">VALUE(A12)</f>
        <v>1994</v>
      </c>
    </row>
    <row r="13" customFormat="false" ht="15" hidden="false" customHeight="true" outlineLevel="0" collapsed="false">
      <c r="A13" s="39" t="s">
        <v>186</v>
      </c>
      <c r="B13" s="12" t="n">
        <f aca="false">-INDEX(rep_capex,MATCH(A13,rep_years_cf,0))</f>
        <v>0.000159</v>
      </c>
      <c r="C13" s="32" t="n">
        <f aca="false">INDEX(md_deflator_ppe,MATCH(A13,md_years_bea,0))</f>
        <v>1.24021559830631</v>
      </c>
      <c r="D13" s="12" t="n">
        <f aca="false">B13*C13</f>
        <v>0.000197194280130704</v>
      </c>
      <c r="E13" s="5" t="n">
        <f aca="false">in_anchor_year-A13</f>
        <v>30</v>
      </c>
      <c r="F13" s="5" t="n">
        <f aca="false">IF(E13&lt;in_ppe_life,1,0)</f>
        <v>0</v>
      </c>
      <c r="G13" s="40" t="n">
        <f aca="false">MAX(0,(in_ppe_life-E13)/in_ppe_life)</f>
        <v>0</v>
      </c>
      <c r="H13" s="12" t="n">
        <f aca="false">D13*F13</f>
        <v>0</v>
      </c>
      <c r="I13" s="12" t="n">
        <f aca="false">D13*G13</f>
        <v>0</v>
      </c>
      <c r="J13" s="5" t="n">
        <f aca="false">VALUE(A13)</f>
        <v>1995</v>
      </c>
    </row>
    <row r="14" customFormat="false" ht="15" hidden="false" customHeight="true" outlineLevel="0" collapsed="false">
      <c r="A14" s="39" t="s">
        <v>187</v>
      </c>
      <c r="B14" s="12" t="n">
        <f aca="false">-INDEX(rep_capex,MATCH(A14,rep_years_cf,0))</f>
        <v>6.7E-005</v>
      </c>
      <c r="C14" s="32" t="n">
        <f aca="false">INDEX(md_deflator_ppe,MATCH(A14,md_years_bea,0))</f>
        <v>1.24779331705409</v>
      </c>
      <c r="D14" s="12" t="n">
        <f aca="false">B14*C14</f>
        <v>8.36021522426241E-005</v>
      </c>
      <c r="E14" s="5" t="n">
        <f aca="false">in_anchor_year-A14</f>
        <v>29</v>
      </c>
      <c r="F14" s="5" t="n">
        <f aca="false">IF(E14&lt;in_ppe_life,1,0)</f>
        <v>0</v>
      </c>
      <c r="G14" s="40" t="n">
        <f aca="false">MAX(0,(in_ppe_life-E14)/in_ppe_life)</f>
        <v>0</v>
      </c>
      <c r="H14" s="12" t="n">
        <f aca="false">D14*F14</f>
        <v>0</v>
      </c>
      <c r="I14" s="12" t="n">
        <f aca="false">D14*G14</f>
        <v>0</v>
      </c>
      <c r="J14" s="5" t="n">
        <f aca="false">VALUE(A14)</f>
        <v>1996</v>
      </c>
    </row>
    <row r="15" customFormat="false" ht="15" hidden="false" customHeight="true" outlineLevel="0" collapsed="false">
      <c r="A15" s="39" t="s">
        <v>188</v>
      </c>
      <c r="B15" s="12" t="n">
        <f aca="false">-INDEX(rep_capex,MATCH(A15,rep_years_cf,0))</f>
        <v>5.3E-005</v>
      </c>
      <c r="C15" s="32" t="n">
        <f aca="false">INDEX(md_deflator_ppe,MATCH(A15,md_years_bea,0))</f>
        <v>1.25481024768789</v>
      </c>
      <c r="D15" s="12" t="n">
        <f aca="false">B15*C15</f>
        <v>6.65049431274583E-005</v>
      </c>
      <c r="E15" s="5" t="n">
        <f aca="false">in_anchor_year-A15</f>
        <v>28</v>
      </c>
      <c r="F15" s="5" t="n">
        <f aca="false">IF(E15&lt;in_ppe_life,1,0)</f>
        <v>0</v>
      </c>
      <c r="G15" s="40" t="n">
        <f aca="false">MAX(0,(in_ppe_life-E15)/in_ppe_life)</f>
        <v>0</v>
      </c>
      <c r="H15" s="12" t="n">
        <f aca="false">D15*F15</f>
        <v>0</v>
      </c>
      <c r="I15" s="12" t="n">
        <f aca="false">D15*G15</f>
        <v>0</v>
      </c>
      <c r="J15" s="5" t="n">
        <f aca="false">VALUE(A15)</f>
        <v>1997</v>
      </c>
    </row>
    <row r="16" customFormat="false" ht="15" hidden="false" customHeight="true" outlineLevel="0" collapsed="false">
      <c r="A16" s="39" t="s">
        <v>189</v>
      </c>
      <c r="B16" s="12" t="n">
        <f aca="false">-INDEX(rep_capex,MATCH(A16,rep_years_cf,0))</f>
        <v>5.6E-005</v>
      </c>
      <c r="C16" s="32" t="n">
        <f aca="false">INDEX(md_deflator_ppe,MATCH(A16,md_years_bea,0))</f>
        <v>1.27481262284813</v>
      </c>
      <c r="D16" s="12" t="n">
        <f aca="false">B16*C16</f>
        <v>7.13895068794954E-005</v>
      </c>
      <c r="E16" s="5" t="n">
        <f aca="false">in_anchor_year-A16</f>
        <v>27</v>
      </c>
      <c r="F16" s="5" t="n">
        <f aca="false">IF(E16&lt;in_ppe_life,1,0)</f>
        <v>0</v>
      </c>
      <c r="G16" s="40" t="n">
        <f aca="false">MAX(0,(in_ppe_life-E16)/in_ppe_life)</f>
        <v>0</v>
      </c>
      <c r="H16" s="12" t="n">
        <f aca="false">D16*F16</f>
        <v>0</v>
      </c>
      <c r="I16" s="12" t="n">
        <f aca="false">D16*G16</f>
        <v>0</v>
      </c>
      <c r="J16" s="5" t="n">
        <f aca="false">VALUE(A16)</f>
        <v>1998</v>
      </c>
    </row>
    <row r="17" customFormat="false" ht="15" hidden="false" customHeight="true" outlineLevel="0" collapsed="false">
      <c r="A17" s="39" t="s">
        <v>190</v>
      </c>
      <c r="B17" s="12" t="n">
        <f aca="false">-INDEX(rep_capex,MATCH(A17,rep_years_cf,0))</f>
        <v>4.7E-005</v>
      </c>
      <c r="C17" s="32" t="n">
        <f aca="false">INDEX(md_deflator_ppe,MATCH(A17,md_years_bea,0))</f>
        <v>1.28771845613423</v>
      </c>
      <c r="D17" s="12" t="n">
        <f aca="false">B17*C17</f>
        <v>6.05227674383086E-005</v>
      </c>
      <c r="E17" s="5" t="n">
        <f aca="false">in_anchor_year-A17</f>
        <v>26</v>
      </c>
      <c r="F17" s="5" t="n">
        <f aca="false">IF(E17&lt;in_ppe_life,1,0)</f>
        <v>0</v>
      </c>
      <c r="G17" s="40" t="n">
        <f aca="false">MAX(0,(in_ppe_life-E17)/in_ppe_life)</f>
        <v>0</v>
      </c>
      <c r="H17" s="12" t="n">
        <f aca="false">D17*F17</f>
        <v>0</v>
      </c>
      <c r="I17" s="12" t="n">
        <f aca="false">D17*G17</f>
        <v>0</v>
      </c>
      <c r="J17" s="5" t="n">
        <f aca="false">VALUE(A17)</f>
        <v>1999</v>
      </c>
    </row>
    <row r="18" customFormat="false" ht="15" hidden="false" customHeight="true" outlineLevel="0" collapsed="false">
      <c r="A18" s="39" t="s">
        <v>191</v>
      </c>
      <c r="B18" s="12" t="n">
        <f aca="false">-INDEX(rep_capex,MATCH(A18,rep_years_cf,0))</f>
        <v>0.000107</v>
      </c>
      <c r="C18" s="32" t="n">
        <f aca="false">INDEX(md_deflator_ppe,MATCH(A18,md_years_bea,0))</f>
        <v>1.28210976788643</v>
      </c>
      <c r="D18" s="12" t="n">
        <f aca="false">B18*C18</f>
        <v>0.000137185745163848</v>
      </c>
      <c r="E18" s="5" t="n">
        <f aca="false">in_anchor_year-A18</f>
        <v>25</v>
      </c>
      <c r="F18" s="5" t="n">
        <f aca="false">IF(E18&lt;in_ppe_life,1,0)</f>
        <v>0</v>
      </c>
      <c r="G18" s="40" t="n">
        <f aca="false">MAX(0,(in_ppe_life-E18)/in_ppe_life)</f>
        <v>0</v>
      </c>
      <c r="H18" s="12" t="n">
        <f aca="false">D18*F18</f>
        <v>0</v>
      </c>
      <c r="I18" s="12" t="n">
        <f aca="false">D18*G18</f>
        <v>0</v>
      </c>
      <c r="J18" s="5" t="n">
        <f aca="false">VALUE(A18)</f>
        <v>2000</v>
      </c>
    </row>
    <row r="19" customFormat="false" ht="15" hidden="false" customHeight="true" outlineLevel="0" collapsed="false">
      <c r="A19" s="39" t="s">
        <v>192</v>
      </c>
      <c r="B19" s="12" t="n">
        <f aca="false">-INDEX(rep_capex,MATCH(A19,rep_years_cf,0))</f>
        <v>0.000232</v>
      </c>
      <c r="C19" s="32" t="n">
        <f aca="false">INDEX(md_deflator_ppe,MATCH(A19,md_years_bea,0))</f>
        <v>1.28726907893302</v>
      </c>
      <c r="D19" s="12" t="n">
        <f aca="false">B19*C19</f>
        <v>0.000298646426312461</v>
      </c>
      <c r="E19" s="5" t="n">
        <f aca="false">in_anchor_year-A19</f>
        <v>24</v>
      </c>
      <c r="F19" s="5" t="n">
        <f aca="false">IF(E19&lt;in_ppe_life,1,0)</f>
        <v>0</v>
      </c>
      <c r="G19" s="40" t="n">
        <f aca="false">MAX(0,(in_ppe_life-E19)/in_ppe_life)</f>
        <v>0</v>
      </c>
      <c r="H19" s="12" t="n">
        <f aca="false">D19*F19</f>
        <v>0</v>
      </c>
      <c r="I19" s="12" t="n">
        <f aca="false">D19*G19</f>
        <v>0</v>
      </c>
      <c r="J19" s="5" t="n">
        <f aca="false">VALUE(A19)</f>
        <v>2001</v>
      </c>
    </row>
    <row r="20" customFormat="false" ht="15" hidden="false" customHeight="true" outlineLevel="0" collapsed="false">
      <c r="A20" s="39" t="s">
        <v>193</v>
      </c>
      <c r="B20" s="12" t="n">
        <f aca="false">-INDEX(rep_capex,MATCH(A20,rep_years_cf,0))</f>
        <v>0.000174</v>
      </c>
      <c r="C20" s="32" t="n">
        <f aca="false">INDEX(md_deflator_ppe,MATCH(A20,md_years_bea,0))</f>
        <v>1.29402865631064</v>
      </c>
      <c r="D20" s="12" t="n">
        <f aca="false">B20*C20</f>
        <v>0.000225160986198051</v>
      </c>
      <c r="E20" s="5" t="n">
        <f aca="false">in_anchor_year-A20</f>
        <v>23</v>
      </c>
      <c r="F20" s="5" t="n">
        <f aca="false">IF(E20&lt;in_ppe_life,1,0)</f>
        <v>0</v>
      </c>
      <c r="G20" s="40" t="n">
        <f aca="false">MAX(0,(in_ppe_life-E20)/in_ppe_life)</f>
        <v>0</v>
      </c>
      <c r="H20" s="12" t="n">
        <f aca="false">D20*F20</f>
        <v>0</v>
      </c>
      <c r="I20" s="12" t="n">
        <f aca="false">D20*G20</f>
        <v>0</v>
      </c>
      <c r="J20" s="5" t="n">
        <f aca="false">VALUE(A20)</f>
        <v>2002</v>
      </c>
    </row>
    <row r="21" customFormat="false" ht="15" hidden="false" customHeight="true" outlineLevel="0" collapsed="false">
      <c r="A21" s="39" t="s">
        <v>194</v>
      </c>
      <c r="B21" s="12" t="n">
        <f aca="false">-INDEX(rep_capex,MATCH(A21,rep_years_cf,0))</f>
        <v>0.000164</v>
      </c>
      <c r="C21" s="32" t="n">
        <f aca="false">INDEX(md_deflator_ppe,MATCH(A21,md_years_bea,0))</f>
        <v>1.30407883689072</v>
      </c>
      <c r="D21" s="12" t="n">
        <f aca="false">B21*C21</f>
        <v>0.000213868929250077</v>
      </c>
      <c r="E21" s="5" t="n">
        <f aca="false">in_anchor_year-A21</f>
        <v>22</v>
      </c>
      <c r="F21" s="5" t="n">
        <f aca="false">IF(E21&lt;in_ppe_life,1,0)</f>
        <v>0</v>
      </c>
      <c r="G21" s="40" t="n">
        <f aca="false">MAX(0,(in_ppe_life-E21)/in_ppe_life)</f>
        <v>0</v>
      </c>
      <c r="H21" s="12" t="n">
        <f aca="false">D21*F21</f>
        <v>0</v>
      </c>
      <c r="I21" s="12" t="n">
        <f aca="false">D21*G21</f>
        <v>0</v>
      </c>
      <c r="J21" s="5" t="n">
        <f aca="false">VALUE(A21)</f>
        <v>2003</v>
      </c>
    </row>
    <row r="22" customFormat="false" ht="15" hidden="false" customHeight="true" outlineLevel="0" collapsed="false">
      <c r="A22" s="39" t="s">
        <v>195</v>
      </c>
      <c r="B22" s="12" t="n">
        <f aca="false">-INDEX(rep_capex,MATCH(A22,rep_years_cf,0))</f>
        <v>0.000176</v>
      </c>
      <c r="C22" s="32" t="n">
        <f aca="false">INDEX(md_deflator_ppe,MATCH(A22,md_years_bea,0))</f>
        <v>1.29132480035007</v>
      </c>
      <c r="D22" s="12" t="n">
        <f aca="false">B22*C22</f>
        <v>0.000227273164861613</v>
      </c>
      <c r="E22" s="5" t="n">
        <f aca="false">in_anchor_year-A22</f>
        <v>21</v>
      </c>
      <c r="F22" s="5" t="n">
        <f aca="false">IF(E22&lt;in_ppe_life,1,0)</f>
        <v>0</v>
      </c>
      <c r="G22" s="40" t="n">
        <f aca="false">MAX(0,(in_ppe_life-E22)/in_ppe_life)</f>
        <v>0</v>
      </c>
      <c r="H22" s="12" t="n">
        <f aca="false">D22*F22</f>
        <v>0</v>
      </c>
      <c r="I22" s="12" t="n">
        <f aca="false">D22*G22</f>
        <v>0</v>
      </c>
      <c r="J22" s="5" t="n">
        <f aca="false">VALUE(A22)</f>
        <v>2004</v>
      </c>
    </row>
    <row r="23" customFormat="false" ht="15" hidden="false" customHeight="true" outlineLevel="0" collapsed="false">
      <c r="A23" s="39" t="s">
        <v>196</v>
      </c>
      <c r="B23" s="12" t="n">
        <f aca="false">-INDEX(rep_capex,MATCH(A23,rep_years_cf,0))</f>
        <v>0.00026</v>
      </c>
      <c r="C23" s="32" t="n">
        <f aca="false">INDEX(md_deflator_ppe,MATCH(A23,md_years_bea,0))</f>
        <v>1.25869055235658</v>
      </c>
      <c r="D23" s="12" t="n">
        <f aca="false">B23*C23</f>
        <v>0.000327259543612711</v>
      </c>
      <c r="E23" s="5" t="n">
        <f aca="false">in_anchor_year-A23</f>
        <v>20</v>
      </c>
      <c r="F23" s="5" t="n">
        <f aca="false">IF(E23&lt;in_ppe_life,1,0)</f>
        <v>0</v>
      </c>
      <c r="G23" s="40" t="n">
        <f aca="false">MAX(0,(in_ppe_life-E23)/in_ppe_life)</f>
        <v>0</v>
      </c>
      <c r="H23" s="12" t="n">
        <f aca="false">D23*F23</f>
        <v>0</v>
      </c>
      <c r="I23" s="12" t="n">
        <f aca="false">D23*G23</f>
        <v>0</v>
      </c>
      <c r="J23" s="5" t="n">
        <f aca="false">VALUE(A23)</f>
        <v>2005</v>
      </c>
    </row>
    <row r="24" customFormat="false" ht="15" hidden="false" customHeight="true" outlineLevel="0" collapsed="false">
      <c r="A24" s="39" t="s">
        <v>197</v>
      </c>
      <c r="B24" s="12" t="n">
        <f aca="false">-INDEX(rep_capex,MATCH(A24,rep_years_cf,0))</f>
        <v>0.000657</v>
      </c>
      <c r="C24" s="32" t="n">
        <f aca="false">INDEX(md_deflator_ppe,MATCH(A24,md_years_bea,0))</f>
        <v>1.22873857556263</v>
      </c>
      <c r="D24" s="12" t="n">
        <f aca="false">B24*C24</f>
        <v>0.000807281244144651</v>
      </c>
      <c r="E24" s="5" t="n">
        <f aca="false">in_anchor_year-A24</f>
        <v>19</v>
      </c>
      <c r="F24" s="5" t="n">
        <f aca="false">IF(E24&lt;in_ppe_life,1,0)</f>
        <v>0</v>
      </c>
      <c r="G24" s="40" t="n">
        <f aca="false">MAX(0,(in_ppe_life-E24)/in_ppe_life)</f>
        <v>0</v>
      </c>
      <c r="H24" s="12" t="n">
        <f aca="false">D24*F24</f>
        <v>0</v>
      </c>
      <c r="I24" s="12" t="n">
        <f aca="false">D24*G24</f>
        <v>0</v>
      </c>
      <c r="J24" s="5" t="n">
        <f aca="false">VALUE(A24)</f>
        <v>2006</v>
      </c>
    </row>
    <row r="25" customFormat="false" ht="15" hidden="false" customHeight="true" outlineLevel="0" collapsed="false">
      <c r="A25" s="39" t="s">
        <v>198</v>
      </c>
      <c r="B25" s="12" t="n">
        <f aca="false">-INDEX(rep_capex,MATCH(A25,rep_years_cf,0))</f>
        <v>0.000735</v>
      </c>
      <c r="C25" s="32" t="n">
        <f aca="false">INDEX(md_deflator_ppe,MATCH(A25,md_years_bea,0))</f>
        <v>1.20916606058123</v>
      </c>
      <c r="D25" s="12" t="n">
        <f aca="false">B25*C25</f>
        <v>0.000888737054527202</v>
      </c>
      <c r="E25" s="5" t="n">
        <f aca="false">in_anchor_year-A25</f>
        <v>18</v>
      </c>
      <c r="F25" s="5" t="n">
        <f aca="false">IF(E25&lt;in_ppe_life,1,0)</f>
        <v>0</v>
      </c>
      <c r="G25" s="40" t="n">
        <f aca="false">MAX(0,(in_ppe_life-E25)/in_ppe_life)</f>
        <v>0</v>
      </c>
      <c r="H25" s="12" t="n">
        <f aca="false">D25*F25</f>
        <v>0</v>
      </c>
      <c r="I25" s="12" t="n">
        <f aca="false">D25*G25</f>
        <v>0</v>
      </c>
      <c r="J25" s="5" t="n">
        <f aca="false">VALUE(A25)</f>
        <v>2007</v>
      </c>
    </row>
    <row r="26" customFormat="false" ht="15" hidden="false" customHeight="true" outlineLevel="0" collapsed="false">
      <c r="A26" s="39" t="s">
        <v>199</v>
      </c>
      <c r="B26" s="12" t="n">
        <f aca="false">-INDEX(rep_capex,MATCH(A26,rep_years_cf,0))</f>
        <v>0.001091</v>
      </c>
      <c r="C26" s="32" t="n">
        <f aca="false">INDEX(md_deflator_ppe,MATCH(A26,md_years_bea,0))</f>
        <v>1.19073558487673</v>
      </c>
      <c r="D26" s="12" t="n">
        <f aca="false">B26*C26</f>
        <v>0.00129909252310051</v>
      </c>
      <c r="E26" s="5" t="n">
        <f aca="false">in_anchor_year-A26</f>
        <v>17</v>
      </c>
      <c r="F26" s="5" t="n">
        <f aca="false">IF(E26&lt;in_ppe_life,1,0)</f>
        <v>0</v>
      </c>
      <c r="G26" s="40" t="n">
        <f aca="false">MAX(0,(in_ppe_life-E26)/in_ppe_life)</f>
        <v>0</v>
      </c>
      <c r="H26" s="12" t="n">
        <f aca="false">D26*F26</f>
        <v>0</v>
      </c>
      <c r="I26" s="12" t="n">
        <f aca="false">D26*G26</f>
        <v>0</v>
      </c>
      <c r="J26" s="5" t="n">
        <f aca="false">VALUE(A26)</f>
        <v>2008</v>
      </c>
    </row>
    <row r="27" customFormat="false" ht="15" hidden="false" customHeight="true" outlineLevel="0" collapsed="false">
      <c r="A27" s="39" t="s">
        <v>200</v>
      </c>
      <c r="B27" s="12" t="n">
        <f aca="false">-INDEX(rep_capex,MATCH(A27,rep_years_cf,0))</f>
        <v>0.001144</v>
      </c>
      <c r="C27" s="32" t="n">
        <f aca="false">INDEX(md_deflator_ppe,MATCH(A27,md_years_bea,0))</f>
        <v>1.19852164730729</v>
      </c>
      <c r="D27" s="12" t="n">
        <f aca="false">B27*C27</f>
        <v>0.00137110876451954</v>
      </c>
      <c r="E27" s="5" t="n">
        <f aca="false">in_anchor_year-A27</f>
        <v>16</v>
      </c>
      <c r="F27" s="5" t="n">
        <f aca="false">IF(E27&lt;in_ppe_life,1,0)</f>
        <v>0</v>
      </c>
      <c r="G27" s="40" t="n">
        <f aca="false">MAX(0,(in_ppe_life-E27)/in_ppe_life)</f>
        <v>0</v>
      </c>
      <c r="H27" s="12" t="n">
        <f aca="false">D27*F27</f>
        <v>0</v>
      </c>
      <c r="I27" s="12" t="n">
        <f aca="false">D27*G27</f>
        <v>0</v>
      </c>
      <c r="J27" s="5" t="n">
        <f aca="false">VALUE(A27)</f>
        <v>2009</v>
      </c>
    </row>
    <row r="28" customFormat="false" ht="15" hidden="false" customHeight="true" outlineLevel="0" collapsed="false">
      <c r="A28" s="39" t="s">
        <v>201</v>
      </c>
      <c r="B28" s="12" t="n">
        <f aca="false">-INDEX(rep_capex,MATCH(A28,rep_years_cf,0))</f>
        <v>0.002005</v>
      </c>
      <c r="C28" s="32" t="n">
        <f aca="false">INDEX(md_deflator_ppe,MATCH(A28,md_years_bea,0))</f>
        <v>1.22074564351828</v>
      </c>
      <c r="D28" s="12" t="n">
        <f aca="false">B28*C28</f>
        <v>0.00244759501525415</v>
      </c>
      <c r="E28" s="5" t="n">
        <f aca="false">in_anchor_year-A28</f>
        <v>15</v>
      </c>
      <c r="F28" s="5" t="n">
        <f aca="false">IF(E28&lt;in_ppe_life,1,0)</f>
        <v>0</v>
      </c>
      <c r="G28" s="40" t="n">
        <f aca="false">MAX(0,(in_ppe_life-E28)/in_ppe_life)</f>
        <v>0</v>
      </c>
      <c r="H28" s="12" t="n">
        <f aca="false">D28*F28</f>
        <v>0</v>
      </c>
      <c r="I28" s="12" t="n">
        <f aca="false">D28*G28</f>
        <v>0</v>
      </c>
      <c r="J28" s="5" t="n">
        <f aca="false">VALUE(A28)</f>
        <v>2010</v>
      </c>
    </row>
    <row r="29" customFormat="false" ht="15" hidden="false" customHeight="true" outlineLevel="0" collapsed="false">
      <c r="A29" s="39" t="s">
        <v>202</v>
      </c>
      <c r="B29" s="12" t="n">
        <f aca="false">-INDEX(rep_capex,MATCH(A29,rep_years_cf,0))</f>
        <v>0.00426</v>
      </c>
      <c r="C29" s="32" t="n">
        <f aca="false">INDEX(md_deflator_ppe,MATCH(A29,md_years_bea,0))</f>
        <v>1.20749621506608</v>
      </c>
      <c r="D29" s="12" t="n">
        <f aca="false">B29*C29</f>
        <v>0.00514393387618151</v>
      </c>
      <c r="E29" s="5" t="n">
        <f aca="false">in_anchor_year-A29</f>
        <v>14</v>
      </c>
      <c r="F29" s="5" t="n">
        <f aca="false">IF(E29&lt;in_ppe_life,1,0)</f>
        <v>0</v>
      </c>
      <c r="G29" s="40" t="n">
        <f aca="false">MAX(0,(in_ppe_life-E29)/in_ppe_life)</f>
        <v>0</v>
      </c>
      <c r="H29" s="12" t="n">
        <f aca="false">D29*F29</f>
        <v>0</v>
      </c>
      <c r="I29" s="12" t="n">
        <f aca="false">D29*G29</f>
        <v>0</v>
      </c>
      <c r="J29" s="5" t="n">
        <f aca="false">VALUE(A29)</f>
        <v>2011</v>
      </c>
    </row>
    <row r="30" customFormat="false" ht="15" hidden="false" customHeight="true" outlineLevel="0" collapsed="false">
      <c r="A30" s="39" t="s">
        <v>203</v>
      </c>
      <c r="B30" s="12" t="n">
        <f aca="false">-INDEX(rep_capex,MATCH(A30,rep_years_cf,0))</f>
        <v>0.008295</v>
      </c>
      <c r="C30" s="32" t="n">
        <f aca="false">INDEX(md_deflator_ppe,MATCH(A30,md_years_bea,0))</f>
        <v>1.19075960859477</v>
      </c>
      <c r="D30" s="12" t="n">
        <f aca="false">B30*C30</f>
        <v>0.00987735095329366</v>
      </c>
      <c r="E30" s="5" t="n">
        <f aca="false">in_anchor_year-A30</f>
        <v>13</v>
      </c>
      <c r="F30" s="5" t="n">
        <f aca="false">IF(E30&lt;in_ppe_life,1,0)</f>
        <v>0</v>
      </c>
      <c r="G30" s="40" t="n">
        <f aca="false">MAX(0,(in_ppe_life-E30)/in_ppe_life)</f>
        <v>0</v>
      </c>
      <c r="H30" s="12" t="n">
        <f aca="false">D30*F30</f>
        <v>0</v>
      </c>
      <c r="I30" s="12" t="n">
        <f aca="false">D30*G30</f>
        <v>0</v>
      </c>
      <c r="J30" s="5" t="n">
        <f aca="false">VALUE(A30)</f>
        <v>2012</v>
      </c>
    </row>
    <row r="31" customFormat="false" ht="15" hidden="false" customHeight="true" outlineLevel="0" collapsed="false">
      <c r="A31" s="39" t="s">
        <v>204</v>
      </c>
      <c r="B31" s="12" t="n">
        <f aca="false">-INDEX(rep_capex,MATCH(A31,rep_years_cf,0))</f>
        <v>0.008165</v>
      </c>
      <c r="C31" s="32" t="n">
        <f aca="false">INDEX(md_deflator_ppe,MATCH(A31,md_years_bea,0))</f>
        <v>1.18957159701297</v>
      </c>
      <c r="D31" s="12" t="n">
        <f aca="false">B31*C31</f>
        <v>0.0097128520896109</v>
      </c>
      <c r="E31" s="5" t="n">
        <f aca="false">in_anchor_year-A31</f>
        <v>12</v>
      </c>
      <c r="F31" s="5" t="n">
        <f aca="false">IF(E31&lt;in_ppe_life,1,0)</f>
        <v>0</v>
      </c>
      <c r="G31" s="40" t="n">
        <f aca="false">MAX(0,(in_ppe_life-E31)/in_ppe_life)</f>
        <v>0</v>
      </c>
      <c r="H31" s="12" t="n">
        <f aca="false">D31*F31</f>
        <v>0</v>
      </c>
      <c r="I31" s="12" t="n">
        <f aca="false">D31*G31</f>
        <v>0</v>
      </c>
      <c r="J31" s="5" t="n">
        <f aca="false">VALUE(A31)</f>
        <v>2013</v>
      </c>
    </row>
    <row r="32" customFormat="false" ht="15" hidden="false" customHeight="true" outlineLevel="0" collapsed="false">
      <c r="A32" s="39" t="s">
        <v>205</v>
      </c>
      <c r="B32" s="12" t="n">
        <f aca="false">-INDEX(rep_capex,MATCH(A32,rep_years_cf,0))</f>
        <v>0.009571</v>
      </c>
      <c r="C32" s="32" t="n">
        <f aca="false">INDEX(md_deflator_ppe,MATCH(A32,md_years_bea,0))</f>
        <v>1.17840848965249</v>
      </c>
      <c r="D32" s="12" t="n">
        <f aca="false">B32*C32</f>
        <v>0.011278547654464</v>
      </c>
      <c r="E32" s="5" t="n">
        <f aca="false">in_anchor_year-A32</f>
        <v>11</v>
      </c>
      <c r="F32" s="5" t="n">
        <f aca="false">IF(E32&lt;in_ppe_life,1,0)</f>
        <v>0</v>
      </c>
      <c r="G32" s="40" t="n">
        <f aca="false">MAX(0,(in_ppe_life-E32)/in_ppe_life)</f>
        <v>0</v>
      </c>
      <c r="H32" s="12" t="n">
        <f aca="false">D32*F32</f>
        <v>0</v>
      </c>
      <c r="I32" s="12" t="n">
        <f aca="false">D32*G32</f>
        <v>0</v>
      </c>
      <c r="J32" s="5" t="n">
        <f aca="false">VALUE(A32)</f>
        <v>2014</v>
      </c>
    </row>
    <row r="33" customFormat="false" ht="15" hidden="false" customHeight="true" outlineLevel="0" collapsed="false">
      <c r="A33" s="39" t="s">
        <v>206</v>
      </c>
      <c r="B33" s="12" t="n">
        <f aca="false">-INDEX(rep_capex,MATCH(A33,rep_years_cf,0))</f>
        <v>0.011247</v>
      </c>
      <c r="C33" s="32" t="n">
        <f aca="false">INDEX(md_deflator_ppe,MATCH(A33,md_years_bea,0))</f>
        <v>1.17634162140615</v>
      </c>
      <c r="D33" s="12" t="n">
        <f aca="false">B33*C33</f>
        <v>0.013230314215955</v>
      </c>
      <c r="E33" s="5" t="n">
        <f aca="false">in_anchor_year-A33</f>
        <v>10</v>
      </c>
      <c r="F33" s="5" t="n">
        <f aca="false">IF(E33&lt;in_ppe_life,1,0)</f>
        <v>1</v>
      </c>
      <c r="G33" s="40" t="n">
        <f aca="false">MAX(0,(in_ppe_life-E33)/in_ppe_life)</f>
        <v>0.0356798457087752</v>
      </c>
      <c r="H33" s="12" t="n">
        <f aca="false">D33*F33</f>
        <v>0.013230314215955</v>
      </c>
      <c r="I33" s="12" t="n">
        <f aca="false">D33*G33</f>
        <v>0.000472055569903889</v>
      </c>
      <c r="J33" s="5" t="n">
        <f aca="false">VALUE(A33)</f>
        <v>2015</v>
      </c>
    </row>
    <row r="34" customFormat="false" ht="15" hidden="false" customHeight="true" outlineLevel="0" collapsed="false">
      <c r="A34" s="39" t="s">
        <v>207</v>
      </c>
      <c r="B34" s="12" t="n">
        <f aca="false">-INDEX(rep_capex,MATCH(A34,rep_years_cf,0))</f>
        <v>0.012734</v>
      </c>
      <c r="C34" s="32" t="n">
        <f aca="false">INDEX(md_deflator_ppe,MATCH(A34,md_years_bea,0))</f>
        <v>1.18776413765345</v>
      </c>
      <c r="D34" s="12" t="n">
        <f aca="false">B34*C34</f>
        <v>0.0151249885288791</v>
      </c>
      <c r="E34" s="5" t="n">
        <f aca="false">in_anchor_year-A34</f>
        <v>9</v>
      </c>
      <c r="F34" s="5" t="n">
        <f aca="false">IF(E34&lt;in_ppe_life,1,0)</f>
        <v>1</v>
      </c>
      <c r="G34" s="40" t="n">
        <f aca="false">MAX(0,(in_ppe_life-E34)/in_ppe_life)</f>
        <v>0.132111861137898</v>
      </c>
      <c r="H34" s="12" t="n">
        <f aca="false">D34*F34</f>
        <v>0.0151249885288791</v>
      </c>
      <c r="I34" s="12" t="n">
        <f aca="false">D34*G34</f>
        <v>0.00199819038423957</v>
      </c>
      <c r="J34" s="5" t="n">
        <f aca="false">VALUE(A34)</f>
        <v>2016</v>
      </c>
    </row>
    <row r="35" customFormat="false" ht="15" hidden="false" customHeight="true" outlineLevel="0" collapsed="false">
      <c r="A35" s="39" t="s">
        <v>208</v>
      </c>
      <c r="B35" s="12" t="n">
        <f aca="false">-INDEX(rep_capex,MATCH(A35,rep_years_cf,0))</f>
        <v>0.012451</v>
      </c>
      <c r="C35" s="32" t="n">
        <f aca="false">INDEX(md_deflator_ppe,MATCH(A35,md_years_bea,0))</f>
        <v>1.1804</v>
      </c>
      <c r="D35" s="12" t="n">
        <f aca="false">B35*C35</f>
        <v>0.0146971604</v>
      </c>
      <c r="E35" s="5" t="n">
        <f aca="false">in_anchor_year-A35</f>
        <v>8</v>
      </c>
      <c r="F35" s="5" t="n">
        <f aca="false">IF(E35&lt;in_ppe_life,1,0)</f>
        <v>1</v>
      </c>
      <c r="G35" s="40" t="n">
        <f aca="false">MAX(0,(in_ppe_life-E35)/in_ppe_life)</f>
        <v>0.22854387656702</v>
      </c>
      <c r="H35" s="12" t="n">
        <f aca="false">D35*F35</f>
        <v>0.0146971604</v>
      </c>
      <c r="I35" s="12" t="n">
        <f aca="false">D35*G35</f>
        <v>0.0033589460123433</v>
      </c>
      <c r="J35" s="5" t="n">
        <f aca="false">VALUE(A35)</f>
        <v>2017</v>
      </c>
    </row>
    <row r="36" customFormat="false" ht="15" hidden="false" customHeight="true" outlineLevel="0" collapsed="false">
      <c r="A36" s="39" t="s">
        <v>209</v>
      </c>
      <c r="B36" s="12" t="n">
        <f aca="false">-INDEX(rep_capex,MATCH(A36,rep_years_cf,0))</f>
        <v>0.013313</v>
      </c>
      <c r="C36" s="32" t="n">
        <f aca="false">INDEX(md_deflator_ppe,MATCH(A36,md_years_bea,0))</f>
        <v>1.17538112260647</v>
      </c>
      <c r="D36" s="12" t="n">
        <f aca="false">B36*C36</f>
        <v>0.0156478488852599</v>
      </c>
      <c r="E36" s="5" t="n">
        <f aca="false">in_anchor_year-A36</f>
        <v>7</v>
      </c>
      <c r="F36" s="5" t="n">
        <f aca="false">IF(E36&lt;in_ppe_life,1,0)</f>
        <v>1</v>
      </c>
      <c r="G36" s="40" t="n">
        <f aca="false">MAX(0,(in_ppe_life-E36)/in_ppe_life)</f>
        <v>0.324975891996143</v>
      </c>
      <c r="H36" s="12" t="n">
        <f aca="false">D36*F36</f>
        <v>0.0156478488852599</v>
      </c>
      <c r="I36" s="12" t="n">
        <f aca="false">D36*G36</f>
        <v>0.0050851736493082</v>
      </c>
      <c r="J36" s="5" t="n">
        <f aca="false">VALUE(A36)</f>
        <v>2018</v>
      </c>
    </row>
    <row r="37" customFormat="false" ht="15" hidden="false" customHeight="true" outlineLevel="0" collapsed="false">
      <c r="A37" s="39" t="s">
        <v>210</v>
      </c>
      <c r="B37" s="12" t="n">
        <f aca="false">-INDEX(rep_capex,MATCH(A37,rep_years_cf,0))</f>
        <v>0.010495</v>
      </c>
      <c r="C37" s="32" t="n">
        <f aca="false">INDEX(md_deflator_ppe,MATCH(A37,md_years_bea,0))</f>
        <v>1.16403368636964</v>
      </c>
      <c r="D37" s="12" t="n">
        <f aca="false">B37*C37</f>
        <v>0.0122165335384494</v>
      </c>
      <c r="E37" s="5" t="n">
        <f aca="false">in_anchor_year-A37</f>
        <v>6</v>
      </c>
      <c r="F37" s="5" t="n">
        <f aca="false">IF(E37&lt;in_ppe_life,1,0)</f>
        <v>1</v>
      </c>
      <c r="G37" s="40" t="n">
        <f aca="false">MAX(0,(in_ppe_life-E37)/in_ppe_life)</f>
        <v>0.421407907425265</v>
      </c>
      <c r="H37" s="12" t="n">
        <f aca="false">D37*F37</f>
        <v>0.0122165335384494</v>
      </c>
      <c r="I37" s="12" t="n">
        <f aca="false">D37*G37</f>
        <v>0.00514814383442853</v>
      </c>
      <c r="J37" s="5" t="n">
        <f aca="false">VALUE(A37)</f>
        <v>2019</v>
      </c>
    </row>
    <row r="38" customFormat="false" ht="15" hidden="false" customHeight="true" outlineLevel="0" collapsed="false">
      <c r="A38" s="39" t="s">
        <v>211</v>
      </c>
      <c r="B38" s="12" t="n">
        <f aca="false">-INDEX(rep_capex,MATCH(A38,rep_years_cf,0))</f>
        <v>0.007309</v>
      </c>
      <c r="C38" s="32" t="n">
        <f aca="false">INDEX(md_deflator_ppe,MATCH(A38,md_years_bea,0))</f>
        <v>1.1575953711876</v>
      </c>
      <c r="D38" s="12" t="n">
        <f aca="false">B38*C38</f>
        <v>0.0084608645680102</v>
      </c>
      <c r="E38" s="5" t="n">
        <f aca="false">in_anchor_year-A38</f>
        <v>5</v>
      </c>
      <c r="F38" s="5" t="n">
        <f aca="false">IF(E38&lt;in_ppe_life,1,0)</f>
        <v>1</v>
      </c>
      <c r="G38" s="40" t="n">
        <f aca="false">MAX(0,(in_ppe_life-E38)/in_ppe_life)</f>
        <v>0.517839922854388</v>
      </c>
      <c r="H38" s="12" t="n">
        <f aca="false">D38*F38</f>
        <v>0.0084608645680102</v>
      </c>
      <c r="I38" s="12" t="n">
        <f aca="false">D38*G38</f>
        <v>0.00438137345517982</v>
      </c>
      <c r="J38" s="5" t="n">
        <f aca="false">VALUE(A38)</f>
        <v>2020</v>
      </c>
    </row>
    <row r="39" customFormat="false" ht="15" hidden="false" customHeight="true" outlineLevel="0" collapsed="false">
      <c r="A39" s="39" t="s">
        <v>212</v>
      </c>
      <c r="B39" s="12" t="n">
        <f aca="false">-INDEX(rep_capex,MATCH(A39,rep_years_cf,0))</f>
        <v>0.011085</v>
      </c>
      <c r="C39" s="32" t="n">
        <f aca="false">INDEX(md_deflator_ppe,MATCH(A39,md_years_bea,0))</f>
        <v>1.14438616731461</v>
      </c>
      <c r="D39" s="12" t="n">
        <f aca="false">B39*C39</f>
        <v>0.0126855206646824</v>
      </c>
      <c r="E39" s="5" t="n">
        <f aca="false">in_anchor_year-A39</f>
        <v>4</v>
      </c>
      <c r="F39" s="5" t="n">
        <f aca="false">IF(E39&lt;in_ppe_life,1,0)</f>
        <v>1</v>
      </c>
      <c r="G39" s="40" t="n">
        <f aca="false">MAX(0,(in_ppe_life-E39)/in_ppe_life)</f>
        <v>0.61427193828351</v>
      </c>
      <c r="H39" s="12" t="n">
        <f aca="false">D39*F39</f>
        <v>0.0126855206646824</v>
      </c>
      <c r="I39" s="12" t="n">
        <f aca="false">D39*G39</f>
        <v>0.00779235936683001</v>
      </c>
      <c r="J39" s="5" t="n">
        <f aca="false">VALUE(A39)</f>
        <v>2021</v>
      </c>
    </row>
    <row r="40" customFormat="false" ht="15" hidden="false" customHeight="true" outlineLevel="0" collapsed="false">
      <c r="A40" s="39" t="s">
        <v>213</v>
      </c>
      <c r="B40" s="12" t="n">
        <f aca="false">-INDEX(rep_capex,MATCH(A40,rep_years_cf,0))</f>
        <v>0.010708</v>
      </c>
      <c r="C40" s="32" t="n">
        <f aca="false">INDEX(md_deflator_ppe,MATCH(A40,md_years_bea,0))</f>
        <v>1.07973619457937</v>
      </c>
      <c r="D40" s="12" t="n">
        <f aca="false">B40*C40</f>
        <v>0.0115618151715558</v>
      </c>
      <c r="E40" s="5" t="n">
        <f aca="false">in_anchor_year-A40</f>
        <v>3</v>
      </c>
      <c r="F40" s="5" t="n">
        <f aca="false">IF(E40&lt;in_ppe_life,1,0)</f>
        <v>1</v>
      </c>
      <c r="G40" s="40" t="n">
        <f aca="false">MAX(0,(in_ppe_life-E40)/in_ppe_life)</f>
        <v>0.710703953712633</v>
      </c>
      <c r="H40" s="12" t="n">
        <f aca="false">D40*F40</f>
        <v>0.0115618151715558</v>
      </c>
      <c r="I40" s="12" t="n">
        <f aca="false">D40*G40</f>
        <v>0.00821702775451944</v>
      </c>
      <c r="J40" s="5" t="n">
        <f aca="false">VALUE(A40)</f>
        <v>2022</v>
      </c>
    </row>
    <row r="41" customFormat="false" ht="15" hidden="false" customHeight="true" outlineLevel="0" collapsed="false">
      <c r="A41" s="39" t="s">
        <v>214</v>
      </c>
      <c r="B41" s="12" t="n">
        <f aca="false">-INDEX(rep_capex,MATCH(A41,rep_years_cf,0))</f>
        <v>0.010959</v>
      </c>
      <c r="C41" s="32" t="n">
        <f aca="false">INDEX(md_deflator_ppe,MATCH(A41,md_years_bea,0))</f>
        <v>1.04651884425452</v>
      </c>
      <c r="D41" s="12" t="n">
        <f aca="false">B41*C41</f>
        <v>0.0114688000141853</v>
      </c>
      <c r="E41" s="5" t="n">
        <f aca="false">in_anchor_year-A41</f>
        <v>2</v>
      </c>
      <c r="F41" s="5" t="n">
        <f aca="false">IF(E41&lt;in_ppe_life,1,0)</f>
        <v>1</v>
      </c>
      <c r="G41" s="40" t="n">
        <f aca="false">MAX(0,(in_ppe_life-E41)/in_ppe_life)</f>
        <v>0.807135969141755</v>
      </c>
      <c r="H41" s="12" t="n">
        <f aca="false">D41*F41</f>
        <v>0.0114688000141853</v>
      </c>
      <c r="I41" s="12" t="n">
        <f aca="false">D41*G41</f>
        <v>0.00925688101434241</v>
      </c>
      <c r="J41" s="5" t="n">
        <f aca="false">VALUE(A41)</f>
        <v>2023</v>
      </c>
    </row>
    <row r="42" customFormat="false" ht="15" hidden="false" customHeight="true" outlineLevel="0" collapsed="false">
      <c r="A42" s="39" t="s">
        <v>215</v>
      </c>
      <c r="B42" s="12" t="n">
        <f aca="false">-INDEX(rep_capex,MATCH(A42,rep_years_cf,0))</f>
        <v>0.009447</v>
      </c>
      <c r="C42" s="32" t="n">
        <f aca="false">INDEX(md_deflator_ppe,MATCH(A42,md_years_bea,0))</f>
        <v>1.03250411112277</v>
      </c>
      <c r="D42" s="12" t="n">
        <f aca="false">B42*C42</f>
        <v>0.00975406633777685</v>
      </c>
      <c r="E42" s="5" t="n">
        <f aca="false">in_anchor_year-A42</f>
        <v>1</v>
      </c>
      <c r="F42" s="5" t="n">
        <f aca="false">IF(E42&lt;in_ppe_life,1,0)</f>
        <v>1</v>
      </c>
      <c r="G42" s="40" t="n">
        <f aca="false">MAX(0,(in_ppe_life-E42)/in_ppe_life)</f>
        <v>0.903567984570878</v>
      </c>
      <c r="H42" s="12" t="n">
        <f aca="false">D42*F42</f>
        <v>0.00975406633777685</v>
      </c>
      <c r="I42" s="12" t="n">
        <f aca="false">D42*G42</f>
        <v>0.00881346206219567</v>
      </c>
      <c r="J42" s="5" t="n">
        <f aca="false">VALUE(A42)</f>
        <v>2024</v>
      </c>
    </row>
    <row r="43" customFormat="false" ht="15" hidden="false" customHeight="true" outlineLevel="0" collapsed="false">
      <c r="A43" s="39" t="s">
        <v>216</v>
      </c>
      <c r="B43" s="12" t="n">
        <f aca="false">-INDEX(rep_capex,MATCH(A43,rep_years_cf,0))</f>
        <v>0.012715</v>
      </c>
      <c r="C43" s="32" t="n">
        <f aca="false">INDEX(md_deflator_ppe,MATCH(A43,md_years_bea,0))</f>
        <v>1.01724420238023</v>
      </c>
      <c r="D43" s="12" t="n">
        <f aca="false">B43*C43</f>
        <v>0.0129342600332647</v>
      </c>
      <c r="E43" s="5" t="n">
        <f aca="false">in_anchor_year-A43</f>
        <v>0</v>
      </c>
      <c r="F43" s="5" t="n">
        <f aca="false">IF(E43&lt;in_ppe_life,1,0)</f>
        <v>1</v>
      </c>
      <c r="G43" s="40" t="n">
        <f aca="false">MAX(0,(in_ppe_life-E43)/in_ppe_life)</f>
        <v>1</v>
      </c>
      <c r="H43" s="12" t="n">
        <f aca="false">D43*F43</f>
        <v>0.0129342600332647</v>
      </c>
      <c r="I43" s="12" t="n">
        <f aca="false">D43*G43</f>
        <v>0.0129342600332647</v>
      </c>
      <c r="J43" s="5" t="n">
        <f aca="false">VALUE(A43)</f>
        <v>2025</v>
      </c>
    </row>
    <row r="45" customFormat="false" ht="15" hidden="false" customHeight="true" outlineLevel="0" collapsed="false">
      <c r="A45" s="4" t="s">
        <v>498</v>
      </c>
    </row>
    <row r="46" customFormat="false" ht="15" hidden="false" customHeight="true" outlineLevel="0" collapsed="false">
      <c r="A46" s="26" t="s">
        <v>499</v>
      </c>
      <c r="B46" s="12" t="n">
        <f aca="false">SUM(H7:H43)</f>
        <v>0.137782172358019</v>
      </c>
    </row>
    <row r="47" customFormat="false" ht="15" hidden="false" customHeight="true" outlineLevel="0" collapsed="false">
      <c r="A47" s="26" t="s">
        <v>500</v>
      </c>
      <c r="B47" s="12" t="n">
        <f aca="false">SUM(I7:I43)</f>
        <v>0.0674578731365555</v>
      </c>
    </row>
    <row r="48" customFormat="false" ht="15" hidden="false" customHeight="true" outlineLevel="0" collapsed="false">
      <c r="A48" s="26" t="s">
        <v>501</v>
      </c>
      <c r="B48" s="12" t="n">
        <f aca="false">B46-B47</f>
        <v>0.0703242992214632</v>
      </c>
    </row>
    <row r="49" customFormat="false" ht="15" hidden="false" customHeight="true" outlineLevel="0" collapsed="false">
      <c r="A49" s="26" t="s">
        <v>502</v>
      </c>
      <c r="B49" s="12" t="n">
        <f aca="false">B46/in_ppe_life</f>
        <v>0.0132866125706865</v>
      </c>
    </row>
    <row r="51" customFormat="false" ht="15" hidden="false" customHeight="true" outlineLevel="0" collapsed="false">
      <c r="A51" s="4" t="s">
        <v>503</v>
      </c>
    </row>
    <row r="52" customFormat="false" ht="15" hidden="false" customHeight="true" outlineLevel="0" collapsed="false">
      <c r="A52" s="26" t="s">
        <v>504</v>
      </c>
      <c r="B52" s="12" t="n">
        <f aca="false">INDEX(rep_gross_ppe,MATCH(in_anchor_year&amp;"",rep_years_bs,0))</f>
        <v>0.125848</v>
      </c>
    </row>
    <row r="53" customFormat="false" ht="15" hidden="false" customHeight="true" outlineLevel="0" collapsed="false">
      <c r="A53" s="26" t="s">
        <v>505</v>
      </c>
      <c r="B53" s="12" t="n">
        <f aca="false">INDEX(rep_net_ppe,MATCH(in_anchor_year&amp;"",rep_years_bs,0))</f>
        <v>0.049834</v>
      </c>
    </row>
    <row r="54" customFormat="false" ht="15" hidden="false" customHeight="true" outlineLevel="0" collapsed="false">
      <c r="A54" s="26" t="s">
        <v>506</v>
      </c>
      <c r="B54" s="40" t="n">
        <f aca="false">B46/B52</f>
        <v>1.09483005179279</v>
      </c>
    </row>
    <row r="55" customFormat="false" ht="15" hidden="false" customHeight="true" outlineLevel="0" collapsed="false">
      <c r="A55" s="26" t="s">
        <v>507</v>
      </c>
      <c r="B55" s="40" t="n">
        <f aca="false">B47/B53</f>
        <v>1.35365158599662</v>
      </c>
    </row>
    <row r="56" customFormat="false" ht="15" hidden="false" customHeight="true" outlineLevel="0" collapsed="false">
      <c r="A56" s="26" t="s">
        <v>508</v>
      </c>
      <c r="B56" s="5" t="n">
        <f aca="false">SUM(F7:F43)</f>
        <v>11</v>
      </c>
    </row>
    <row r="58" customFormat="false" ht="15" hidden="false" customHeight="true" outlineLevel="0" collapsed="false">
      <c r="A58" s="4" t="s">
        <v>509</v>
      </c>
    </row>
    <row r="59" customFormat="false" ht="15" hidden="false" customHeight="true" outlineLevel="0" collapsed="false">
      <c r="A59" s="26" t="s">
        <v>510</v>
      </c>
      <c r="B59" s="12" t="n">
        <f aca="false">in_rd_expense0</f>
        <v>0</v>
      </c>
    </row>
    <row r="60" customFormat="false" ht="15" hidden="false" customHeight="true" outlineLevel="0" collapsed="false">
      <c r="A60" s="26" t="s">
        <v>511</v>
      </c>
      <c r="B60" s="20" t="n">
        <f aca="false">in_rd_life</f>
        <v>5</v>
      </c>
    </row>
    <row r="61" customFormat="false" ht="15" hidden="false" customHeight="true" outlineLevel="0" collapsed="false">
      <c r="A61" s="26" t="s">
        <v>512</v>
      </c>
      <c r="B61" s="12" t="n">
        <f aca="false">B59*B60</f>
        <v>0</v>
      </c>
    </row>
    <row r="64" customFormat="false" ht="15" hidden="false" customHeight="true" outlineLevel="0" collapsed="false">
      <c r="A64" s="4" t="s">
        <v>513</v>
      </c>
    </row>
    <row r="65" customFormat="false" ht="15" hidden="false" customHeight="true" outlineLevel="0" collapsed="false">
      <c r="A65" s="23" t="s">
        <v>514</v>
      </c>
      <c r="B65" s="34" t="n">
        <f aca="false">C65-1</f>
        <v>2008</v>
      </c>
      <c r="C65" s="34" t="n">
        <f aca="false">D65-1</f>
        <v>2009</v>
      </c>
      <c r="D65" s="34" t="n">
        <f aca="false">E65-1</f>
        <v>2010</v>
      </c>
      <c r="E65" s="34" t="n">
        <f aca="false">F65-1</f>
        <v>2011</v>
      </c>
      <c r="F65" s="34" t="n">
        <f aca="false">G65-1</f>
        <v>2012</v>
      </c>
      <c r="G65" s="34" t="n">
        <f aca="false">H65-1</f>
        <v>2013</v>
      </c>
      <c r="H65" s="34" t="n">
        <f aca="false">I65-1</f>
        <v>2014</v>
      </c>
      <c r="I65" s="34" t="n">
        <f aca="false">J65-1</f>
        <v>2015</v>
      </c>
      <c r="J65" s="34" t="n">
        <f aca="false">K65-1</f>
        <v>2016</v>
      </c>
      <c r="K65" s="34" t="n">
        <f aca="false">L65-1</f>
        <v>2017</v>
      </c>
      <c r="L65" s="34" t="n">
        <f aca="false">M65-1</f>
        <v>2018</v>
      </c>
      <c r="M65" s="34" t="n">
        <f aca="false">N65-1</f>
        <v>2019</v>
      </c>
      <c r="N65" s="34" t="n">
        <f aca="false">O65-1</f>
        <v>2020</v>
      </c>
      <c r="O65" s="34" t="n">
        <f aca="false">P65-1</f>
        <v>2021</v>
      </c>
      <c r="P65" s="34" t="n">
        <f aca="false">Q65-1</f>
        <v>2022</v>
      </c>
      <c r="Q65" s="34" t="n">
        <f aca="false">R65-1</f>
        <v>2023</v>
      </c>
      <c r="R65" s="34" t="n">
        <f aca="false">S65-1</f>
        <v>2024</v>
      </c>
      <c r="S65" s="34" t="n">
        <f aca="false">in_anchor_year</f>
        <v>2025</v>
      </c>
    </row>
    <row r="66" customFormat="false" ht="15" hidden="false" customHeight="true" outlineLevel="0" collapsed="false">
      <c r="A66" s="26" t="s">
        <v>515</v>
      </c>
      <c r="B66" s="12" t="n">
        <f aca="false">SUMPRODUCT($D$7:$D$43*($J$7:$J$43&lt;=B65)*((B65-$J$7:$J$43)&lt;in_ppe_life))</f>
        <v>0.00455641789148893</v>
      </c>
      <c r="C66" s="12" t="n">
        <f aca="false">SUMPRODUCT($D$7:$D$43*($J$7:$J$43&lt;=C65)*((C65-$J$7:$J$43)&lt;in_ppe_life))</f>
        <v>0.00585613714912897</v>
      </c>
      <c r="D66" s="12" t="n">
        <f aca="false">SUMPRODUCT($D$7:$D$43*($J$7:$J$43&lt;=D65)*((D65-$J$7:$J$43)&lt;in_ppe_life))</f>
        <v>0.00824320939694481</v>
      </c>
      <c r="E66" s="12" t="n">
        <f aca="false">SUMPRODUCT($D$7:$D$43*($J$7:$J$43&lt;=E65)*((E65-$J$7:$J$43)&lt;in_ppe_life))</f>
        <v>0.0132499575279625</v>
      </c>
      <c r="F66" s="12" t="n">
        <f aca="false">SUMPRODUCT($D$7:$D$43*($J$7:$J$43&lt;=F65)*((F65-$J$7:$J$43)&lt;in_ppe_life))</f>
        <v>0.0228286620549437</v>
      </c>
      <c r="G66" s="12" t="n">
        <f aca="false">SUMPRODUCT($D$7:$D$43*($J$7:$J$43&lt;=G65)*((G65-$J$7:$J$43)&lt;in_ppe_life))</f>
        <v>0.0323163531583565</v>
      </c>
      <c r="H66" s="12" t="n">
        <f aca="false">SUMPRODUCT($D$7:$D$43*($J$7:$J$43&lt;=H65)*((H65-$J$7:$J$43)&lt;in_ppe_life))</f>
        <v>0.0433810318835704</v>
      </c>
      <c r="I66" s="12" t="n">
        <f aca="false">SUMPRODUCT($D$7:$D$43*($J$7:$J$43&lt;=I65)*((I65-$J$7:$J$43)&lt;in_ppe_life))</f>
        <v>0.0563840729346637</v>
      </c>
      <c r="J66" s="12" t="n">
        <f aca="false">SUMPRODUCT($D$7:$D$43*($J$7:$J$43&lt;=J65)*((J65-$J$7:$J$43)&lt;in_ppe_life))</f>
        <v>0.0711818019199301</v>
      </c>
      <c r="K66" s="12" t="n">
        <f aca="false">SUMPRODUCT($D$7:$D$43*($J$7:$J$43&lt;=K65)*((K65-$J$7:$J$43)&lt;in_ppe_life))</f>
        <v>0.0850716810757854</v>
      </c>
      <c r="L66" s="12" t="n">
        <f aca="false">SUMPRODUCT($D$7:$D$43*($J$7:$J$43&lt;=L65)*((L65-$J$7:$J$43)&lt;in_ppe_life))</f>
        <v>0.0998307929065182</v>
      </c>
      <c r="M66" s="12" t="n">
        <f aca="false">SUMPRODUCT($D$7:$D$43*($J$7:$J$43&lt;=M65)*((M65-$J$7:$J$43)&lt;in_ppe_life))</f>
        <v>0.110748233921867</v>
      </c>
      <c r="N66" s="12" t="n">
        <f aca="false">SUMPRODUCT($D$7:$D$43*($J$7:$J$43&lt;=N65)*((N65-$J$7:$J$43)&lt;in_ppe_life))</f>
        <v>0.117837989725358</v>
      </c>
      <c r="O66" s="12" t="n">
        <f aca="false">SUMPRODUCT($D$7:$D$43*($J$7:$J$43&lt;=O65)*((O65-$J$7:$J$43)&lt;in_ppe_life))</f>
        <v>0.128075915374786</v>
      </c>
      <c r="P66" s="12" t="n">
        <f aca="false">SUMPRODUCT($D$7:$D$43*($J$7:$J$43&lt;=P65)*((P65-$J$7:$J$43)&lt;in_ppe_life))</f>
        <v>0.13449379667016</v>
      </c>
      <c r="Q66" s="12" t="n">
        <f aca="false">SUMPRODUCT($D$7:$D$43*($J$7:$J$43&lt;=Q65)*((Q65-$J$7:$J$43)&lt;in_ppe_life))</f>
        <v>0.136085245731052</v>
      </c>
      <c r="R66" s="12" t="n">
        <f aca="false">SUMPRODUCT($D$7:$D$43*($J$7:$J$43&lt;=R65)*((R65-$J$7:$J$43)&lt;in_ppe_life))</f>
        <v>0.136126459979218</v>
      </c>
      <c r="S66" s="12" t="n">
        <f aca="false">SUMPRODUCT($D$7:$D$43*($J$7:$J$43&lt;=S65)*((S65-$J$7:$J$43)&lt;in_ppe_life))</f>
        <v>0.137782172358019</v>
      </c>
    </row>
    <row r="67" customFormat="false" ht="15" hidden="false" customHeight="true" outlineLevel="0" collapsed="false">
      <c r="A67" s="26" t="s">
        <v>516</v>
      </c>
      <c r="B67" s="12" t="n">
        <f aca="false">SUMPRODUCT($D$7:$D$43*($J$7:$J$43&lt;=B65)*((in_ppe_life-(B65-$J$7:$J$43))&gt;0)*(in_ppe_life-(B65-$J$7:$J$43))/in_ppe_life)</f>
        <v>0.00347048806335224</v>
      </c>
      <c r="C67" s="12" t="n">
        <f aca="false">SUMPRODUCT($D$7:$D$43*($J$7:$J$43&lt;=C65)*((in_ppe_life-(C65-$J$7:$J$43))&gt;0)*(in_ppe_life-(C65-$J$7:$J$43))/in_ppe_life)</f>
        <v>0.00440654933489638</v>
      </c>
      <c r="D67" s="12" t="n">
        <f aca="false">SUMPRODUCT($D$7:$D$43*($J$7:$J$43&lt;=D65)*((in_ppe_life-(D65-$J$7:$J$43))&gt;0)*(in_ppe_life-(D65-$J$7:$J$43))/in_ppe_life)</f>
        <v>0.00629310213167002</v>
      </c>
      <c r="E67" s="12" t="n">
        <f aca="false">SUMPRODUCT($D$7:$D$43*($J$7:$J$43&lt;=E65)*((in_ppe_life-(E65-$J$7:$J$43))&gt;0)*(in_ppe_life-(E65-$J$7:$J$43))/in_ppe_life)</f>
        <v>0.0106504610437733</v>
      </c>
      <c r="F67" s="12" t="n">
        <f aca="false">SUMPRODUCT($D$7:$D$43*($J$7:$J$43&lt;=F65)*((in_ppe_life-(F65-$J$7:$J$43))&gt;0)*(in_ppe_life-(F65-$J$7:$J$43))/in_ppe_life)</f>
        <v>0.0192682353066729</v>
      </c>
      <c r="G67" s="12" t="n">
        <f aca="false">SUMPRODUCT($D$7:$D$43*($J$7:$J$43&lt;=G65)*((in_ppe_life-(G65-$J$7:$J$43))&gt;0)*(in_ppe_life-(G65-$J$7:$J$43))/in_ppe_life)</f>
        <v>0.0267933525232232</v>
      </c>
      <c r="H67" s="12" t="n">
        <f aca="false">SUMPRODUCT($D$7:$D$43*($J$7:$J$43&lt;=H65)*((in_ppe_life-(H65-$J$7:$J$43))&gt;0)*(in_ppe_life-(H65-$J$7:$J$43))/in_ppe_life)</f>
        <v>0.0349685621127953</v>
      </c>
      <c r="I67" s="12" t="n">
        <f aca="false">SUMPRODUCT($D$7:$D$43*($J$7:$J$43&lt;=I65)*((in_ppe_life-(I65-$J$7:$J$43))&gt;0)*(in_ppe_life-(I65-$J$7:$J$43))/in_ppe_life)</f>
        <v>0.0440293633307071</v>
      </c>
      <c r="J67" s="12" t="n">
        <f aca="false">SUMPRODUCT($D$7:$D$43*($J$7:$J$43&lt;=J65)*((in_ppe_life-(J65-$J$7:$J$43))&gt;0)*(in_ppe_life-(J65-$J$7:$J$43))/in_ppe_life)</f>
        <v>0.05373700379573</v>
      </c>
      <c r="K67" s="12" t="n">
        <f aca="false">SUMPRODUCT($D$7:$D$43*($J$7:$J$43&lt;=K65)*((in_ppe_life-(K65-$J$7:$J$43))&gt;0)*(in_ppe_life-(K65-$J$7:$J$43))/in_ppe_life)</f>
        <v>0.0616190036618709</v>
      </c>
      <c r="L67" s="12" t="n">
        <f aca="false">SUMPRODUCT($D$7:$D$43*($J$7:$J$43&lt;=L65)*((in_ppe_life-(L65-$J$7:$J$43))&gt;0)*(in_ppe_life-(L65-$J$7:$J$43))/in_ppe_life)</f>
        <v>0.0691172115894227</v>
      </c>
      <c r="M67" s="12" t="n">
        <f aca="false">SUMPRODUCT($D$7:$D$43*($J$7:$J$43&lt;=M65)*((in_ppe_life-(M65-$J$7:$J$43))&gt;0)*(in_ppe_life-(M65-$J$7:$J$43))/in_ppe_life)</f>
        <v>0.0717857832554551</v>
      </c>
      <c r="N67" s="12" t="n">
        <f aca="false">SUMPRODUCT($D$7:$D$43*($J$7:$J$43&lt;=N65)*((in_ppe_life-(N65-$J$7:$J$43))&gt;0)*(in_ppe_life-(N65-$J$7:$J$43))/in_ppe_life)</f>
        <v>0.0696502702535309</v>
      </c>
      <c r="O67" s="12" t="n">
        <f aca="false">SUMPRODUCT($D$7:$D$43*($J$7:$J$43&lt;=O65)*((in_ppe_life-(O65-$J$7:$J$43))&gt;0)*(in_ppe_life-(O65-$J$7:$J$43))/in_ppe_life)</f>
        <v>0.0711211327826542</v>
      </c>
      <c r="P67" s="12" t="n">
        <f aca="false">SUMPRODUCT($D$7:$D$43*($J$7:$J$43&lt;=P65)*((in_ppe_life-(P65-$J$7:$J$43))&gt;0)*(in_ppe_life-(P65-$J$7:$J$43))/in_ppe_life)</f>
        <v>0.0706448344505657</v>
      </c>
      <c r="Q67" s="12" t="n">
        <f aca="false">SUMPRODUCT($D$7:$D$43*($J$7:$J$43&lt;=Q65)*((in_ppe_life-(Q65-$J$7:$J$43))&gt;0)*(in_ppe_life-(Q65-$J$7:$J$43))/in_ppe_life)</f>
        <v>0.0697441970906348</v>
      </c>
      <c r="R67" s="12" t="n">
        <f aca="false">SUMPRODUCT($D$7:$D$43*($J$7:$J$43&lt;=R65)*((in_ppe_life-(R65-$J$7:$J$43))&gt;0)*(in_ppe_life-(R65-$J$7:$J$43))/in_ppe_life)</f>
        <v>0.0669653657510156</v>
      </c>
      <c r="S67" s="12" t="n">
        <f aca="false">SUMPRODUCT($D$7:$D$43*($J$7:$J$43&lt;=S65)*((in_ppe_life-(S65-$J$7:$J$43))&gt;0)*(in_ppe_life-(S65-$J$7:$J$43))/in_ppe_life)</f>
        <v>0.0674578731365555</v>
      </c>
    </row>
    <row r="68" customFormat="false" ht="15" hidden="false" customHeight="true" outlineLevel="0" collapsed="false">
      <c r="A68" s="26" t="s">
        <v>517</v>
      </c>
      <c r="B68" s="12" t="n">
        <f aca="false">B66/in_ppe_life</f>
        <v>0.00043938456041359</v>
      </c>
      <c r="C68" s="12" t="n">
        <f aca="false">C66/in_ppe_life</f>
        <v>0.000564719107919862</v>
      </c>
      <c r="D68" s="12" t="n">
        <f aca="false">D66/in_ppe_life</f>
        <v>0.000794909295751669</v>
      </c>
      <c r="E68" s="12" t="n">
        <f aca="false">E66/in_ppe_life</f>
        <v>0.0012777201087717</v>
      </c>
      <c r="F68" s="12" t="n">
        <f aca="false">F66/in_ppe_life</f>
        <v>0.00220141389150855</v>
      </c>
      <c r="G68" s="12" t="n">
        <f aca="false">G66/in_ppe_life</f>
        <v>0.00311633106637961</v>
      </c>
      <c r="H68" s="12" t="n">
        <f aca="false">H66/in_ppe_life</f>
        <v>0.00418332033592771</v>
      </c>
      <c r="I68" s="12" t="n">
        <f aca="false">I66/in_ppe_life</f>
        <v>0.00543722979119226</v>
      </c>
      <c r="J68" s="12" t="n">
        <f aca="false">J66/in_ppe_life</f>
        <v>0.00686420462101544</v>
      </c>
      <c r="K68" s="12" t="n">
        <f aca="false">K66/in_ppe_life</f>
        <v>0.00820363366208153</v>
      </c>
      <c r="L68" s="12" t="n">
        <f aca="false">L66/in_ppe_life</f>
        <v>0.00962688456186289</v>
      </c>
      <c r="M68" s="12" t="n">
        <f aca="false">M66/in_ppe_life</f>
        <v>0.0106796754023016</v>
      </c>
      <c r="N68" s="12" t="n">
        <f aca="false">N66/in_ppe_life</f>
        <v>0.0113633548433325</v>
      </c>
      <c r="O68" s="12" t="n">
        <f aca="false">O66/in_ppe_life</f>
        <v>0.0123506186475204</v>
      </c>
      <c r="P68" s="12" t="n">
        <f aca="false">P66/in_ppe_life</f>
        <v>0.0129695078756182</v>
      </c>
      <c r="Q68" s="12" t="n">
        <f aca="false">Q66/in_ppe_life</f>
        <v>0.0131229745160127</v>
      </c>
      <c r="R68" s="12" t="n">
        <f aca="false">R66/in_ppe_life</f>
        <v>0.0131269488890278</v>
      </c>
      <c r="S68" s="12" t="n">
        <f aca="false">S66/in_ppe_life</f>
        <v>0.0132866125706865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19" min="2" style="1" width="11"/>
  </cols>
  <sheetData>
    <row r="1" customFormat="false" ht="15" hidden="false" customHeight="true" outlineLevel="0" collapsed="false">
      <c r="A1" s="2" t="s">
        <v>518</v>
      </c>
    </row>
    <row r="2" customFormat="false" ht="15" hidden="false" customHeight="true" outlineLevel="0" collapsed="false">
      <c r="A2" s="3" t="s">
        <v>519</v>
      </c>
    </row>
    <row r="4" customFormat="false" ht="15" hidden="false" customHeight="true" outlineLevel="0" collapsed="false">
      <c r="A4" s="23" t="s">
        <v>520</v>
      </c>
      <c r="B4" s="26" t="str">
        <f aca="false">cfg_restatement</f>
        <v>Economic</v>
      </c>
    </row>
    <row r="5" customFormat="false" ht="15" hidden="false" customHeight="true" outlineLevel="0" collapsed="false">
      <c r="A5" s="23" t="s">
        <v>521</v>
      </c>
      <c r="B5" s="24" t="str">
        <f aca="false">TEXT(VALUE(C$5)-1,"0")</f>
        <v>2008</v>
      </c>
      <c r="C5" s="24" t="str">
        <f aca="false">TEXT(VALUE(D$5)-1,"0")</f>
        <v>2009</v>
      </c>
      <c r="D5" s="24" t="str">
        <f aca="false">TEXT(VALUE(E$5)-1,"0")</f>
        <v>2010</v>
      </c>
      <c r="E5" s="24" t="str">
        <f aca="false">TEXT(VALUE(F$5)-1,"0")</f>
        <v>2011</v>
      </c>
      <c r="F5" s="24" t="str">
        <f aca="false">TEXT(VALUE(G$5)-1,"0")</f>
        <v>2012</v>
      </c>
      <c r="G5" s="24" t="str">
        <f aca="false">TEXT(VALUE(H$5)-1,"0")</f>
        <v>2013</v>
      </c>
      <c r="H5" s="24" t="str">
        <f aca="false">TEXT(VALUE(I$5)-1,"0")</f>
        <v>2014</v>
      </c>
      <c r="I5" s="24" t="str">
        <f aca="false">TEXT(VALUE(J$5)-1,"0")</f>
        <v>2015</v>
      </c>
      <c r="J5" s="24" t="str">
        <f aca="false">TEXT(VALUE(K$5)-1,"0")</f>
        <v>2016</v>
      </c>
      <c r="K5" s="24" t="str">
        <f aca="false">TEXT(VALUE(L$5)-1,"0")</f>
        <v>2017</v>
      </c>
      <c r="L5" s="24" t="str">
        <f aca="false">TEXT(VALUE(M$5)-1,"0")</f>
        <v>2018</v>
      </c>
      <c r="M5" s="24" t="str">
        <f aca="false">TEXT(VALUE(N$5)-1,"0")</f>
        <v>2019</v>
      </c>
      <c r="N5" s="24" t="str">
        <f aca="false">TEXT(VALUE(O$5)-1,"0")</f>
        <v>2020</v>
      </c>
      <c r="O5" s="24" t="str">
        <f aca="false">TEXT(VALUE(P$5)-1,"0")</f>
        <v>2021</v>
      </c>
      <c r="P5" s="24" t="str">
        <f aca="false">TEXT(VALUE(Q$5)-1,"0")</f>
        <v>2022</v>
      </c>
      <c r="Q5" s="24" t="str">
        <f aca="false">TEXT(VALUE(R$5)-1,"0")</f>
        <v>2023</v>
      </c>
      <c r="R5" s="24" t="str">
        <f aca="false">TEXT(VALUE(S$5)-1,"0")</f>
        <v>2024</v>
      </c>
      <c r="S5" s="24" t="str">
        <f aca="false">TEXT(in_anchor_year,"0")</f>
        <v>2025</v>
      </c>
    </row>
    <row r="6" customFormat="false" ht="15" hidden="false" customHeight="true" outlineLevel="0" collapsed="false">
      <c r="A6" s="26" t="s">
        <v>522</v>
      </c>
      <c r="B6" s="41" t="n">
        <f aca="false">IFERROR(INDEX(md_deflator,MATCH(B$5,md_years,0)),1)</f>
        <v>1.55651802343674</v>
      </c>
      <c r="C6" s="41" t="n">
        <f aca="false">IFERROR(INDEX(md_deflator,MATCH(C$5,md_years,0)),1)</f>
        <v>1.56207553941744</v>
      </c>
      <c r="D6" s="41" t="n">
        <f aca="false">IFERROR(INDEX(md_deflator,MATCH(D$5,md_years,0)),1)</f>
        <v>1.53686667645009</v>
      </c>
      <c r="E6" s="41" t="n">
        <f aca="false">IFERROR(INDEX(md_deflator,MATCH(E$5,md_years,0)),1)</f>
        <v>1.48983946758899</v>
      </c>
      <c r="F6" s="41" t="n">
        <f aca="false">IFERROR(INDEX(md_deflator,MATCH(F$5,md_years,0)),1)</f>
        <v>1.45963309145709</v>
      </c>
      <c r="G6" s="41" t="n">
        <f aca="false">IFERROR(INDEX(md_deflator,MATCH(G$5,md_years,0)),1)</f>
        <v>1.43856162296046</v>
      </c>
      <c r="H6" s="41" t="n">
        <f aca="false">IFERROR(INDEX(md_deflator,MATCH(H$5,md_years,0)),1)</f>
        <v>1.4155979656664</v>
      </c>
      <c r="I6" s="41" t="n">
        <f aca="false">IFERROR(INDEX(md_deflator,MATCH(I$5,md_years,0)),1)</f>
        <v>1.41391967664767</v>
      </c>
      <c r="J6" s="41" t="n">
        <f aca="false">IFERROR(INDEX(md_deflator,MATCH(J$5,md_years,0)),1)</f>
        <v>1.39630510776769</v>
      </c>
      <c r="K6" s="41" t="n">
        <f aca="false">IFERROR(INDEX(md_deflator,MATCH(K$5,md_years,0)),1)</f>
        <v>1.36717934073107</v>
      </c>
      <c r="L6" s="41" t="n">
        <f aca="false">IFERROR(INDEX(md_deflator,MATCH(L$5,md_years,0)),1)</f>
        <v>1.33458246882803</v>
      </c>
      <c r="M6" s="41" t="n">
        <f aca="false">IFERROR(INDEX(md_deflator,MATCH(M$5,md_years,0)),1)</f>
        <v>1.31083052683869</v>
      </c>
      <c r="N6" s="41" t="n">
        <f aca="false">IFERROR(INDEX(md_deflator,MATCH(N$5,md_years,0)),1)</f>
        <v>1.29485609189718</v>
      </c>
      <c r="O6" s="41" t="n">
        <f aca="false">IFERROR(INDEX(md_deflator,MATCH(O$5,md_years,0)),1)</f>
        <v>1.23675314610473</v>
      </c>
      <c r="P6" s="41" t="n">
        <f aca="false">IFERROR(INDEX(md_deflator,MATCH(P$5,md_years,0)),1)</f>
        <v>1.14511284618407</v>
      </c>
      <c r="Q6" s="41" t="n">
        <f aca="false">IFERROR(INDEX(md_deflator,MATCH(Q$5,md_years,0)),1)</f>
        <v>1.0998385307612</v>
      </c>
      <c r="R6" s="41" t="n">
        <f aca="false">IFERROR(INDEX(md_deflator,MATCH(R$5,md_years,0)),1)</f>
        <v>1.06832882249617</v>
      </c>
      <c r="S6" s="41" t="n">
        <f aca="false">IFERROR(INDEX(md_deflator,MATCH(S$5,md_years,0)),1)</f>
        <v>1.04093892397101</v>
      </c>
    </row>
    <row r="7" customFormat="false" ht="15" hidden="false" customHeight="true" outlineLevel="0" collapsed="false">
      <c r="A7" s="26" t="s">
        <v>523</v>
      </c>
      <c r="B7" s="41" t="n">
        <f aca="false">IFERROR(INDEX(md_deflator_ppe,MATCH(B$5,md_years_bea,0)),1)</f>
        <v>1.19073558487673</v>
      </c>
      <c r="C7" s="41" t="n">
        <f aca="false">IFERROR(INDEX(md_deflator_ppe,MATCH(C$5,md_years_bea,0)),1)</f>
        <v>1.19852164730729</v>
      </c>
      <c r="D7" s="41" t="n">
        <f aca="false">IFERROR(INDEX(md_deflator_ppe,MATCH(D$5,md_years_bea,0)),1)</f>
        <v>1.22074564351828</v>
      </c>
      <c r="E7" s="41" t="n">
        <f aca="false">IFERROR(INDEX(md_deflator_ppe,MATCH(E$5,md_years_bea,0)),1)</f>
        <v>1.20749621506608</v>
      </c>
      <c r="F7" s="41" t="n">
        <f aca="false">IFERROR(INDEX(md_deflator_ppe,MATCH(F$5,md_years_bea,0)),1)</f>
        <v>1.19075960859477</v>
      </c>
      <c r="G7" s="41" t="n">
        <f aca="false">IFERROR(INDEX(md_deflator_ppe,MATCH(G$5,md_years_bea,0)),1)</f>
        <v>1.18957159701297</v>
      </c>
      <c r="H7" s="41" t="n">
        <f aca="false">IFERROR(INDEX(md_deflator_ppe,MATCH(H$5,md_years_bea,0)),1)</f>
        <v>1.17840848965249</v>
      </c>
      <c r="I7" s="41" t="n">
        <f aca="false">IFERROR(INDEX(md_deflator_ppe,MATCH(I$5,md_years_bea,0)),1)</f>
        <v>1.17634162140615</v>
      </c>
      <c r="J7" s="41" t="n">
        <f aca="false">IFERROR(INDEX(md_deflator_ppe,MATCH(J$5,md_years_bea,0)),1)</f>
        <v>1.18776413765345</v>
      </c>
      <c r="K7" s="41" t="n">
        <f aca="false">IFERROR(INDEX(md_deflator_ppe,MATCH(K$5,md_years_bea,0)),1)</f>
        <v>1.1804</v>
      </c>
      <c r="L7" s="41" t="n">
        <f aca="false">IFERROR(INDEX(md_deflator_ppe,MATCH(L$5,md_years_bea,0)),1)</f>
        <v>1.17538112260647</v>
      </c>
      <c r="M7" s="41" t="n">
        <f aca="false">IFERROR(INDEX(md_deflator_ppe,MATCH(M$5,md_years_bea,0)),1)</f>
        <v>1.16403368636964</v>
      </c>
      <c r="N7" s="41" t="n">
        <f aca="false">IFERROR(INDEX(md_deflator_ppe,MATCH(N$5,md_years_bea,0)),1)</f>
        <v>1.1575953711876</v>
      </c>
      <c r="O7" s="41" t="n">
        <f aca="false">IFERROR(INDEX(md_deflator_ppe,MATCH(O$5,md_years_bea,0)),1)</f>
        <v>1.14438616731461</v>
      </c>
      <c r="P7" s="41" t="n">
        <f aca="false">IFERROR(INDEX(md_deflator_ppe,MATCH(P$5,md_years_bea,0)),1)</f>
        <v>1.07973619457937</v>
      </c>
      <c r="Q7" s="41" t="n">
        <f aca="false">IFERROR(INDEX(md_deflator_ppe,MATCH(Q$5,md_years_bea,0)),1)</f>
        <v>1.04651884425452</v>
      </c>
      <c r="R7" s="41" t="n">
        <f aca="false">IFERROR(INDEX(md_deflator_ppe,MATCH(R$5,md_years_bea,0)),1)</f>
        <v>1.03250411112277</v>
      </c>
      <c r="S7" s="41" t="n">
        <f aca="false">IFERROR(INDEX(md_deflator_ppe,MATCH(S$5,md_years_bea,0)),1)</f>
        <v>1.01724420238023</v>
      </c>
    </row>
    <row r="9" customFormat="false" ht="15" hidden="false" customHeight="true" outlineLevel="0" collapsed="false">
      <c r="A9" s="4" t="s">
        <v>524</v>
      </c>
    </row>
    <row r="10" customFormat="false" ht="15" hidden="false" customHeight="true" outlineLevel="0" collapsed="false">
      <c r="A10" s="26" t="s">
        <v>525</v>
      </c>
      <c r="B10" s="42" t="n">
        <f aca="false">IFERROR(INDEX(rep_total_assets,MATCH(B$5,rep_years_bs,0)),0)</f>
        <v>0.039572</v>
      </c>
      <c r="C10" s="42" t="n">
        <f aca="false">IFERROR(INDEX(rep_total_assets,MATCH(C$5,rep_years_bs,0)),0)</f>
        <v>0.053851</v>
      </c>
      <c r="D10" s="42" t="n">
        <f aca="false">IFERROR(INDEX(rep_total_assets,MATCH(D$5,rep_years_bs,0)),0)</f>
        <v>0.075183</v>
      </c>
      <c r="E10" s="42" t="n">
        <f aca="false">IFERROR(INDEX(rep_total_assets,MATCH(E$5,rep_years_bs,0)),0)</f>
        <v>0.116371</v>
      </c>
      <c r="F10" s="42" t="n">
        <f aca="false">IFERROR(INDEX(rep_total_assets,MATCH(F$5,rep_years_bs,0)),0)</f>
        <v>0.176064</v>
      </c>
      <c r="G10" s="42" t="n">
        <f aca="false">IFERROR(INDEX(rep_total_assets,MATCH(G$5,rep_years_bs,0)),0)</f>
        <v>0.207</v>
      </c>
      <c r="H10" s="42" t="n">
        <f aca="false">IFERROR(INDEX(rep_total_assets,MATCH(H$5,rep_years_bs,0)),0)</f>
        <v>0.231839</v>
      </c>
      <c r="I10" s="42" t="n">
        <f aca="false">IFERROR(INDEX(rep_total_assets,MATCH(I$5,rep_years_bs,0)),0)</f>
        <v>0.290479</v>
      </c>
      <c r="J10" s="42" t="n">
        <f aca="false">IFERROR(INDEX(rep_total_assets,MATCH(J$5,rep_years_bs,0)),0)</f>
        <v>0.321686</v>
      </c>
      <c r="K10" s="42" t="n">
        <f aca="false">IFERROR(INDEX(rep_total_assets,MATCH(K$5,rep_years_bs,0)),0)</f>
        <v>0.375319</v>
      </c>
      <c r="L10" s="42" t="n">
        <f aca="false">IFERROR(INDEX(rep_total_assets,MATCH(L$5,rep_years_bs,0)),0)</f>
        <v>0.365725</v>
      </c>
      <c r="M10" s="42" t="n">
        <f aca="false">IFERROR(INDEX(rep_total_assets,MATCH(M$5,rep_years_bs,0)),0)</f>
        <v>0.338516</v>
      </c>
      <c r="N10" s="42" t="n">
        <f aca="false">IFERROR(INDEX(rep_total_assets,MATCH(N$5,rep_years_bs,0)),0)</f>
        <v>0.323888</v>
      </c>
      <c r="O10" s="42" t="n">
        <f aca="false">IFERROR(INDEX(rep_total_assets,MATCH(O$5,rep_years_bs,0)),0)</f>
        <v>0.351002</v>
      </c>
      <c r="P10" s="42" t="n">
        <f aca="false">IFERROR(INDEX(rep_total_assets,MATCH(P$5,rep_years_bs,0)),0)</f>
        <v>0.352755</v>
      </c>
      <c r="Q10" s="42" t="n">
        <f aca="false">IFERROR(INDEX(rep_total_assets,MATCH(Q$5,rep_years_bs,0)),0)</f>
        <v>0.352583</v>
      </c>
      <c r="R10" s="42" t="n">
        <f aca="false">IFERROR(INDEX(rep_total_assets,MATCH(R$5,rep_years_bs,0)),0)</f>
        <v>0.36498</v>
      </c>
      <c r="S10" s="42" t="n">
        <f aca="false">IFERROR(INDEX(rep_total_assets,MATCH(S$5,rep_years_bs,0)),0)</f>
        <v>0.359241</v>
      </c>
    </row>
    <row r="11" customFormat="false" ht="15" hidden="false" customHeight="true" outlineLevel="0" collapsed="false">
      <c r="A11" s="26" t="s">
        <v>526</v>
      </c>
      <c r="B11" s="42" t="n">
        <f aca="false">IFERROR(INDEX(rep_total_liab,MATCH(B$5,rep_years_bs,0)),0)</f>
        <v>0.018542</v>
      </c>
      <c r="C11" s="42" t="n">
        <f aca="false">IFERROR(INDEX(rep_total_liab,MATCH(C$5,rep_years_bs,0)),0)</f>
        <v>0.026019</v>
      </c>
      <c r="D11" s="42" t="n">
        <f aca="false">IFERROR(INDEX(rep_total_liab,MATCH(D$5,rep_years_bs,0)),0)</f>
        <v>0.027392</v>
      </c>
      <c r="E11" s="42" t="n">
        <f aca="false">IFERROR(INDEX(rep_total_liab,MATCH(E$5,rep_years_bs,0)),0)</f>
        <v>0.039756</v>
      </c>
      <c r="F11" s="42" t="n">
        <f aca="false">IFERROR(INDEX(rep_total_liab,MATCH(F$5,rep_years_bs,0)),0)</f>
        <v>0.057854</v>
      </c>
      <c r="G11" s="42" t="n">
        <f aca="false">IFERROR(INDEX(rep_total_liab,MATCH(G$5,rep_years_bs,0)),0)</f>
        <v>0.083451</v>
      </c>
      <c r="H11" s="42" t="n">
        <f aca="false">IFERROR(INDEX(rep_total_liab,MATCH(H$5,rep_years_bs,0)),0)</f>
        <v>0.120292</v>
      </c>
      <c r="I11" s="42" t="n">
        <f aca="false">IFERROR(INDEX(rep_total_liab,MATCH(I$5,rep_years_bs,0)),0)</f>
        <v>0.171124</v>
      </c>
      <c r="J11" s="42" t="n">
        <f aca="false">IFERROR(INDEX(rep_total_liab,MATCH(J$5,rep_years_bs,0)),0)</f>
        <v>0.193437</v>
      </c>
      <c r="K11" s="42" t="n">
        <f aca="false">IFERROR(INDEX(rep_total_liab,MATCH(K$5,rep_years_bs,0)),0)</f>
        <v>0.241272</v>
      </c>
      <c r="L11" s="42" t="n">
        <f aca="false">IFERROR(INDEX(rep_total_liab,MATCH(L$5,rep_years_bs,0)),0)</f>
        <v>0.258578</v>
      </c>
      <c r="M11" s="42" t="n">
        <f aca="false">IFERROR(INDEX(rep_total_liab,MATCH(M$5,rep_years_bs,0)),0)</f>
        <v>0.248028</v>
      </c>
      <c r="N11" s="42" t="n">
        <f aca="false">IFERROR(INDEX(rep_total_liab,MATCH(N$5,rep_years_bs,0)),0)</f>
        <v>0.258549</v>
      </c>
      <c r="O11" s="42" t="n">
        <f aca="false">IFERROR(INDEX(rep_total_liab,MATCH(O$5,rep_years_bs,0)),0)</f>
        <v>0.287912</v>
      </c>
      <c r="P11" s="42" t="n">
        <f aca="false">IFERROR(INDEX(rep_total_liab,MATCH(P$5,rep_years_bs,0)),0)</f>
        <v>0.302083</v>
      </c>
      <c r="Q11" s="42" t="n">
        <f aca="false">IFERROR(INDEX(rep_total_liab,MATCH(Q$5,rep_years_bs,0)),0)</f>
        <v>0.290437</v>
      </c>
      <c r="R11" s="42" t="n">
        <f aca="false">IFERROR(INDEX(rep_total_liab,MATCH(R$5,rep_years_bs,0)),0)</f>
        <v>0.30803</v>
      </c>
      <c r="S11" s="42" t="n">
        <f aca="false">IFERROR(INDEX(rep_total_liab,MATCH(S$5,rep_years_bs,0)),0)</f>
        <v>0.285508</v>
      </c>
    </row>
    <row r="12" customFormat="false" ht="15" hidden="false" customHeight="true" outlineLevel="0" collapsed="false">
      <c r="A12" s="26" t="s">
        <v>527</v>
      </c>
      <c r="B12" s="42" t="n">
        <f aca="false">IFERROR(INDEX(rep_cash,MATCH(B$5,rep_years_bs,0)),0)</f>
        <v>0.011875</v>
      </c>
      <c r="C12" s="42" t="n">
        <f aca="false">IFERROR(INDEX(rep_cash,MATCH(C$5,rep_years_bs,0)),0)</f>
        <v>0.005263</v>
      </c>
      <c r="D12" s="42" t="n">
        <f aca="false">IFERROR(INDEX(rep_cash,MATCH(D$5,rep_years_bs,0)),0)</f>
        <v>0.011261</v>
      </c>
      <c r="E12" s="42" t="n">
        <f aca="false">IFERROR(INDEX(rep_cash,MATCH(E$5,rep_years_bs,0)),0)</f>
        <v>0.009815</v>
      </c>
      <c r="F12" s="42" t="n">
        <f aca="false">IFERROR(INDEX(rep_cash,MATCH(F$5,rep_years_bs,0)),0)</f>
        <v>0.010746</v>
      </c>
      <c r="G12" s="42" t="n">
        <f aca="false">IFERROR(INDEX(rep_cash,MATCH(G$5,rep_years_bs,0)),0)</f>
        <v>0.014259</v>
      </c>
      <c r="H12" s="42" t="n">
        <f aca="false">IFERROR(INDEX(rep_cash,MATCH(H$5,rep_years_bs,0)),0)</f>
        <v>0.013844</v>
      </c>
      <c r="I12" s="42" t="n">
        <f aca="false">IFERROR(INDEX(rep_cash,MATCH(I$5,rep_years_bs,0)),0)</f>
        <v>0.02112</v>
      </c>
      <c r="J12" s="42" t="n">
        <f aca="false">IFERROR(INDEX(rep_cash,MATCH(J$5,rep_years_bs,0)),0)</f>
        <v>0.020484</v>
      </c>
      <c r="K12" s="42" t="n">
        <f aca="false">IFERROR(INDEX(rep_cash,MATCH(K$5,rep_years_bs,0)),0)</f>
        <v>0.020289</v>
      </c>
      <c r="L12" s="42" t="n">
        <f aca="false">IFERROR(INDEX(rep_cash,MATCH(L$5,rep_years_bs,0)),0)</f>
        <v>0.025913</v>
      </c>
      <c r="M12" s="42" t="n">
        <f aca="false">IFERROR(INDEX(rep_cash,MATCH(M$5,rep_years_bs,0)),0)</f>
        <v>0.048844</v>
      </c>
      <c r="N12" s="42" t="n">
        <f aca="false">IFERROR(INDEX(rep_cash,MATCH(N$5,rep_years_bs,0)),0)</f>
        <v>0.038016</v>
      </c>
      <c r="O12" s="42" t="n">
        <f aca="false">IFERROR(INDEX(rep_cash,MATCH(O$5,rep_years_bs,0)),0)</f>
        <v>0.03494</v>
      </c>
      <c r="P12" s="42" t="n">
        <f aca="false">IFERROR(INDEX(rep_cash,MATCH(P$5,rep_years_bs,0)),0)</f>
        <v>0.023646</v>
      </c>
      <c r="Q12" s="42" t="n">
        <f aca="false">IFERROR(INDEX(rep_cash,MATCH(Q$5,rep_years_bs,0)),0)</f>
        <v>0.029965</v>
      </c>
      <c r="R12" s="42" t="n">
        <f aca="false">IFERROR(INDEX(rep_cash,MATCH(R$5,rep_years_bs,0)),0)</f>
        <v>0.029943</v>
      </c>
      <c r="S12" s="42" t="n">
        <f aca="false">IFERROR(INDEX(rep_cash,MATCH(S$5,rep_years_bs,0)),0)</f>
        <v>0.035934</v>
      </c>
    </row>
    <row r="13" customFormat="false" ht="15" hidden="false" customHeight="true" outlineLevel="0" collapsed="false">
      <c r="A13" s="26" t="s">
        <v>8</v>
      </c>
      <c r="B13" s="42" t="n">
        <f aca="false">IFERROR(INDEX(rep_sti,MATCH(B$5,rep_years_bs,0)),0)</f>
        <v>0.012615</v>
      </c>
      <c r="C13" s="42" t="n">
        <f aca="false">IFERROR(INDEX(rep_sti,MATCH(C$5,rep_years_bs,0)),0)</f>
        <v>0.018201</v>
      </c>
      <c r="D13" s="42" t="n">
        <f aca="false">IFERROR(INDEX(rep_sti,MATCH(D$5,rep_years_bs,0)),0)</f>
        <v>0.014359</v>
      </c>
      <c r="E13" s="42" t="n">
        <f aca="false">IFERROR(INDEX(rep_sti,MATCH(E$5,rep_years_bs,0)),0)</f>
        <v>0.016137</v>
      </c>
      <c r="F13" s="42" t="n">
        <f aca="false">IFERROR(INDEX(rep_sti,MATCH(F$5,rep_years_bs,0)),0)</f>
        <v>0.018383</v>
      </c>
      <c r="G13" s="42" t="n">
        <f aca="false">IFERROR(INDEX(rep_sti,MATCH(G$5,rep_years_bs,0)),0)</f>
        <v>0.026287</v>
      </c>
      <c r="H13" s="42" t="n">
        <f aca="false">IFERROR(INDEX(rep_sti,MATCH(H$5,rep_years_bs,0)),0)</f>
        <v>0.011233</v>
      </c>
      <c r="I13" s="42" t="n">
        <f aca="false">IFERROR(INDEX(rep_sti,MATCH(I$5,rep_years_bs,0)),0)</f>
        <v>0.020481</v>
      </c>
      <c r="J13" s="42" t="n">
        <f aca="false">IFERROR(INDEX(rep_sti,MATCH(J$5,rep_years_bs,0)),0)</f>
        <v>0.046671</v>
      </c>
      <c r="K13" s="42" t="n">
        <f aca="false">IFERROR(INDEX(rep_sti,MATCH(K$5,rep_years_bs,0)),0)</f>
        <v>0.053892</v>
      </c>
      <c r="L13" s="42" t="n">
        <f aca="false">IFERROR(INDEX(rep_sti,MATCH(L$5,rep_years_bs,0)),0)</f>
        <v>0.040388</v>
      </c>
      <c r="M13" s="42" t="n">
        <f aca="false">IFERROR(INDEX(rep_sti,MATCH(M$5,rep_years_bs,0)),0)</f>
        <v>0.051713</v>
      </c>
      <c r="N13" s="42" t="n">
        <f aca="false">IFERROR(INDEX(rep_sti,MATCH(N$5,rep_years_bs,0)),0)</f>
        <v>0.052927</v>
      </c>
      <c r="O13" s="42" t="n">
        <f aca="false">IFERROR(INDEX(rep_sti,MATCH(O$5,rep_years_bs,0)),0)</f>
        <v>0.027699</v>
      </c>
      <c r="P13" s="42" t="n">
        <f aca="false">IFERROR(INDEX(rep_sti,MATCH(P$5,rep_years_bs,0)),0)</f>
        <v>0.024658</v>
      </c>
      <c r="Q13" s="42" t="n">
        <f aca="false">IFERROR(INDEX(rep_sti,MATCH(Q$5,rep_years_bs,0)),0)</f>
        <v>0.03159</v>
      </c>
      <c r="R13" s="42" t="n">
        <f aca="false">IFERROR(INDEX(rep_sti,MATCH(R$5,rep_years_bs,0)),0)</f>
        <v>0.035228</v>
      </c>
      <c r="S13" s="42" t="n">
        <f aca="false">IFERROR(INDEX(rep_sti,MATCH(S$5,rep_years_bs,0)),0)</f>
        <v>0.018763</v>
      </c>
    </row>
    <row r="14" customFormat="false" ht="15" hidden="false" customHeight="true" outlineLevel="0" collapsed="false">
      <c r="A14" s="26" t="s">
        <v>528</v>
      </c>
      <c r="B14" s="42" t="n">
        <f aca="false">IFERROR(INDEX(rep_total_debt,MATCH(B$5,rep_years_bs,0)),0)</f>
        <v>0</v>
      </c>
      <c r="C14" s="42" t="n">
        <f aca="false">IFERROR(INDEX(rep_total_debt,MATCH(C$5,rep_years_bs,0)),0)</f>
        <v>0</v>
      </c>
      <c r="D14" s="42" t="n">
        <f aca="false">IFERROR(INDEX(rep_total_debt,MATCH(D$5,rep_years_bs,0)),0)</f>
        <v>0</v>
      </c>
      <c r="E14" s="42" t="n">
        <f aca="false">IFERROR(INDEX(rep_total_debt,MATCH(E$5,rep_years_bs,0)),0)</f>
        <v>0</v>
      </c>
      <c r="F14" s="42" t="n">
        <f aca="false">IFERROR(INDEX(rep_total_debt,MATCH(F$5,rep_years_bs,0)),0)</f>
        <v>0</v>
      </c>
      <c r="G14" s="42" t="n">
        <f aca="false">IFERROR(INDEX(rep_total_debt,MATCH(G$5,rep_years_bs,0)),0)</f>
        <v>0.01696</v>
      </c>
      <c r="H14" s="42" t="n">
        <f aca="false">IFERROR(INDEX(rep_total_debt,MATCH(H$5,rep_years_bs,0)),0)</f>
        <v>0.035295</v>
      </c>
      <c r="I14" s="42" t="n">
        <f aca="false">IFERROR(INDEX(rep_total_debt,MATCH(I$5,rep_years_bs,0)),0)</f>
        <v>0.064462</v>
      </c>
      <c r="J14" s="42" t="n">
        <f aca="false">IFERROR(INDEX(rep_total_debt,MATCH(J$5,rep_years_bs,0)),0)</f>
        <v>0.087032</v>
      </c>
      <c r="K14" s="42" t="n">
        <f aca="false">IFERROR(INDEX(rep_total_debt,MATCH(K$5,rep_years_bs,0)),0)</f>
        <v>0.11568</v>
      </c>
      <c r="L14" s="42" t="n">
        <f aca="false">IFERROR(INDEX(rep_total_debt,MATCH(L$5,rep_years_bs,0)),0)</f>
        <v>0.114483</v>
      </c>
      <c r="M14" s="42" t="n">
        <f aca="false">IFERROR(INDEX(rep_total_debt,MATCH(M$5,rep_years_bs,0)),0)</f>
        <v>0.108047</v>
      </c>
      <c r="N14" s="42" t="n">
        <f aca="false">IFERROR(INDEX(rep_total_debt,MATCH(N$5,rep_years_bs,0)),0)</f>
        <v>0.112436</v>
      </c>
      <c r="O14" s="42" t="n">
        <f aca="false">IFERROR(INDEX(rep_total_debt,MATCH(O$5,rep_years_bs,0)),0)</f>
        <v>0.124719</v>
      </c>
      <c r="P14" s="42" t="n">
        <f aca="false">IFERROR(INDEX(rep_total_debt,MATCH(P$5,rep_years_bs,0)),0)</f>
        <v>0.120881</v>
      </c>
      <c r="Q14" s="42" t="n">
        <f aca="false">IFERROR(INDEX(rep_total_debt,MATCH(Q$5,rep_years_bs,0)),0)</f>
        <v>0.111947</v>
      </c>
      <c r="R14" s="42" t="n">
        <f aca="false">IFERROR(INDEX(rep_total_debt,MATCH(R$5,rep_years_bs,0)),0)</f>
        <v>0.119059</v>
      </c>
      <c r="S14" s="42" t="n">
        <f aca="false">IFERROR(INDEX(rep_total_debt,MATCH(S$5,rep_years_bs,0)),0)</f>
        <v>0.112377</v>
      </c>
    </row>
    <row r="15" customFormat="false" ht="15" hidden="false" customHeight="true" outlineLevel="0" collapsed="false">
      <c r="A15" s="26" t="s">
        <v>529</v>
      </c>
      <c r="B15" s="42" t="n">
        <f aca="false">IFERROR(INDEX(rep_pension,MATCH(B$5,rep_years_bs,0)),0)</f>
        <v>0</v>
      </c>
      <c r="C15" s="42" t="n">
        <f aca="false">IFERROR(INDEX(rep_pension,MATCH(C$5,rep_years_bs,0)),0)</f>
        <v>0</v>
      </c>
      <c r="D15" s="42" t="n">
        <f aca="false">IFERROR(INDEX(rep_pension,MATCH(D$5,rep_years_bs,0)),0)</f>
        <v>0</v>
      </c>
      <c r="E15" s="42" t="n">
        <f aca="false">IFERROR(INDEX(rep_pension,MATCH(E$5,rep_years_bs,0)),0)</f>
        <v>0</v>
      </c>
      <c r="F15" s="42" t="n">
        <f aca="false">IFERROR(INDEX(rep_pension,MATCH(F$5,rep_years_bs,0)),0)</f>
        <v>0</v>
      </c>
      <c r="G15" s="42" t="n">
        <f aca="false">IFERROR(INDEX(rep_pension,MATCH(G$5,rep_years_bs,0)),0)</f>
        <v>0</v>
      </c>
      <c r="H15" s="42" t="n">
        <f aca="false">IFERROR(INDEX(rep_pension,MATCH(H$5,rep_years_bs,0)),0)</f>
        <v>0</v>
      </c>
      <c r="I15" s="42" t="n">
        <f aca="false">IFERROR(INDEX(rep_pension,MATCH(I$5,rep_years_bs,0)),0)</f>
        <v>0</v>
      </c>
      <c r="J15" s="42" t="n">
        <f aca="false">IFERROR(INDEX(rep_pension,MATCH(J$5,rep_years_bs,0)),0)</f>
        <v>0</v>
      </c>
      <c r="K15" s="42" t="n">
        <f aca="false">IFERROR(INDEX(rep_pension,MATCH(K$5,rep_years_bs,0)),0)</f>
        <v>0</v>
      </c>
      <c r="L15" s="42" t="n">
        <f aca="false">IFERROR(INDEX(rep_pension,MATCH(L$5,rep_years_bs,0)),0)</f>
        <v>0</v>
      </c>
      <c r="M15" s="42" t="n">
        <f aca="false">IFERROR(INDEX(rep_pension,MATCH(M$5,rep_years_bs,0)),0)</f>
        <v>0</v>
      </c>
      <c r="N15" s="42" t="n">
        <f aca="false">IFERROR(INDEX(rep_pension,MATCH(N$5,rep_years_bs,0)),0)</f>
        <v>0</v>
      </c>
      <c r="O15" s="42" t="n">
        <f aca="false">IFERROR(INDEX(rep_pension,MATCH(O$5,rep_years_bs,0)),0)</f>
        <v>0</v>
      </c>
      <c r="P15" s="42" t="n">
        <f aca="false">IFERROR(INDEX(rep_pension,MATCH(P$5,rep_years_bs,0)),0)</f>
        <v>0</v>
      </c>
      <c r="Q15" s="42" t="n">
        <f aca="false">IFERROR(INDEX(rep_pension,MATCH(Q$5,rep_years_bs,0)),0)</f>
        <v>0</v>
      </c>
      <c r="R15" s="42" t="n">
        <f aca="false">IFERROR(INDEX(rep_pension,MATCH(R$5,rep_years_bs,0)),0)</f>
        <v>0</v>
      </c>
      <c r="S15" s="42" t="n">
        <f aca="false">IFERROR(INDEX(rep_pension,MATCH(S$5,rep_years_bs,0)),0)</f>
        <v>0</v>
      </c>
    </row>
    <row r="16" customFormat="false" ht="15" hidden="false" customHeight="true" outlineLevel="0" collapsed="false">
      <c r="A16" s="26" t="s">
        <v>530</v>
      </c>
      <c r="B16" s="42" t="n">
        <f aca="false">IFERROR(INDEX(rep_mi,MATCH(B$5,rep_years_bs,0)),0)</f>
        <v>0</v>
      </c>
      <c r="C16" s="42" t="n">
        <f aca="false">IFERROR(INDEX(rep_mi,MATCH(C$5,rep_years_bs,0)),0)</f>
        <v>0</v>
      </c>
      <c r="D16" s="42" t="n">
        <f aca="false">IFERROR(INDEX(rep_mi,MATCH(D$5,rep_years_bs,0)),0)</f>
        <v>0</v>
      </c>
      <c r="E16" s="42" t="n">
        <f aca="false">IFERROR(INDEX(rep_mi,MATCH(E$5,rep_years_bs,0)),0)</f>
        <v>0</v>
      </c>
      <c r="F16" s="42" t="n">
        <f aca="false">IFERROR(INDEX(rep_mi,MATCH(F$5,rep_years_bs,0)),0)</f>
        <v>0</v>
      </c>
      <c r="G16" s="42" t="n">
        <f aca="false">IFERROR(INDEX(rep_mi,MATCH(G$5,rep_years_bs,0)),0)</f>
        <v>0</v>
      </c>
      <c r="H16" s="42" t="n">
        <f aca="false">IFERROR(INDEX(rep_mi,MATCH(H$5,rep_years_bs,0)),0)</f>
        <v>0</v>
      </c>
      <c r="I16" s="42" t="n">
        <f aca="false">IFERROR(INDEX(rep_mi,MATCH(I$5,rep_years_bs,0)),0)</f>
        <v>0</v>
      </c>
      <c r="J16" s="42" t="n">
        <f aca="false">IFERROR(INDEX(rep_mi,MATCH(J$5,rep_years_bs,0)),0)</f>
        <v>0</v>
      </c>
      <c r="K16" s="42" t="n">
        <f aca="false">IFERROR(INDEX(rep_mi,MATCH(K$5,rep_years_bs,0)),0)</f>
        <v>0</v>
      </c>
      <c r="L16" s="42" t="n">
        <f aca="false">IFERROR(INDEX(rep_mi,MATCH(L$5,rep_years_bs,0)),0)</f>
        <v>0</v>
      </c>
      <c r="M16" s="42" t="n">
        <f aca="false">IFERROR(INDEX(rep_mi,MATCH(M$5,rep_years_bs,0)),0)</f>
        <v>0</v>
      </c>
      <c r="N16" s="42" t="n">
        <f aca="false">IFERROR(INDEX(rep_mi,MATCH(N$5,rep_years_bs,0)),0)</f>
        <v>0</v>
      </c>
      <c r="O16" s="42" t="n">
        <f aca="false">IFERROR(INDEX(rep_mi,MATCH(O$5,rep_years_bs,0)),0)</f>
        <v>0</v>
      </c>
      <c r="P16" s="42" t="n">
        <f aca="false">IFERROR(INDEX(rep_mi,MATCH(P$5,rep_years_bs,0)),0)</f>
        <v>0</v>
      </c>
      <c r="Q16" s="42" t="n">
        <f aca="false">IFERROR(INDEX(rep_mi,MATCH(Q$5,rep_years_bs,0)),0)</f>
        <v>0</v>
      </c>
      <c r="R16" s="42" t="n">
        <f aca="false">IFERROR(INDEX(rep_mi,MATCH(R$5,rep_years_bs,0)),0)</f>
        <v>0</v>
      </c>
      <c r="S16" s="42" t="n">
        <f aca="false">IFERROR(INDEX(rep_mi,MATCH(S$5,rep_years_bs,0)),0)</f>
        <v>0</v>
      </c>
    </row>
    <row r="17" customFormat="false" ht="15" hidden="false" customHeight="true" outlineLevel="0" collapsed="false">
      <c r="A17" s="26" t="s">
        <v>531</v>
      </c>
      <c r="B17" s="42" t="n">
        <f aca="false">IFERROR(INDEX(rep_net_ppe,MATCH(B$5,rep_years_bs,0)),0)</f>
        <v>0.002455</v>
      </c>
      <c r="C17" s="42" t="n">
        <f aca="false">IFERROR(INDEX(rep_net_ppe,MATCH(C$5,rep_years_bs,0)),0)</f>
        <v>0.002954</v>
      </c>
      <c r="D17" s="42" t="n">
        <f aca="false">IFERROR(INDEX(rep_net_ppe,MATCH(D$5,rep_years_bs,0)),0)</f>
        <v>0.004768</v>
      </c>
      <c r="E17" s="42" t="n">
        <f aca="false">IFERROR(INDEX(rep_net_ppe,MATCH(E$5,rep_years_bs,0)),0)</f>
        <v>0.007777</v>
      </c>
      <c r="F17" s="42" t="n">
        <f aca="false">IFERROR(INDEX(rep_net_ppe,MATCH(F$5,rep_years_bs,0)),0)</f>
        <v>0.015452</v>
      </c>
      <c r="G17" s="42" t="n">
        <f aca="false">IFERROR(INDEX(rep_net_ppe,MATCH(G$5,rep_years_bs,0)),0)</f>
        <v>0.016597</v>
      </c>
      <c r="H17" s="42" t="n">
        <f aca="false">IFERROR(INDEX(rep_net_ppe,MATCH(H$5,rep_years_bs,0)),0)</f>
        <v>0.020624</v>
      </c>
      <c r="I17" s="42" t="n">
        <f aca="false">IFERROR(INDEX(rep_net_ppe,MATCH(I$5,rep_years_bs,0)),0)</f>
        <v>0.022471</v>
      </c>
      <c r="J17" s="42" t="n">
        <f aca="false">IFERROR(INDEX(rep_net_ppe,MATCH(J$5,rep_years_bs,0)),0)</f>
        <v>0.02701</v>
      </c>
      <c r="K17" s="42" t="n">
        <f aca="false">IFERROR(INDEX(rep_net_ppe,MATCH(K$5,rep_years_bs,0)),0)</f>
        <v>0.033783</v>
      </c>
      <c r="L17" s="42" t="n">
        <f aca="false">IFERROR(INDEX(rep_net_ppe,MATCH(L$5,rep_years_bs,0)),0)</f>
        <v>0.041304</v>
      </c>
      <c r="M17" s="42" t="n">
        <f aca="false">IFERROR(INDEX(rep_net_ppe,MATCH(M$5,rep_years_bs,0)),0)</f>
        <v>0.037378</v>
      </c>
      <c r="N17" s="42" t="n">
        <f aca="false">IFERROR(INDEX(rep_net_ppe,MATCH(N$5,rep_years_bs,0)),0)</f>
        <v>0.036766</v>
      </c>
      <c r="O17" s="42" t="n">
        <f aca="false">IFERROR(INDEX(rep_net_ppe,MATCH(O$5,rep_years_bs,0)),0)</f>
        <v>0.03944</v>
      </c>
      <c r="P17" s="42" t="n">
        <f aca="false">IFERROR(INDEX(rep_net_ppe,MATCH(P$5,rep_years_bs,0)),0)</f>
        <v>0.042117</v>
      </c>
      <c r="Q17" s="42" t="n">
        <f aca="false">IFERROR(INDEX(rep_net_ppe,MATCH(Q$5,rep_years_bs,0)),0)</f>
        <v>0.043715</v>
      </c>
      <c r="R17" s="42" t="n">
        <f aca="false">IFERROR(INDEX(rep_net_ppe,MATCH(R$5,rep_years_bs,0)),0)</f>
        <v>0.04568</v>
      </c>
      <c r="S17" s="42" t="n">
        <f aca="false">IFERROR(INDEX(rep_net_ppe,MATCH(S$5,rep_years_bs,0)),0)</f>
        <v>0.049834</v>
      </c>
    </row>
    <row r="18" customFormat="false" ht="15" hidden="false" customHeight="true" outlineLevel="0" collapsed="false">
      <c r="A18" s="26" t="s">
        <v>532</v>
      </c>
      <c r="B18" s="42" t="n">
        <f aca="false">IFERROR(INDEX(rep_cse,MATCH(B$5,rep_years_bs,0)),0)</f>
        <v>0.02103</v>
      </c>
      <c r="C18" s="42" t="n">
        <f aca="false">IFERROR(INDEX(rep_cse,MATCH(C$5,rep_years_bs,0)),0)</f>
        <v>0.027832</v>
      </c>
      <c r="D18" s="42" t="n">
        <f aca="false">IFERROR(INDEX(rep_cse,MATCH(D$5,rep_years_bs,0)),0)</f>
        <v>0.047791</v>
      </c>
      <c r="E18" s="42" t="n">
        <f aca="false">IFERROR(INDEX(rep_cse,MATCH(E$5,rep_years_bs,0)),0)</f>
        <v>0.076615</v>
      </c>
      <c r="F18" s="42" t="n">
        <f aca="false">IFERROR(INDEX(rep_cse,MATCH(F$5,rep_years_bs,0)),0)</f>
        <v>0.11821</v>
      </c>
      <c r="G18" s="42" t="n">
        <f aca="false">IFERROR(INDEX(rep_cse,MATCH(G$5,rep_years_bs,0)),0)</f>
        <v>0.123549</v>
      </c>
      <c r="H18" s="42" t="n">
        <f aca="false">IFERROR(INDEX(rep_cse,MATCH(H$5,rep_years_bs,0)),0)</f>
        <v>0.111547</v>
      </c>
      <c r="I18" s="42" t="n">
        <f aca="false">IFERROR(INDEX(rep_cse,MATCH(I$5,rep_years_bs,0)),0)</f>
        <v>0.119355</v>
      </c>
      <c r="J18" s="42" t="n">
        <f aca="false">IFERROR(INDEX(rep_cse,MATCH(J$5,rep_years_bs,0)),0)</f>
        <v>0.128249</v>
      </c>
      <c r="K18" s="42" t="n">
        <f aca="false">IFERROR(INDEX(rep_cse,MATCH(K$5,rep_years_bs,0)),0)</f>
        <v>0.134047</v>
      </c>
      <c r="L18" s="42" t="n">
        <f aca="false">IFERROR(INDEX(rep_cse,MATCH(L$5,rep_years_bs,0)),0)</f>
        <v>0.107147</v>
      </c>
      <c r="M18" s="42" t="n">
        <f aca="false">IFERROR(INDEX(rep_cse,MATCH(M$5,rep_years_bs,0)),0)</f>
        <v>0.090488</v>
      </c>
      <c r="N18" s="42" t="n">
        <f aca="false">IFERROR(INDEX(rep_cse,MATCH(N$5,rep_years_bs,0)),0)</f>
        <v>0.065339</v>
      </c>
      <c r="O18" s="42" t="n">
        <f aca="false">IFERROR(INDEX(rep_cse,MATCH(O$5,rep_years_bs,0)),0)</f>
        <v>0.06309</v>
      </c>
      <c r="P18" s="42" t="n">
        <f aca="false">IFERROR(INDEX(rep_cse,MATCH(P$5,rep_years_bs,0)),0)</f>
        <v>0.050672</v>
      </c>
      <c r="Q18" s="42" t="n">
        <f aca="false">IFERROR(INDEX(rep_cse,MATCH(Q$5,rep_years_bs,0)),0)</f>
        <v>0.062146</v>
      </c>
      <c r="R18" s="42" t="n">
        <f aca="false">IFERROR(INDEX(rep_cse,MATCH(R$5,rep_years_bs,0)),0)</f>
        <v>0.05695</v>
      </c>
      <c r="S18" s="42" t="n">
        <f aca="false">IFERROR(INDEX(rep_cse,MATCH(S$5,rep_years_bs,0)),0)</f>
        <v>0.073733</v>
      </c>
    </row>
    <row r="19" customFormat="false" ht="15" hidden="false" customHeight="true" outlineLevel="0" collapsed="false">
      <c r="A19" s="26" t="s">
        <v>533</v>
      </c>
      <c r="B19" s="43" t="n">
        <f aca="false">IFERROR(INDEX(rep_shares,MATCH(B$5,rep_years_bs,0)),0)</f>
        <v>0.02526</v>
      </c>
      <c r="C19" s="43" t="n">
        <f aca="false">IFERROR(INDEX(rep_shares,MATCH(C$5,rep_years_bs,0)),0)</f>
        <v>0.025396</v>
      </c>
      <c r="D19" s="43" t="n">
        <f aca="false">IFERROR(INDEX(rep_shares,MATCH(D$5,rep_years_bs,0)),0)</f>
        <v>0.025892</v>
      </c>
      <c r="E19" s="43" t="n">
        <f aca="false">IFERROR(INDEX(rep_shares,MATCH(E$5,rep_years_bs,0)),0)</f>
        <v>0.026226</v>
      </c>
      <c r="F19" s="43" t="n">
        <f aca="false">IFERROR(INDEX(rep_shares,MATCH(F$5,rep_years_bs,0)),0)</f>
        <v>0.02647</v>
      </c>
      <c r="G19" s="43" t="n">
        <f aca="false">IFERROR(INDEX(rep_shares,MATCH(G$5,rep_years_bs,0)),0)</f>
        <v>0.026087</v>
      </c>
      <c r="H19" s="43" t="n">
        <f aca="false">IFERROR(INDEX(rep_shares,MATCH(H$5,rep_years_bs,0)),0)</f>
        <v>0.024491</v>
      </c>
      <c r="I19" s="43" t="n">
        <f aca="false">IFERROR(INDEX(rep_shares,MATCH(I$5,rep_years_bs,0)),0)</f>
        <v>0.023172</v>
      </c>
      <c r="J19" s="43" t="n">
        <f aca="false">IFERROR(INDEX(rep_shares,MATCH(J$5,rep_years_bs,0)),0)</f>
        <v>0.022001</v>
      </c>
      <c r="K19" s="43" t="n">
        <f aca="false">IFERROR(INDEX(rep_shares,MATCH(K$5,rep_years_bs,0)),0)</f>
        <v>0.021007</v>
      </c>
      <c r="L19" s="43" t="n">
        <f aca="false">IFERROR(INDEX(rep_shares,MATCH(L$5,rep_years_bs,0)),0)</f>
        <v>0.02</v>
      </c>
      <c r="M19" s="43" t="n">
        <f aca="false">IFERROR(INDEX(rep_shares,MATCH(M$5,rep_years_bs,0)),0)</f>
        <v>0.018596</v>
      </c>
      <c r="N19" s="43" t="n">
        <f aca="false">IFERROR(INDEX(rep_shares,MATCH(N$5,rep_years_bs,0)),0)</f>
        <v>0.017528</v>
      </c>
      <c r="O19" s="43" t="n">
        <f aca="false">IFERROR(INDEX(rep_shares,MATCH(O$5,rep_years_bs,0)),0)</f>
        <v>0.016865</v>
      </c>
      <c r="P19" s="43" t="n">
        <f aca="false">IFERROR(INDEX(rep_shares,MATCH(P$5,rep_years_bs,0)),0)</f>
        <v>0.016326</v>
      </c>
      <c r="Q19" s="43" t="n">
        <f aca="false">IFERROR(INDEX(rep_shares,MATCH(Q$5,rep_years_bs,0)),0)</f>
        <v>0.015813</v>
      </c>
      <c r="R19" s="43" t="n">
        <f aca="false">IFERROR(INDEX(rep_shares,MATCH(R$5,rep_years_bs,0)),0)</f>
        <v>0.015408</v>
      </c>
      <c r="S19" s="43" t="n">
        <f aca="false">IFERROR(INDEX(rep_shares,MATCH(S$5,rep_years_bs,0)),0)</f>
        <v>0.015005</v>
      </c>
    </row>
    <row r="20" customFormat="false" ht="15" hidden="false" customHeight="true" outlineLevel="0" collapsed="false">
      <c r="A20" s="26" t="s">
        <v>534</v>
      </c>
      <c r="B20" s="42" t="n">
        <f aca="false">IFERROR(INDEX(rep_oi,MATCH(B$5,rep_years_is,0)),0)</f>
        <v>0.006275</v>
      </c>
      <c r="C20" s="42" t="n">
        <f aca="false">IFERROR(INDEX(rep_oi,MATCH(C$5,rep_years_is,0)),0)</f>
        <v>0.01137</v>
      </c>
      <c r="D20" s="42" t="n">
        <f aca="false">IFERROR(INDEX(rep_oi,MATCH(D$5,rep_years_is,0)),0)</f>
        <v>0.018385</v>
      </c>
      <c r="E20" s="42" t="n">
        <f aca="false">IFERROR(INDEX(rep_oi,MATCH(E$5,rep_years_is,0)),0)</f>
        <v>0.03379</v>
      </c>
      <c r="F20" s="42" t="n">
        <f aca="false">IFERROR(INDEX(rep_oi,MATCH(F$5,rep_years_is,0)),0)</f>
        <v>0.055241</v>
      </c>
      <c r="G20" s="42" t="n">
        <f aca="false">IFERROR(INDEX(rep_oi,MATCH(G$5,rep_years_is,0)),0)</f>
        <v>0.048999</v>
      </c>
      <c r="H20" s="42" t="n">
        <f aca="false">IFERROR(INDEX(rep_oi,MATCH(H$5,rep_years_is,0)),0)</f>
        <v>0.052503</v>
      </c>
      <c r="I20" s="42" t="n">
        <f aca="false">IFERROR(INDEX(rep_oi,MATCH(I$5,rep_years_is,0)),0)</f>
        <v>0.07123</v>
      </c>
      <c r="J20" s="42" t="n">
        <f aca="false">IFERROR(INDEX(rep_oi,MATCH(J$5,rep_years_is,0)),0)</f>
        <v>0.060024</v>
      </c>
      <c r="K20" s="42" t="n">
        <f aca="false">IFERROR(INDEX(rep_oi,MATCH(K$5,rep_years_is,0)),0)</f>
        <v>0.061344</v>
      </c>
      <c r="L20" s="42" t="n">
        <f aca="false">IFERROR(INDEX(rep_oi,MATCH(L$5,rep_years_is,0)),0)</f>
        <v>0.070898</v>
      </c>
      <c r="M20" s="42" t="n">
        <f aca="false">IFERROR(INDEX(rep_oi,MATCH(M$5,rep_years_is,0)),0)</f>
        <v>0.06393</v>
      </c>
      <c r="N20" s="42" t="n">
        <f aca="false">IFERROR(INDEX(rep_oi,MATCH(N$5,rep_years_is,0)),0)</f>
        <v>0.066288</v>
      </c>
      <c r="O20" s="42" t="n">
        <f aca="false">IFERROR(INDEX(rep_oi,MATCH(O$5,rep_years_is,0)),0)</f>
        <v>0.108949</v>
      </c>
      <c r="P20" s="42" t="n">
        <f aca="false">IFERROR(INDEX(rep_oi,MATCH(P$5,rep_years_is,0)),0)</f>
        <v>0.119437</v>
      </c>
      <c r="Q20" s="42" t="n">
        <f aca="false">IFERROR(INDEX(rep_oi,MATCH(Q$5,rep_years_is,0)),0)</f>
        <v>0.114301</v>
      </c>
      <c r="R20" s="42" t="n">
        <f aca="false">IFERROR(INDEX(rep_oi,MATCH(R$5,rep_years_is,0)),0)</f>
        <v>0.123216</v>
      </c>
      <c r="S20" s="42" t="n">
        <f aca="false">IFERROR(INDEX(rep_oi,MATCH(S$5,rep_years_is,0)),0)</f>
        <v>0.13305</v>
      </c>
    </row>
    <row r="21" customFormat="false" ht="15" hidden="false" customHeight="true" outlineLevel="0" collapsed="false">
      <c r="A21" s="26" t="s">
        <v>535</v>
      </c>
      <c r="B21" s="42" t="n">
        <f aca="false">IFERROR(INDEX(rep_da,MATCH(B$5,rep_years_is,0)),0)</f>
        <v>0</v>
      </c>
      <c r="C21" s="42" t="n">
        <f aca="false">IFERROR(INDEX(rep_da,MATCH(C$5,rep_years_is,0)),0)</f>
        <v>0</v>
      </c>
      <c r="D21" s="42" t="n">
        <f aca="false">IFERROR(INDEX(rep_da,MATCH(D$5,rep_years_is,0)),0)</f>
        <v>0</v>
      </c>
      <c r="E21" s="42" t="n">
        <f aca="false">IFERROR(INDEX(rep_da,MATCH(E$5,rep_years_is,0)),0)</f>
        <v>0</v>
      </c>
      <c r="F21" s="42" t="n">
        <f aca="false">IFERROR(INDEX(rep_da,MATCH(F$5,rep_years_is,0)),0)</f>
        <v>0</v>
      </c>
      <c r="G21" s="42" t="n">
        <f aca="false">IFERROR(INDEX(rep_da,MATCH(G$5,rep_years_is,0)),0)</f>
        <v>0</v>
      </c>
      <c r="H21" s="42" t="n">
        <f aca="false">IFERROR(INDEX(rep_da,MATCH(H$5,rep_years_is,0)),0)</f>
        <v>0</v>
      </c>
      <c r="I21" s="42" t="n">
        <f aca="false">IFERROR(INDEX(rep_da,MATCH(I$5,rep_years_is,0)),0)</f>
        <v>0</v>
      </c>
      <c r="J21" s="42" t="n">
        <f aca="false">IFERROR(INDEX(rep_da,MATCH(J$5,rep_years_is,0)),0)</f>
        <v>0</v>
      </c>
      <c r="K21" s="42" t="n">
        <f aca="false">IFERROR(INDEX(rep_da,MATCH(K$5,rep_years_is,0)),0)</f>
        <v>0.010157</v>
      </c>
      <c r="L21" s="42" t="n">
        <f aca="false">IFERROR(INDEX(rep_da,MATCH(L$5,rep_years_is,0)),0)</f>
        <v>0.010903</v>
      </c>
      <c r="M21" s="42" t="n">
        <f aca="false">IFERROR(INDEX(rep_da,MATCH(M$5,rep_years_is,0)),0)</f>
        <v>0.012547</v>
      </c>
      <c r="N21" s="42" t="n">
        <f aca="false">IFERROR(INDEX(rep_da,MATCH(N$5,rep_years_is,0)),0)</f>
        <v>0.011056</v>
      </c>
      <c r="O21" s="42" t="n">
        <f aca="false">IFERROR(INDEX(rep_da,MATCH(O$5,rep_years_is,0)),0)</f>
        <v>0.011284</v>
      </c>
      <c r="P21" s="42" t="n">
        <f aca="false">IFERROR(INDEX(rep_da,MATCH(P$5,rep_years_is,0)),0)</f>
        <v>0.011104</v>
      </c>
      <c r="Q21" s="42" t="n">
        <f aca="false">IFERROR(INDEX(rep_da,MATCH(Q$5,rep_years_is,0)),0)</f>
        <v>0.011519</v>
      </c>
      <c r="R21" s="42" t="n">
        <f aca="false">IFERROR(INDEX(rep_da,MATCH(R$5,rep_years_is,0)),0)</f>
        <v>0.011445</v>
      </c>
      <c r="S21" s="42" t="n">
        <f aca="false">IFERROR(INDEX(rep_da,MATCH(S$5,rep_years_is,0)),0)</f>
        <v>0.011698</v>
      </c>
    </row>
    <row r="22" customFormat="false" ht="15" hidden="false" customHeight="true" outlineLevel="0" collapsed="false">
      <c r="A22" s="26" t="s">
        <v>536</v>
      </c>
      <c r="B22" s="42" t="n">
        <f aca="false">IFERROR(INDEX(rep_ni,MATCH(B$5,rep_years_is,0)),0)</f>
        <v>0.004834</v>
      </c>
      <c r="C22" s="42" t="n">
        <f aca="false">IFERROR(INDEX(rep_ni,MATCH(C$5,rep_years_is,0)),0)</f>
        <v>0.008235</v>
      </c>
      <c r="D22" s="42" t="n">
        <f aca="false">IFERROR(INDEX(rep_ni,MATCH(D$5,rep_years_is,0)),0)</f>
        <v>0.014013</v>
      </c>
      <c r="E22" s="42" t="n">
        <f aca="false">IFERROR(INDEX(rep_ni,MATCH(E$5,rep_years_is,0)),0)</f>
        <v>0.025922</v>
      </c>
      <c r="F22" s="42" t="n">
        <f aca="false">IFERROR(INDEX(rep_ni,MATCH(F$5,rep_years_is,0)),0)</f>
        <v>0.041733</v>
      </c>
      <c r="G22" s="42" t="n">
        <f aca="false">IFERROR(INDEX(rep_ni,MATCH(G$5,rep_years_is,0)),0)</f>
        <v>0.037037</v>
      </c>
      <c r="H22" s="42" t="n">
        <f aca="false">IFERROR(INDEX(rep_ni,MATCH(H$5,rep_years_is,0)),0)</f>
        <v>0.03951</v>
      </c>
      <c r="I22" s="42" t="n">
        <f aca="false">IFERROR(INDEX(rep_ni,MATCH(I$5,rep_years_is,0)),0)</f>
        <v>0.053394</v>
      </c>
      <c r="J22" s="42" t="n">
        <f aca="false">IFERROR(INDEX(rep_ni,MATCH(J$5,rep_years_is,0)),0)</f>
        <v>0.045687</v>
      </c>
      <c r="K22" s="42" t="n">
        <f aca="false">IFERROR(INDEX(rep_ni,MATCH(K$5,rep_years_is,0)),0)</f>
        <v>0.048351</v>
      </c>
      <c r="L22" s="42" t="n">
        <f aca="false">IFERROR(INDEX(rep_ni,MATCH(L$5,rep_years_is,0)),0)</f>
        <v>0.059531</v>
      </c>
      <c r="M22" s="42" t="n">
        <f aca="false">IFERROR(INDEX(rep_ni,MATCH(M$5,rep_years_is,0)),0)</f>
        <v>0.055256</v>
      </c>
      <c r="N22" s="42" t="n">
        <f aca="false">IFERROR(INDEX(rep_ni,MATCH(N$5,rep_years_is,0)),0)</f>
        <v>0.057411</v>
      </c>
      <c r="O22" s="42" t="n">
        <f aca="false">IFERROR(INDEX(rep_ni,MATCH(O$5,rep_years_is,0)),0)</f>
        <v>0.09468</v>
      </c>
      <c r="P22" s="42" t="n">
        <f aca="false">IFERROR(INDEX(rep_ni,MATCH(P$5,rep_years_is,0)),0)</f>
        <v>0.099803</v>
      </c>
      <c r="Q22" s="42" t="n">
        <f aca="false">IFERROR(INDEX(rep_ni,MATCH(Q$5,rep_years_is,0)),0)</f>
        <v>0.096995</v>
      </c>
      <c r="R22" s="42" t="n">
        <f aca="false">IFERROR(INDEX(rep_ni,MATCH(R$5,rep_years_is,0)),0)</f>
        <v>0.093736</v>
      </c>
      <c r="S22" s="42" t="n">
        <f aca="false">IFERROR(INDEX(rep_ni,MATCH(S$5,rep_years_is,0)),0)</f>
        <v>0.11201</v>
      </c>
    </row>
    <row r="23" customFormat="false" ht="15" hidden="false" customHeight="true" outlineLevel="0" collapsed="false">
      <c r="A23" s="26" t="s">
        <v>537</v>
      </c>
      <c r="B23" s="42" t="n">
        <f aca="false">IFERROR(INDEX(rep_intexp,MATCH(B$5,rep_years_is,0)),0)</f>
        <v>0.00062</v>
      </c>
      <c r="C23" s="42" t="n">
        <f aca="false">IFERROR(INDEX(rep_intexp,MATCH(C$5,rep_years_is,0)),0)</f>
        <v>0.000326</v>
      </c>
      <c r="D23" s="42" t="n">
        <f aca="false">IFERROR(INDEX(rep_intexp,MATCH(D$5,rep_years_is,0)),0)</f>
        <v>0.000155</v>
      </c>
      <c r="E23" s="42" t="n">
        <f aca="false">IFERROR(INDEX(rep_intexp,MATCH(E$5,rep_years_is,0)),0)</f>
        <v>0.000415</v>
      </c>
      <c r="F23" s="42" t="n">
        <f aca="false">IFERROR(INDEX(rep_intexp,MATCH(F$5,rep_years_is,0)),0)</f>
        <v>0.000522</v>
      </c>
      <c r="G23" s="42" t="n">
        <f aca="false">IFERROR(INDEX(rep_intexp,MATCH(G$5,rep_years_is,0)),0)</f>
        <v>0.000136</v>
      </c>
      <c r="H23" s="42" t="n">
        <f aca="false">IFERROR(INDEX(rep_intexp,MATCH(H$5,rep_years_is,0)),0)</f>
        <v>0.000384</v>
      </c>
      <c r="I23" s="42" t="n">
        <f aca="false">IFERROR(INDEX(rep_intexp,MATCH(I$5,rep_years_is,0)),0)</f>
        <v>0.000733</v>
      </c>
      <c r="J23" s="42" t="n">
        <f aca="false">IFERROR(INDEX(rep_intexp,MATCH(J$5,rep_years_is,0)),0)</f>
        <v>0.001456</v>
      </c>
      <c r="K23" s="42" t="n">
        <f aca="false">IFERROR(INDEX(rep_intexp,MATCH(K$5,rep_years_is,0)),0)</f>
        <v>0.002323</v>
      </c>
      <c r="L23" s="42" t="n">
        <f aca="false">IFERROR(INDEX(rep_intexp,MATCH(L$5,rep_years_is,0)),0)</f>
        <v>0.00324</v>
      </c>
      <c r="M23" s="42" t="n">
        <f aca="false">IFERROR(INDEX(rep_intexp,MATCH(M$5,rep_years_is,0)),0)</f>
        <v>0.003576</v>
      </c>
      <c r="N23" s="42" t="n">
        <f aca="false">IFERROR(INDEX(rep_intexp,MATCH(N$5,rep_years_is,0)),0)</f>
        <v>0.002873</v>
      </c>
      <c r="O23" s="42" t="n">
        <f aca="false">IFERROR(INDEX(rep_intexp,MATCH(O$5,rep_years_is,0)),0)</f>
        <v>0.002645</v>
      </c>
      <c r="P23" s="42" t="n">
        <f aca="false">IFERROR(INDEX(rep_intexp,MATCH(P$5,rep_years_is,0)),0)</f>
        <v>0.002931</v>
      </c>
      <c r="Q23" s="42" t="n">
        <f aca="false">IFERROR(INDEX(rep_intexp,MATCH(Q$5,rep_years_is,0)),0)</f>
        <v>0.003933</v>
      </c>
      <c r="R23" s="42" t="n">
        <f aca="false">IFERROR(INDEX(rep_intexp,MATCH(R$5,rep_years_is,0)),0)</f>
        <v>0</v>
      </c>
      <c r="S23" s="42" t="n">
        <f aca="false">IFERROR(INDEX(rep_intexp,MATCH(S$5,rep_years_is,0)),0)</f>
        <v>0</v>
      </c>
    </row>
    <row r="24" customFormat="false" ht="15" hidden="false" customHeight="true" outlineLevel="0" collapsed="false">
      <c r="A24" s="26" t="s">
        <v>538</v>
      </c>
      <c r="B24" s="44" t="n">
        <f aca="false">IFERROR(INDEX(rep_taxrate,MATCH(B$5,rep_years_is,0)),0)</f>
        <v>0.298912</v>
      </c>
      <c r="C24" s="44" t="n">
        <f aca="false">IFERROR(INDEX(rep_taxrate,MATCH(C$5,rep_years_is,0)),0)</f>
        <v>0.317504</v>
      </c>
      <c r="D24" s="44" t="n">
        <f aca="false">IFERROR(INDEX(rep_taxrate,MATCH(D$5,rep_years_is,0)),0)</f>
        <v>0.244175</v>
      </c>
      <c r="E24" s="44" t="n">
        <f aca="false">IFERROR(INDEX(rep_taxrate,MATCH(E$5,rep_years_is,0)),0)</f>
        <v>0.242158</v>
      </c>
      <c r="F24" s="44" t="n">
        <f aca="false">IFERROR(INDEX(rep_taxrate,MATCH(F$5,rep_years_is,0)),0)</f>
        <v>0.251601</v>
      </c>
      <c r="G24" s="44" t="n">
        <f aca="false">IFERROR(INDEX(rep_taxrate,MATCH(G$5,rep_years_is,0)),0)</f>
        <v>0.261549</v>
      </c>
      <c r="H24" s="44" t="n">
        <f aca="false">IFERROR(INDEX(rep_taxrate,MATCH(H$5,rep_years_is,0)),0)</f>
        <v>0.261261</v>
      </c>
      <c r="I24" s="44" t="n">
        <f aca="false">IFERROR(INDEX(rep_taxrate,MATCH(I$5,rep_years_is,0)),0)</f>
        <v>0.263683</v>
      </c>
      <c r="J24" s="44" t="n">
        <f aca="false">IFERROR(INDEX(rep_taxrate,MATCH(J$5,rep_years_is,0)),0)</f>
        <v>0.255573</v>
      </c>
      <c r="K24" s="44" t="n">
        <f aca="false">IFERROR(INDEX(rep_taxrate,MATCH(K$5,rep_years_is,0)),0)</f>
        <v>0.245565</v>
      </c>
      <c r="L24" s="44" t="n">
        <f aca="false">IFERROR(INDEX(rep_taxrate,MATCH(L$5,rep_years_is,0)),0)</f>
        <v>0.183422</v>
      </c>
      <c r="M24" s="44" t="n">
        <f aca="false">IFERROR(INDEX(rep_taxrate,MATCH(M$5,rep_years_is,0)),0)</f>
        <v>0.159438</v>
      </c>
      <c r="N24" s="44" t="n">
        <f aca="false">IFERROR(INDEX(rep_taxrate,MATCH(N$5,rep_years_is,0)),0)</f>
        <v>0.144282</v>
      </c>
      <c r="O24" s="44" t="n">
        <f aca="false">IFERROR(INDEX(rep_taxrate,MATCH(O$5,rep_years_is,0)),0)</f>
        <v>0.133023</v>
      </c>
      <c r="P24" s="44" t="n">
        <f aca="false">IFERROR(INDEX(rep_taxrate,MATCH(P$5,rep_years_is,0)),0)</f>
        <v>0.162045</v>
      </c>
      <c r="Q24" s="44" t="n">
        <f aca="false">IFERROR(INDEX(rep_taxrate,MATCH(Q$5,rep_years_is,0)),0)</f>
        <v>0.147192</v>
      </c>
      <c r="R24" s="44" t="n">
        <f aca="false">IFERROR(INDEX(rep_taxrate,MATCH(R$5,rep_years_is,0)),0)</f>
        <v>0.240912</v>
      </c>
      <c r="S24" s="44" t="n">
        <f aca="false">IFERROR(INDEX(rep_taxrate,MATCH(S$5,rep_years_is,0)),0)</f>
        <v>0.1561</v>
      </c>
    </row>
    <row r="25" customFormat="false" ht="15" hidden="false" customHeight="true" outlineLevel="0" collapsed="false">
      <c r="A25" s="26" t="s">
        <v>539</v>
      </c>
      <c r="B25" s="42" t="n">
        <f aca="false">IFERROR(INDEX(rep_oci,MATCH(B$5,rep_years_bs,0)),0)</f>
        <v>8E-006</v>
      </c>
      <c r="C25" s="42" t="n">
        <f aca="false">IFERROR(INDEX(rep_oci,MATCH(C$5,rep_years_bs,0)),0)</f>
        <v>8.4E-005</v>
      </c>
      <c r="D25" s="42" t="n">
        <f aca="false">IFERROR(INDEX(rep_oci,MATCH(D$5,rep_years_bs,0)),0)</f>
        <v>-4.6E-005</v>
      </c>
      <c r="E25" s="42" t="n">
        <f aca="false">IFERROR(INDEX(rep_oci,MATCH(E$5,rep_years_bs,0)),0)</f>
        <v>0.000443</v>
      </c>
      <c r="F25" s="42" t="n">
        <f aca="false">IFERROR(INDEX(rep_oci,MATCH(F$5,rep_years_bs,0)),0)</f>
        <v>0.000499</v>
      </c>
      <c r="G25" s="42" t="n">
        <f aca="false">IFERROR(INDEX(rep_oci,MATCH(G$5,rep_years_bs,0)),0)</f>
        <v>-0.000471</v>
      </c>
      <c r="H25" s="42" t="n">
        <f aca="false">IFERROR(INDEX(rep_oci,MATCH(H$5,rep_years_bs,0)),0)</f>
        <v>0.001082</v>
      </c>
      <c r="I25" s="42" t="n">
        <f aca="false">IFERROR(INDEX(rep_oci,MATCH(I$5,rep_years_bs,0)),0)</f>
        <v>-0.000345</v>
      </c>
      <c r="J25" s="42" t="n">
        <f aca="false">IFERROR(INDEX(rep_oci,MATCH(J$5,rep_years_bs,0)),0)</f>
        <v>0.000634</v>
      </c>
      <c r="K25" s="42" t="n">
        <f aca="false">IFERROR(INDEX(rep_oci,MATCH(K$5,rep_years_bs,0)),0)</f>
        <v>-0.00015</v>
      </c>
      <c r="L25" s="42" t="n">
        <f aca="false">IFERROR(INDEX(rep_oci,MATCH(L$5,rep_years_bs,0)),0)</f>
        <v>-0.003454</v>
      </c>
      <c r="M25" s="42" t="n">
        <f aca="false">IFERROR(INDEX(rep_oci,MATCH(M$5,rep_years_bs,0)),0)</f>
        <v>-0.000584</v>
      </c>
      <c r="N25" s="42" t="n">
        <f aca="false">IFERROR(INDEX(rep_oci,MATCH(N$5,rep_years_bs,0)),0)</f>
        <v>-0.000406</v>
      </c>
      <c r="O25" s="42" t="n">
        <f aca="false">IFERROR(INDEX(rep_oci,MATCH(O$5,rep_years_bs,0)),0)</f>
        <v>0.000163</v>
      </c>
      <c r="P25" s="42" t="n">
        <f aca="false">IFERROR(INDEX(rep_oci,MATCH(P$5,rep_years_bs,0)),0)</f>
        <v>-0.011109</v>
      </c>
      <c r="Q25" s="42" t="n">
        <f aca="false">IFERROR(INDEX(rep_oci,MATCH(Q$5,rep_years_bs,0)),0)</f>
        <v>-0.011452</v>
      </c>
      <c r="R25" s="42" t="n">
        <f aca="false">IFERROR(INDEX(rep_oci,MATCH(R$5,rep_years_bs,0)),0)</f>
        <v>-0.007172</v>
      </c>
      <c r="S25" s="42" t="n">
        <f aca="false">IFERROR(INDEX(rep_oci,MATCH(S$5,rep_years_bs,0)),0)</f>
        <v>-0.005571</v>
      </c>
    </row>
    <row r="26" customFormat="false" ht="15" hidden="false" customHeight="true" outlineLevel="0" collapsed="false">
      <c r="A26" s="26" t="s">
        <v>540</v>
      </c>
      <c r="B26" s="42" t="n">
        <f aca="false">IFERROR(INDEX(rep_div,MATCH(B$5,rep_years_cf,0)),0)</f>
        <v>0</v>
      </c>
      <c r="C26" s="42" t="n">
        <f aca="false">IFERROR(INDEX(rep_div,MATCH(C$5,rep_years_cf,0)),0)</f>
        <v>0</v>
      </c>
      <c r="D26" s="42" t="n">
        <f aca="false">IFERROR(INDEX(rep_div,MATCH(D$5,rep_years_cf,0)),0)</f>
        <v>0</v>
      </c>
      <c r="E26" s="42" t="n">
        <f aca="false">IFERROR(INDEX(rep_div,MATCH(E$5,rep_years_cf,0)),0)</f>
        <v>0</v>
      </c>
      <c r="F26" s="42" t="n">
        <f aca="false">IFERROR(INDEX(rep_div,MATCH(F$5,rep_years_cf,0)),0)</f>
        <v>-0.002488</v>
      </c>
      <c r="G26" s="42" t="n">
        <f aca="false">IFERROR(INDEX(rep_div,MATCH(G$5,rep_years_cf,0)),0)</f>
        <v>-0.010564</v>
      </c>
      <c r="H26" s="42" t="n">
        <f aca="false">IFERROR(INDEX(rep_div,MATCH(H$5,rep_years_cf,0)),0)</f>
        <v>-0.011126</v>
      </c>
      <c r="I26" s="42" t="n">
        <f aca="false">IFERROR(INDEX(rep_div,MATCH(I$5,rep_years_cf,0)),0)</f>
        <v>-0.011561</v>
      </c>
      <c r="J26" s="42" t="n">
        <f aca="false">IFERROR(INDEX(rep_div,MATCH(J$5,rep_years_cf,0)),0)</f>
        <v>-0.01215</v>
      </c>
      <c r="K26" s="42" t="n">
        <f aca="false">IFERROR(INDEX(rep_div,MATCH(K$5,rep_years_cf,0)),0)</f>
        <v>-0.012769</v>
      </c>
      <c r="L26" s="42" t="n">
        <f aca="false">IFERROR(INDEX(rep_div,MATCH(L$5,rep_years_cf,0)),0)</f>
        <v>-0.013712</v>
      </c>
      <c r="M26" s="42" t="n">
        <f aca="false">IFERROR(INDEX(rep_div,MATCH(M$5,rep_years_cf,0)),0)</f>
        <v>-0.014119</v>
      </c>
      <c r="N26" s="42" t="n">
        <f aca="false">IFERROR(INDEX(rep_div,MATCH(N$5,rep_years_cf,0)),0)</f>
        <v>-0.014081</v>
      </c>
      <c r="O26" s="42" t="n">
        <f aca="false">IFERROR(INDEX(rep_div,MATCH(O$5,rep_years_cf,0)),0)</f>
        <v>-0.014467</v>
      </c>
      <c r="P26" s="42" t="n">
        <f aca="false">IFERROR(INDEX(rep_div,MATCH(P$5,rep_years_cf,0)),0)</f>
        <v>-0.014841</v>
      </c>
      <c r="Q26" s="42" t="n">
        <f aca="false">IFERROR(INDEX(rep_div,MATCH(Q$5,rep_years_cf,0)),0)</f>
        <v>-0.015025</v>
      </c>
      <c r="R26" s="42" t="n">
        <f aca="false">IFERROR(INDEX(rep_div,MATCH(R$5,rep_years_cf,0)),0)</f>
        <v>-0.015234</v>
      </c>
      <c r="S26" s="42" t="n">
        <f aca="false">IFERROR(INDEX(rep_div,MATCH(S$5,rep_years_cf,0)),0)</f>
        <v>-0.015421</v>
      </c>
    </row>
    <row r="27" customFormat="false" ht="15" hidden="false" customHeight="true" outlineLevel="0" collapsed="false">
      <c r="A27" s="26" t="s">
        <v>541</v>
      </c>
      <c r="B27" s="42" t="n">
        <f aca="false">IFERROR(INDEX(rep_repurch,MATCH(B$5,rep_years_cf,0)),0)</f>
        <v>-0.000124</v>
      </c>
      <c r="C27" s="42" t="n">
        <f aca="false">IFERROR(INDEX(rep_repurch,MATCH(C$5,rep_years_cf,0)),0)</f>
        <v>-0.000475</v>
      </c>
      <c r="D27" s="42" t="n">
        <f aca="false">IFERROR(INDEX(rep_repurch,MATCH(D$5,rep_years_cf,0)),0)</f>
        <v>-0.000912</v>
      </c>
      <c r="E27" s="42" t="n">
        <f aca="false">IFERROR(INDEX(rep_repurch,MATCH(E$5,rep_years_cf,0)),0)</f>
        <v>-0.000831</v>
      </c>
      <c r="F27" s="42" t="n">
        <f aca="false">IFERROR(INDEX(rep_repurch,MATCH(F$5,rep_years_cf,0)),0)</f>
        <v>-0.000665</v>
      </c>
      <c r="G27" s="42" t="n">
        <f aca="false">IFERROR(INDEX(rep_repurch,MATCH(G$5,rep_years_cf,0)),0)</f>
        <v>-0.02286</v>
      </c>
      <c r="H27" s="42" t="n">
        <f aca="false">IFERROR(INDEX(rep_repurch,MATCH(H$5,rep_years_cf,0)),0)</f>
        <v>-0.045</v>
      </c>
      <c r="I27" s="42" t="n">
        <f aca="false">IFERROR(INDEX(rep_repurch,MATCH(I$5,rep_years_cf,0)),0)</f>
        <v>-0.035253</v>
      </c>
      <c r="J27" s="42" t="n">
        <f aca="false">IFERROR(INDEX(rep_repurch,MATCH(J$5,rep_years_cf,0)),0)</f>
        <v>-0.029722</v>
      </c>
      <c r="K27" s="42" t="n">
        <f aca="false">IFERROR(INDEX(rep_repurch,MATCH(K$5,rep_years_cf,0)),0)</f>
        <v>-0.032345</v>
      </c>
      <c r="L27" s="42" t="n">
        <f aca="false">IFERROR(INDEX(rep_repurch,MATCH(L$5,rep_years_cf,0)),0)</f>
        <v>-0.072738</v>
      </c>
      <c r="M27" s="42" t="n">
        <f aca="false">IFERROR(INDEX(rep_repurch,MATCH(M$5,rep_years_cf,0)),0)</f>
        <v>-0.066897</v>
      </c>
      <c r="N27" s="42" t="n">
        <f aca="false">IFERROR(INDEX(rep_repurch,MATCH(N$5,rep_years_cf,0)),0)</f>
        <v>-0.072358</v>
      </c>
      <c r="O27" s="42" t="n">
        <f aca="false">IFERROR(INDEX(rep_repurch,MATCH(O$5,rep_years_cf,0)),0)</f>
        <v>-0.085971</v>
      </c>
      <c r="P27" s="42" t="n">
        <f aca="false">IFERROR(INDEX(rep_repurch,MATCH(P$5,rep_years_cf,0)),0)</f>
        <v>-0.089402</v>
      </c>
      <c r="Q27" s="42" t="n">
        <f aca="false">IFERROR(INDEX(rep_repurch,MATCH(Q$5,rep_years_cf,0)),0)</f>
        <v>-0.07755</v>
      </c>
      <c r="R27" s="42" t="n">
        <f aca="false">IFERROR(INDEX(rep_repurch,MATCH(R$5,rep_years_cf,0)),0)</f>
        <v>-0.094949</v>
      </c>
      <c r="S27" s="42" t="n">
        <f aca="false">IFERROR(INDEX(rep_repurch,MATCH(S$5,rep_years_cf,0)),0)</f>
        <v>-0.090711</v>
      </c>
    </row>
    <row r="29" customFormat="false" ht="15" hidden="false" customHeight="true" outlineLevel="0" collapsed="false">
      <c r="A29" s="4" t="s">
        <v>542</v>
      </c>
    </row>
    <row r="30" customFormat="false" ht="15" hidden="false" customHeight="true" outlineLevel="0" collapsed="false">
      <c r="A30" s="26" t="s">
        <v>543</v>
      </c>
      <c r="B30" s="42" t="n">
        <f aca="false">B14+B15</f>
        <v>0</v>
      </c>
      <c r="C30" s="42" t="n">
        <f aca="false">C14+C15</f>
        <v>0</v>
      </c>
      <c r="D30" s="42" t="n">
        <f aca="false">D14+D15</f>
        <v>0</v>
      </c>
      <c r="E30" s="42" t="n">
        <f aca="false">E14+E15</f>
        <v>0</v>
      </c>
      <c r="F30" s="42" t="n">
        <f aca="false">F14+F15</f>
        <v>0</v>
      </c>
      <c r="G30" s="42" t="n">
        <f aca="false">G14+G15</f>
        <v>0.01696</v>
      </c>
      <c r="H30" s="42" t="n">
        <f aca="false">H14+H15</f>
        <v>0.035295</v>
      </c>
      <c r="I30" s="42" t="n">
        <f aca="false">I14+I15</f>
        <v>0.064462</v>
      </c>
      <c r="J30" s="42" t="n">
        <f aca="false">J14+J15</f>
        <v>0.087032</v>
      </c>
      <c r="K30" s="42" t="n">
        <f aca="false">K14+K15</f>
        <v>0.11568</v>
      </c>
      <c r="L30" s="42" t="n">
        <f aca="false">L14+L15</f>
        <v>0.114483</v>
      </c>
      <c r="M30" s="42" t="n">
        <f aca="false">M14+M15</f>
        <v>0.108047</v>
      </c>
      <c r="N30" s="42" t="n">
        <f aca="false">N14+N15</f>
        <v>0.112436</v>
      </c>
      <c r="O30" s="42" t="n">
        <f aca="false">O14+O15</f>
        <v>0.124719</v>
      </c>
      <c r="P30" s="42" t="n">
        <f aca="false">P14+P15</f>
        <v>0.120881</v>
      </c>
      <c r="Q30" s="42" t="n">
        <f aca="false">Q14+Q15</f>
        <v>0.111947</v>
      </c>
      <c r="R30" s="42" t="n">
        <f aca="false">R14+R15</f>
        <v>0.119059</v>
      </c>
      <c r="S30" s="42" t="n">
        <f aca="false">S14+S15</f>
        <v>0.112377</v>
      </c>
    </row>
    <row r="31" customFormat="false" ht="15" hidden="false" customHeight="true" outlineLevel="0" collapsed="false">
      <c r="A31" s="26" t="s">
        <v>544</v>
      </c>
      <c r="B31" s="42" t="n">
        <f aca="false">B12+B13</f>
        <v>0.02449</v>
      </c>
      <c r="C31" s="42" t="n">
        <f aca="false">C12+C13</f>
        <v>0.023464</v>
      </c>
      <c r="D31" s="42" t="n">
        <f aca="false">D12+D13</f>
        <v>0.02562</v>
      </c>
      <c r="E31" s="42" t="n">
        <f aca="false">E12+E13</f>
        <v>0.025952</v>
      </c>
      <c r="F31" s="42" t="n">
        <f aca="false">F12+F13</f>
        <v>0.029129</v>
      </c>
      <c r="G31" s="42" t="n">
        <f aca="false">G12+G13</f>
        <v>0.040546</v>
      </c>
      <c r="H31" s="42" t="n">
        <f aca="false">H12+H13</f>
        <v>0.025077</v>
      </c>
      <c r="I31" s="42" t="n">
        <f aca="false">I12+I13</f>
        <v>0.041601</v>
      </c>
      <c r="J31" s="42" t="n">
        <f aca="false">J12+J13</f>
        <v>0.067155</v>
      </c>
      <c r="K31" s="42" t="n">
        <f aca="false">K12+K13</f>
        <v>0.074181</v>
      </c>
      <c r="L31" s="42" t="n">
        <f aca="false">L12+L13</f>
        <v>0.066301</v>
      </c>
      <c r="M31" s="42" t="n">
        <f aca="false">M12+M13</f>
        <v>0.100557</v>
      </c>
      <c r="N31" s="42" t="n">
        <f aca="false">N12+N13</f>
        <v>0.090943</v>
      </c>
      <c r="O31" s="42" t="n">
        <f aca="false">O12+O13</f>
        <v>0.062639</v>
      </c>
      <c r="P31" s="42" t="n">
        <f aca="false">P12+P13</f>
        <v>0.048304</v>
      </c>
      <c r="Q31" s="42" t="n">
        <f aca="false">Q12+Q13</f>
        <v>0.061555</v>
      </c>
      <c r="R31" s="42" t="n">
        <f aca="false">R12+R13</f>
        <v>0.065171</v>
      </c>
      <c r="S31" s="42" t="n">
        <f aca="false">S12+S13</f>
        <v>0.054697</v>
      </c>
    </row>
    <row r="32" customFormat="false" ht="15" hidden="false" customHeight="true" outlineLevel="0" collapsed="false">
      <c r="A32" s="26" t="s">
        <v>545</v>
      </c>
      <c r="B32" s="42" t="n">
        <f aca="false">B30-B31+B16</f>
        <v>-0.02449</v>
      </c>
      <c r="C32" s="42" t="n">
        <f aca="false">C30-C31+C16</f>
        <v>-0.023464</v>
      </c>
      <c r="D32" s="42" t="n">
        <f aca="false">D30-D31+D16</f>
        <v>-0.02562</v>
      </c>
      <c r="E32" s="42" t="n">
        <f aca="false">E30-E31+E16</f>
        <v>-0.025952</v>
      </c>
      <c r="F32" s="42" t="n">
        <f aca="false">F30-F31+F16</f>
        <v>-0.029129</v>
      </c>
      <c r="G32" s="42" t="n">
        <f aca="false">G30-G31+G16</f>
        <v>-0.023586</v>
      </c>
      <c r="H32" s="42" t="n">
        <f aca="false">H30-H31+H16</f>
        <v>0.010218</v>
      </c>
      <c r="I32" s="42" t="n">
        <f aca="false">I30-I31+I16</f>
        <v>0.022861</v>
      </c>
      <c r="J32" s="42" t="n">
        <f aca="false">J30-J31+J16</f>
        <v>0.019877</v>
      </c>
      <c r="K32" s="42" t="n">
        <f aca="false">K30-K31+K16</f>
        <v>0.041499</v>
      </c>
      <c r="L32" s="42" t="n">
        <f aca="false">L30-L31+L16</f>
        <v>0.048182</v>
      </c>
      <c r="M32" s="42" t="n">
        <f aca="false">M30-M31+M16</f>
        <v>0.00749</v>
      </c>
      <c r="N32" s="42" t="n">
        <f aca="false">N30-N31+N16</f>
        <v>0.021493</v>
      </c>
      <c r="O32" s="42" t="n">
        <f aca="false">O30-O31+O16</f>
        <v>0.06208</v>
      </c>
      <c r="P32" s="42" t="n">
        <f aca="false">P30-P31+P16</f>
        <v>0.072577</v>
      </c>
      <c r="Q32" s="42" t="n">
        <f aca="false">Q30-Q31+Q16</f>
        <v>0.050392</v>
      </c>
      <c r="R32" s="42" t="n">
        <f aca="false">R30-R31+R16</f>
        <v>0.053888</v>
      </c>
      <c r="S32" s="42" t="n">
        <f aca="false">S30-S31+S16</f>
        <v>0.05768</v>
      </c>
    </row>
    <row r="33" customFormat="false" ht="15" hidden="false" customHeight="true" outlineLevel="0" collapsed="false">
      <c r="A33" s="26" t="s">
        <v>546</v>
      </c>
      <c r="B33" s="42" t="n">
        <f aca="false">B10-B31</f>
        <v>0.015082</v>
      </c>
      <c r="C33" s="42" t="n">
        <f aca="false">C10-C31</f>
        <v>0.030387</v>
      </c>
      <c r="D33" s="42" t="n">
        <f aca="false">D10-D31</f>
        <v>0.049563</v>
      </c>
      <c r="E33" s="42" t="n">
        <f aca="false">E10-E31</f>
        <v>0.090419</v>
      </c>
      <c r="F33" s="42" t="n">
        <f aca="false">F10-F31</f>
        <v>0.146935</v>
      </c>
      <c r="G33" s="42" t="n">
        <f aca="false">G10-G31</f>
        <v>0.166454</v>
      </c>
      <c r="H33" s="42" t="n">
        <f aca="false">H10-H31</f>
        <v>0.206762</v>
      </c>
      <c r="I33" s="42" t="n">
        <f aca="false">I10-I31</f>
        <v>0.248878</v>
      </c>
      <c r="J33" s="42" t="n">
        <f aca="false">J10-J31</f>
        <v>0.254531</v>
      </c>
      <c r="K33" s="42" t="n">
        <f aca="false">K10-K31</f>
        <v>0.301138</v>
      </c>
      <c r="L33" s="42" t="n">
        <f aca="false">L10-L31</f>
        <v>0.299424</v>
      </c>
      <c r="M33" s="42" t="n">
        <f aca="false">M10-M31</f>
        <v>0.237959</v>
      </c>
      <c r="N33" s="42" t="n">
        <f aca="false">N10-N31</f>
        <v>0.232945</v>
      </c>
      <c r="O33" s="42" t="n">
        <f aca="false">O10-O31</f>
        <v>0.288363</v>
      </c>
      <c r="P33" s="42" t="n">
        <f aca="false">P10-P31</f>
        <v>0.304451</v>
      </c>
      <c r="Q33" s="42" t="n">
        <f aca="false">Q10-Q31</f>
        <v>0.291028</v>
      </c>
      <c r="R33" s="42" t="n">
        <f aca="false">R10-R31</f>
        <v>0.299809</v>
      </c>
      <c r="S33" s="42" t="n">
        <f aca="false">S10-S31</f>
        <v>0.304544</v>
      </c>
    </row>
    <row r="34" customFormat="false" ht="15" hidden="false" customHeight="true" outlineLevel="0" collapsed="false">
      <c r="A34" s="26" t="s">
        <v>547</v>
      </c>
      <c r="B34" s="42" t="n">
        <f aca="false">B11-B30</f>
        <v>0.018542</v>
      </c>
      <c r="C34" s="42" t="n">
        <f aca="false">C11-C30</f>
        <v>0.026019</v>
      </c>
      <c r="D34" s="42" t="n">
        <f aca="false">D11-D30</f>
        <v>0.027392</v>
      </c>
      <c r="E34" s="42" t="n">
        <f aca="false">E11-E30</f>
        <v>0.039756</v>
      </c>
      <c r="F34" s="42" t="n">
        <f aca="false">F11-F30</f>
        <v>0.057854</v>
      </c>
      <c r="G34" s="42" t="n">
        <f aca="false">G11-G30</f>
        <v>0.066491</v>
      </c>
      <c r="H34" s="42" t="n">
        <f aca="false">H11-H30</f>
        <v>0.084997</v>
      </c>
      <c r="I34" s="42" t="n">
        <f aca="false">I11-I30</f>
        <v>0.106662</v>
      </c>
      <c r="J34" s="42" t="n">
        <f aca="false">J11-J30</f>
        <v>0.106405</v>
      </c>
      <c r="K34" s="42" t="n">
        <f aca="false">K11-K30</f>
        <v>0.125592</v>
      </c>
      <c r="L34" s="42" t="n">
        <f aca="false">L11-L30</f>
        <v>0.144095</v>
      </c>
      <c r="M34" s="42" t="n">
        <f aca="false">M11-M30</f>
        <v>0.139981</v>
      </c>
      <c r="N34" s="42" t="n">
        <f aca="false">N11-N30</f>
        <v>0.146113</v>
      </c>
      <c r="O34" s="42" t="n">
        <f aca="false">O11-O30</f>
        <v>0.163193</v>
      </c>
      <c r="P34" s="42" t="n">
        <f aca="false">P11-P30</f>
        <v>0.181202</v>
      </c>
      <c r="Q34" s="42" t="n">
        <f aca="false">Q11-Q30</f>
        <v>0.17849</v>
      </c>
      <c r="R34" s="42" t="n">
        <f aca="false">R11-R30</f>
        <v>0.188971</v>
      </c>
      <c r="S34" s="42" t="n">
        <f aca="false">S11-S30</f>
        <v>0.173131</v>
      </c>
    </row>
    <row r="35" customFormat="false" ht="15" hidden="false" customHeight="true" outlineLevel="0" collapsed="false">
      <c r="A35" s="26" t="s">
        <v>548</v>
      </c>
      <c r="B35" s="42" t="n">
        <f aca="false">B33-B34</f>
        <v>-0.00345999999999999</v>
      </c>
      <c r="C35" s="42" t="n">
        <f aca="false">C33-C34</f>
        <v>0.004368</v>
      </c>
      <c r="D35" s="42" t="n">
        <f aca="false">D33-D34</f>
        <v>0.022171</v>
      </c>
      <c r="E35" s="42" t="n">
        <f aca="false">E33-E34</f>
        <v>0.050663</v>
      </c>
      <c r="F35" s="42" t="n">
        <f aca="false">F33-F34</f>
        <v>0.089081</v>
      </c>
      <c r="G35" s="42" t="n">
        <f aca="false">G33-G34</f>
        <v>0.099963</v>
      </c>
      <c r="H35" s="42" t="n">
        <f aca="false">H33-H34</f>
        <v>0.121765</v>
      </c>
      <c r="I35" s="42" t="n">
        <f aca="false">I33-I34</f>
        <v>0.142216</v>
      </c>
      <c r="J35" s="42" t="n">
        <f aca="false">J33-J34</f>
        <v>0.148126</v>
      </c>
      <c r="K35" s="42" t="n">
        <f aca="false">K33-K34</f>
        <v>0.175546</v>
      </c>
      <c r="L35" s="42" t="n">
        <f aca="false">L33-L34</f>
        <v>0.155329</v>
      </c>
      <c r="M35" s="42" t="n">
        <f aca="false">M33-M34</f>
        <v>0.097978</v>
      </c>
      <c r="N35" s="42" t="n">
        <f aca="false">N33-N34</f>
        <v>0.086832</v>
      </c>
      <c r="O35" s="42" t="n">
        <f aca="false">O33-O34</f>
        <v>0.12517</v>
      </c>
      <c r="P35" s="42" t="n">
        <f aca="false">P33-P34</f>
        <v>0.123249</v>
      </c>
      <c r="Q35" s="42" t="n">
        <f aca="false">Q33-Q34</f>
        <v>0.112538</v>
      </c>
      <c r="R35" s="42" t="n">
        <f aca="false">R33-R34</f>
        <v>0.110838</v>
      </c>
      <c r="S35" s="42" t="n">
        <f aca="false">S33-S34</f>
        <v>0.131413</v>
      </c>
    </row>
    <row r="36" customFormat="false" ht="15" hidden="false" customHeight="true" outlineLevel="0" collapsed="false">
      <c r="A36" s="26" t="s">
        <v>549</v>
      </c>
      <c r="B36" s="42" t="n">
        <f aca="false">B18</f>
        <v>0.02103</v>
      </c>
      <c r="C36" s="42" t="n">
        <f aca="false">C18</f>
        <v>0.027832</v>
      </c>
      <c r="D36" s="42" t="n">
        <f aca="false">D18</f>
        <v>0.047791</v>
      </c>
      <c r="E36" s="42" t="n">
        <f aca="false">E18</f>
        <v>0.076615</v>
      </c>
      <c r="F36" s="42" t="n">
        <f aca="false">F18</f>
        <v>0.11821</v>
      </c>
      <c r="G36" s="42" t="n">
        <f aca="false">G18</f>
        <v>0.123549</v>
      </c>
      <c r="H36" s="42" t="n">
        <f aca="false">H18</f>
        <v>0.111547</v>
      </c>
      <c r="I36" s="42" t="n">
        <f aca="false">I18</f>
        <v>0.119355</v>
      </c>
      <c r="J36" s="42" t="n">
        <f aca="false">J18</f>
        <v>0.128249</v>
      </c>
      <c r="K36" s="42" t="n">
        <f aca="false">K18</f>
        <v>0.134047</v>
      </c>
      <c r="L36" s="42" t="n">
        <f aca="false">L18</f>
        <v>0.107147</v>
      </c>
      <c r="M36" s="42" t="n">
        <f aca="false">M18</f>
        <v>0.090488</v>
      </c>
      <c r="N36" s="42" t="n">
        <f aca="false">N18</f>
        <v>0.065339</v>
      </c>
      <c r="O36" s="42" t="n">
        <f aca="false">O18</f>
        <v>0.06309</v>
      </c>
      <c r="P36" s="42" t="n">
        <f aca="false">P18</f>
        <v>0.050672</v>
      </c>
      <c r="Q36" s="42" t="n">
        <f aca="false">Q18</f>
        <v>0.062146</v>
      </c>
      <c r="R36" s="42" t="n">
        <f aca="false">R18</f>
        <v>0.05695</v>
      </c>
      <c r="S36" s="42" t="n">
        <f aca="false">S18</f>
        <v>0.073733</v>
      </c>
    </row>
    <row r="37" customFormat="false" ht="15" hidden="false" customHeight="true" outlineLevel="0" collapsed="false">
      <c r="A37" s="26" t="s">
        <v>550</v>
      </c>
      <c r="B37" s="45" t="n">
        <f aca="false">B35-B32-B18</f>
        <v>0</v>
      </c>
      <c r="C37" s="45" t="n">
        <f aca="false">C35-C32-C18</f>
        <v>0</v>
      </c>
      <c r="D37" s="45" t="n">
        <f aca="false">D35-D32-D18</f>
        <v>0</v>
      </c>
      <c r="E37" s="45" t="n">
        <f aca="false">E35-E32-E18</f>
        <v>0</v>
      </c>
      <c r="F37" s="45" t="n">
        <f aca="false">F35-F32-F18</f>
        <v>0</v>
      </c>
      <c r="G37" s="45" t="n">
        <f aca="false">G35-G32-G18</f>
        <v>0</v>
      </c>
      <c r="H37" s="45" t="n">
        <f aca="false">H35-H32-H18</f>
        <v>0</v>
      </c>
      <c r="I37" s="45" t="n">
        <f aca="false">I35-I32-I18</f>
        <v>0</v>
      </c>
      <c r="J37" s="45" t="n">
        <f aca="false">J35-J32-J18</f>
        <v>0</v>
      </c>
      <c r="K37" s="45" t="n">
        <f aca="false">K35-K32-K18</f>
        <v>0</v>
      </c>
      <c r="L37" s="45" t="n">
        <f aca="false">L35-L32-L18</f>
        <v>0</v>
      </c>
      <c r="M37" s="45" t="n">
        <f aca="false">M35-M32-M18</f>
        <v>0</v>
      </c>
      <c r="N37" s="45" t="n">
        <f aca="false">N35-N32-N18</f>
        <v>0</v>
      </c>
      <c r="O37" s="45" t="n">
        <f aca="false">O35-O32-O18</f>
        <v>0</v>
      </c>
      <c r="P37" s="45" t="n">
        <f aca="false">P35-P32-P18</f>
        <v>0</v>
      </c>
      <c r="Q37" s="45" t="n">
        <f aca="false">Q35-Q32-Q18</f>
        <v>0</v>
      </c>
      <c r="R37" s="45" t="n">
        <f aca="false">R35-R32-R18</f>
        <v>0</v>
      </c>
      <c r="S37" s="45" t="n">
        <f aca="false">S35-S32-S18</f>
        <v>0</v>
      </c>
    </row>
    <row r="39" customFormat="false" ht="15" hidden="false" customHeight="true" outlineLevel="0" collapsed="false">
      <c r="A39" s="4" t="s">
        <v>551</v>
      </c>
    </row>
    <row r="40" customFormat="false" ht="15" hidden="false" customHeight="true" outlineLevel="0" collapsed="false">
      <c r="A40" s="26" t="s">
        <v>552</v>
      </c>
      <c r="B40" s="42" t="n">
        <f aca="false">IFERROR(INDEX(ce_real_net_series,MATCH(VALUE(B$5),ce_years,0)),0)</f>
        <v>0.00347048806335224</v>
      </c>
      <c r="C40" s="42" t="n">
        <f aca="false">IFERROR(INDEX(ce_real_net_series,MATCH(VALUE(C$5),ce_years,0)),0)</f>
        <v>0.00440654933489638</v>
      </c>
      <c r="D40" s="42" t="n">
        <f aca="false">IFERROR(INDEX(ce_real_net_series,MATCH(VALUE(D$5),ce_years,0)),0)</f>
        <v>0.00629310213167002</v>
      </c>
      <c r="E40" s="42" t="n">
        <f aca="false">IFERROR(INDEX(ce_real_net_series,MATCH(VALUE(E$5),ce_years,0)),0)</f>
        <v>0.0106504610437733</v>
      </c>
      <c r="F40" s="42" t="n">
        <f aca="false">IFERROR(INDEX(ce_real_net_series,MATCH(VALUE(F$5),ce_years,0)),0)</f>
        <v>0.0192682353066729</v>
      </c>
      <c r="G40" s="42" t="n">
        <f aca="false">IFERROR(INDEX(ce_real_net_series,MATCH(VALUE(G$5),ce_years,0)),0)</f>
        <v>0.0267933525232232</v>
      </c>
      <c r="H40" s="42" t="n">
        <f aca="false">IFERROR(INDEX(ce_real_net_series,MATCH(VALUE(H$5),ce_years,0)),0)</f>
        <v>0.0349685621127953</v>
      </c>
      <c r="I40" s="42" t="n">
        <f aca="false">IFERROR(INDEX(ce_real_net_series,MATCH(VALUE(I$5),ce_years,0)),0)</f>
        <v>0.0440293633307071</v>
      </c>
      <c r="J40" s="42" t="n">
        <f aca="false">IFERROR(INDEX(ce_real_net_series,MATCH(VALUE(J$5),ce_years,0)),0)</f>
        <v>0.05373700379573</v>
      </c>
      <c r="K40" s="42" t="n">
        <f aca="false">IFERROR(INDEX(ce_real_net_series,MATCH(VALUE(K$5),ce_years,0)),0)</f>
        <v>0.0616190036618709</v>
      </c>
      <c r="L40" s="42" t="n">
        <f aca="false">IFERROR(INDEX(ce_real_net_series,MATCH(VALUE(L$5),ce_years,0)),0)</f>
        <v>0.0691172115894227</v>
      </c>
      <c r="M40" s="42" t="n">
        <f aca="false">IFERROR(INDEX(ce_real_net_series,MATCH(VALUE(M$5),ce_years,0)),0)</f>
        <v>0.0717857832554551</v>
      </c>
      <c r="N40" s="42" t="n">
        <f aca="false">IFERROR(INDEX(ce_real_net_series,MATCH(VALUE(N$5),ce_years,0)),0)</f>
        <v>0.0696502702535309</v>
      </c>
      <c r="O40" s="42" t="n">
        <f aca="false">IFERROR(INDEX(ce_real_net_series,MATCH(VALUE(O$5),ce_years,0)),0)</f>
        <v>0.0711211327826542</v>
      </c>
      <c r="P40" s="42" t="n">
        <f aca="false">IFERROR(INDEX(ce_real_net_series,MATCH(VALUE(P$5),ce_years,0)),0)</f>
        <v>0.0706448344505657</v>
      </c>
      <c r="Q40" s="42" t="n">
        <f aca="false">IFERROR(INDEX(ce_real_net_series,MATCH(VALUE(Q$5),ce_years,0)),0)</f>
        <v>0.0697441970906348</v>
      </c>
      <c r="R40" s="42" t="n">
        <f aca="false">IFERROR(INDEX(ce_real_net_series,MATCH(VALUE(R$5),ce_years,0)),0)</f>
        <v>0.0669653657510156</v>
      </c>
      <c r="S40" s="42" t="n">
        <f aca="false">IFERROR(INDEX(ce_real_net_series,MATCH(VALUE(S$5),ce_years,0)),0)</f>
        <v>0.0674578731365555</v>
      </c>
    </row>
    <row r="41" customFormat="false" ht="15" hidden="false" customHeight="true" outlineLevel="0" collapsed="false">
      <c r="A41" s="26" t="s">
        <v>553</v>
      </c>
      <c r="B41" s="42" t="n">
        <f aca="false">B33-B17-B34</f>
        <v>-0.005915</v>
      </c>
      <c r="C41" s="42" t="n">
        <f aca="false">C33-C17-C34</f>
        <v>0.00141400000000001</v>
      </c>
      <c r="D41" s="42" t="n">
        <f aca="false">D33-D17-D34</f>
        <v>0.017403</v>
      </c>
      <c r="E41" s="42" t="n">
        <f aca="false">E33-E17-E34</f>
        <v>0.042886</v>
      </c>
      <c r="F41" s="42" t="n">
        <f aca="false">F33-F17-F34</f>
        <v>0.073629</v>
      </c>
      <c r="G41" s="42" t="n">
        <f aca="false">G33-G17-G34</f>
        <v>0.083366</v>
      </c>
      <c r="H41" s="42" t="n">
        <f aca="false">H33-H17-H34</f>
        <v>0.101141</v>
      </c>
      <c r="I41" s="42" t="n">
        <f aca="false">I33-I17-I34</f>
        <v>0.119745</v>
      </c>
      <c r="J41" s="42" t="n">
        <f aca="false">J33-J17-J34</f>
        <v>0.121116</v>
      </c>
      <c r="K41" s="42" t="n">
        <f aca="false">K33-K17-K34</f>
        <v>0.141763</v>
      </c>
      <c r="L41" s="42" t="n">
        <f aca="false">L33-L17-L34</f>
        <v>0.114025</v>
      </c>
      <c r="M41" s="42" t="n">
        <f aca="false">M33-M17-M34</f>
        <v>0.0606</v>
      </c>
      <c r="N41" s="42" t="n">
        <f aca="false">N33-N17-N34</f>
        <v>0.050066</v>
      </c>
      <c r="O41" s="42" t="n">
        <f aca="false">O33-O17-O34</f>
        <v>0.08573</v>
      </c>
      <c r="P41" s="42" t="n">
        <f aca="false">P33-P17-P34</f>
        <v>0.081132</v>
      </c>
      <c r="Q41" s="42" t="n">
        <f aca="false">Q33-Q17-Q34</f>
        <v>0.068823</v>
      </c>
      <c r="R41" s="42" t="n">
        <f aca="false">R33-R17-R34</f>
        <v>0.065158</v>
      </c>
      <c r="S41" s="42" t="n">
        <f aca="false">S33-S17-S34</f>
        <v>0.081579</v>
      </c>
    </row>
    <row r="42" customFormat="false" ht="15" hidden="false" customHeight="true" outlineLevel="0" collapsed="false">
      <c r="A42" s="26" t="s">
        <v>554</v>
      </c>
      <c r="B42" s="42" t="n">
        <f aca="false">B41*B6</f>
        <v>-0.0092068041086283</v>
      </c>
      <c r="C42" s="42" t="n">
        <f aca="false">C41*C6</f>
        <v>0.00220877481273627</v>
      </c>
      <c r="D42" s="42" t="n">
        <f aca="false">D41*D6</f>
        <v>0.0267460907702608</v>
      </c>
      <c r="E42" s="42" t="n">
        <f aca="false">E41*E6</f>
        <v>0.0638932554070215</v>
      </c>
      <c r="F42" s="42" t="n">
        <f aca="false">F41*F6</f>
        <v>0.107471324890894</v>
      </c>
      <c r="G42" s="42" t="n">
        <f aca="false">G41*G6</f>
        <v>0.119927128259722</v>
      </c>
      <c r="H42" s="42" t="n">
        <f aca="false">H41*H6</f>
        <v>0.143174993845465</v>
      </c>
      <c r="I42" s="42" t="n">
        <f aca="false">I41*I6</f>
        <v>0.169309811680175</v>
      </c>
      <c r="J42" s="42" t="n">
        <f aca="false">J41*J6</f>
        <v>0.169114889432392</v>
      </c>
      <c r="K42" s="42" t="n">
        <f aca="false">K41*K6</f>
        <v>0.193815444880059</v>
      </c>
      <c r="L42" s="42" t="n">
        <f aca="false">L41*L6</f>
        <v>0.152175766008116</v>
      </c>
      <c r="M42" s="42" t="n">
        <f aca="false">M41*M6</f>
        <v>0.0794363299264248</v>
      </c>
      <c r="N42" s="42" t="n">
        <f aca="false">N41*N6</f>
        <v>0.0648282650969241</v>
      </c>
      <c r="O42" s="42" t="n">
        <f aca="false">O41*O6</f>
        <v>0.106026847215559</v>
      </c>
      <c r="P42" s="42" t="n">
        <f aca="false">P41*P6</f>
        <v>0.0929052954366062</v>
      </c>
      <c r="Q42" s="42" t="n">
        <f aca="false">Q41*Q6</f>
        <v>0.0756941872025782</v>
      </c>
      <c r="R42" s="42" t="n">
        <f aca="false">R41*R6</f>
        <v>0.0696101694162052</v>
      </c>
      <c r="S42" s="42" t="n">
        <f aca="false">S41*S6</f>
        <v>0.0849187564786313</v>
      </c>
    </row>
    <row r="43" customFormat="false" ht="15" hidden="false" customHeight="true" outlineLevel="0" collapsed="false">
      <c r="A43" s="26" t="s">
        <v>555</v>
      </c>
      <c r="B43" s="42" t="n">
        <f aca="false">B42+B40</f>
        <v>-0.00573631604527606</v>
      </c>
      <c r="C43" s="42" t="n">
        <f aca="false">C42+C40</f>
        <v>0.00661532414763265</v>
      </c>
      <c r="D43" s="42" t="n">
        <f aca="false">D42+D40</f>
        <v>0.0330391929019309</v>
      </c>
      <c r="E43" s="42" t="n">
        <f aca="false">E42+E40</f>
        <v>0.0745437164507947</v>
      </c>
      <c r="F43" s="42" t="n">
        <f aca="false">F42+F40</f>
        <v>0.126739560197567</v>
      </c>
      <c r="G43" s="42" t="n">
        <f aca="false">G42+G40</f>
        <v>0.146720480782945</v>
      </c>
      <c r="H43" s="42" t="n">
        <f aca="false">H42+H40</f>
        <v>0.17814355595826</v>
      </c>
      <c r="I43" s="42" t="n">
        <f aca="false">I42+I40</f>
        <v>0.213339175010882</v>
      </c>
      <c r="J43" s="42" t="n">
        <f aca="false">J42+J40</f>
        <v>0.222851893228122</v>
      </c>
      <c r="K43" s="42" t="n">
        <f aca="false">K42+K40</f>
        <v>0.25543444854193</v>
      </c>
      <c r="L43" s="42" t="n">
        <f aca="false">L42+L40</f>
        <v>0.221292977597539</v>
      </c>
      <c r="M43" s="42" t="n">
        <f aca="false">M42+M40</f>
        <v>0.15122211318188</v>
      </c>
      <c r="N43" s="42" t="n">
        <f aca="false">N42+N40</f>
        <v>0.134478535350455</v>
      </c>
      <c r="O43" s="42" t="n">
        <f aca="false">O42+O40</f>
        <v>0.177147979998213</v>
      </c>
      <c r="P43" s="42" t="n">
        <f aca="false">P42+P40</f>
        <v>0.163550129887172</v>
      </c>
      <c r="Q43" s="42" t="n">
        <f aca="false">Q42+Q40</f>
        <v>0.145438384293213</v>
      </c>
      <c r="R43" s="42" t="n">
        <f aca="false">R42+R40</f>
        <v>0.136575535167221</v>
      </c>
      <c r="S43" s="42" t="n">
        <f aca="false">S42+S40</f>
        <v>0.152376629615187</v>
      </c>
    </row>
    <row r="44" customFormat="false" ht="15" hidden="false" customHeight="true" outlineLevel="0" collapsed="false">
      <c r="A44" s="26" t="s">
        <v>556</v>
      </c>
      <c r="B44" s="42" t="n">
        <f aca="false">B32*B6</f>
        <v>-0.0381191263939657</v>
      </c>
      <c r="C44" s="42" t="n">
        <f aca="false">C32*C6</f>
        <v>-0.0366525404568909</v>
      </c>
      <c r="D44" s="42" t="n">
        <f aca="false">D32*D6</f>
        <v>-0.0393745242506512</v>
      </c>
      <c r="E44" s="42" t="n">
        <f aca="false">E32*E6</f>
        <v>-0.0386643138628695</v>
      </c>
      <c r="F44" s="42" t="n">
        <f aca="false">F32*F6</f>
        <v>-0.0425176523210537</v>
      </c>
      <c r="G44" s="42" t="n">
        <f aca="false">G32*G6</f>
        <v>-0.0339299144391454</v>
      </c>
      <c r="H44" s="42" t="n">
        <f aca="false">H32*H6</f>
        <v>0.0144645800131792</v>
      </c>
      <c r="I44" s="42" t="n">
        <f aca="false">I32*I6</f>
        <v>0.0323236177278423</v>
      </c>
      <c r="J44" s="42" t="n">
        <f aca="false">J32*J6</f>
        <v>0.0277543566270984</v>
      </c>
      <c r="K44" s="42" t="n">
        <f aca="false">K32*K6</f>
        <v>0.0567365754609987</v>
      </c>
      <c r="L44" s="42" t="n">
        <f aca="false">L32*L6</f>
        <v>0.0643028525130721</v>
      </c>
      <c r="M44" s="42" t="n">
        <f aca="false">M32*M6</f>
        <v>0.00981812064602181</v>
      </c>
      <c r="N44" s="42" t="n">
        <f aca="false">N32*N6</f>
        <v>0.027830341983146</v>
      </c>
      <c r="O44" s="42" t="n">
        <f aca="false">O32*O6</f>
        <v>0.0767776353101819</v>
      </c>
      <c r="P44" s="42" t="n">
        <f aca="false">P32*P6</f>
        <v>0.0831088550375015</v>
      </c>
      <c r="Q44" s="42" t="n">
        <f aca="false">Q32*Q6</f>
        <v>0.0554230632421185</v>
      </c>
      <c r="R44" s="42" t="n">
        <f aca="false">R32*R6</f>
        <v>0.0575701035866734</v>
      </c>
      <c r="S44" s="42" t="n">
        <f aca="false">S32*S6</f>
        <v>0.0600413571346481</v>
      </c>
    </row>
    <row r="45" customFormat="false" ht="15" hidden="false" customHeight="true" outlineLevel="0" collapsed="false">
      <c r="A45" s="26" t="s">
        <v>557</v>
      </c>
      <c r="B45" s="42" t="n">
        <f aca="false">B43-B44</f>
        <v>0.0323828103486897</v>
      </c>
      <c r="C45" s="42" t="n">
        <f aca="false">C43-C44</f>
        <v>0.0432678646045235</v>
      </c>
      <c r="D45" s="42" t="n">
        <f aca="false">D43-D44</f>
        <v>0.0724137171525821</v>
      </c>
      <c r="E45" s="42" t="n">
        <f aca="false">E43-E44</f>
        <v>0.113208030313664</v>
      </c>
      <c r="F45" s="42" t="n">
        <f aca="false">F43-F44</f>
        <v>0.169257212518621</v>
      </c>
      <c r="G45" s="42" t="n">
        <f aca="false">G43-G44</f>
        <v>0.18065039522209</v>
      </c>
      <c r="H45" s="42" t="n">
        <f aca="false">H43-H44</f>
        <v>0.163678975945081</v>
      </c>
      <c r="I45" s="42" t="n">
        <f aca="false">I43-I44</f>
        <v>0.18101555728304</v>
      </c>
      <c r="J45" s="42" t="n">
        <f aca="false">J43-J44</f>
        <v>0.195097536601023</v>
      </c>
      <c r="K45" s="42" t="n">
        <f aca="false">K43-K44</f>
        <v>0.198697873080931</v>
      </c>
      <c r="L45" s="42" t="n">
        <f aca="false">L43-L44</f>
        <v>0.156990125084467</v>
      </c>
      <c r="M45" s="42" t="n">
        <f aca="false">M43-M44</f>
        <v>0.141403992535858</v>
      </c>
      <c r="N45" s="42" t="n">
        <f aca="false">N43-N44</f>
        <v>0.106648193367309</v>
      </c>
      <c r="O45" s="42" t="n">
        <f aca="false">O43-O44</f>
        <v>0.100370344688031</v>
      </c>
      <c r="P45" s="42" t="n">
        <f aca="false">P43-P44</f>
        <v>0.0804412748496705</v>
      </c>
      <c r="Q45" s="42" t="n">
        <f aca="false">Q43-Q44</f>
        <v>0.0900153210510945</v>
      </c>
      <c r="R45" s="42" t="n">
        <f aca="false">R43-R44</f>
        <v>0.0790054315805474</v>
      </c>
      <c r="S45" s="42" t="n">
        <f aca="false">S43-S44</f>
        <v>0.0923352724805388</v>
      </c>
    </row>
    <row r="46" customFormat="false" ht="15" hidden="false" customHeight="true" outlineLevel="0" collapsed="false">
      <c r="A46" s="26" t="s">
        <v>558</v>
      </c>
      <c r="B46" s="45" t="n">
        <f aca="false">B43-B44-B45</f>
        <v>0</v>
      </c>
      <c r="C46" s="45" t="n">
        <f aca="false">C43-C44-C45</f>
        <v>0</v>
      </c>
      <c r="D46" s="45" t="n">
        <f aca="false">D43-D44-D45</f>
        <v>0</v>
      </c>
      <c r="E46" s="45" t="n">
        <f aca="false">E43-E44-E45</f>
        <v>0</v>
      </c>
      <c r="F46" s="45" t="n">
        <f aca="false">F43-F44-F45</f>
        <v>0</v>
      </c>
      <c r="G46" s="45" t="n">
        <f aca="false">G43-G44-G45</f>
        <v>0</v>
      </c>
      <c r="H46" s="45" t="n">
        <f aca="false">H43-H44-H45</f>
        <v>0</v>
      </c>
      <c r="I46" s="45" t="n">
        <f aca="false">I43-I44-I45</f>
        <v>0</v>
      </c>
      <c r="J46" s="45" t="n">
        <f aca="false">J43-J44-J45</f>
        <v>0</v>
      </c>
      <c r="K46" s="45" t="n">
        <f aca="false">K43-K44-K45</f>
        <v>0</v>
      </c>
      <c r="L46" s="45" t="n">
        <f aca="false">L43-L44-L45</f>
        <v>0</v>
      </c>
      <c r="M46" s="45" t="n">
        <f aca="false">M43-M44-M45</f>
        <v>0</v>
      </c>
      <c r="N46" s="45" t="n">
        <f aca="false">N43-N44-N45</f>
        <v>0</v>
      </c>
      <c r="O46" s="45" t="n">
        <f aca="false">O43-O44-O45</f>
        <v>0</v>
      </c>
      <c r="P46" s="45" t="n">
        <f aca="false">P43-P44-P45</f>
        <v>0</v>
      </c>
      <c r="Q46" s="45" t="n">
        <f aca="false">Q43-Q44-Q45</f>
        <v>0</v>
      </c>
      <c r="R46" s="45" t="n">
        <f aca="false">R43-R44-R45</f>
        <v>0</v>
      </c>
      <c r="S46" s="45" t="n">
        <f aca="false">S43-S44-S45</f>
        <v>0</v>
      </c>
    </row>
    <row r="48" customFormat="false" ht="15" hidden="false" customHeight="true" outlineLevel="0" collapsed="false">
      <c r="A48" s="4" t="s">
        <v>559</v>
      </c>
    </row>
    <row r="49" customFormat="false" ht="15" hidden="false" customHeight="true" outlineLevel="0" collapsed="false">
      <c r="A49" s="26" t="s">
        <v>560</v>
      </c>
      <c r="B49" s="42" t="n">
        <f aca="false">(B20+B21)*B6</f>
        <v>0.00976715059706553</v>
      </c>
      <c r="C49" s="42" t="n">
        <f aca="false">(C20+C21)*C6</f>
        <v>0.0177607988831763</v>
      </c>
      <c r="D49" s="42" t="n">
        <f aca="false">(D20+D21)*D6</f>
        <v>0.0282552938465348</v>
      </c>
      <c r="E49" s="42" t="n">
        <f aca="false">(E20+E21)*E6</f>
        <v>0.050341675609832</v>
      </c>
      <c r="F49" s="42" t="n">
        <f aca="false">(F20+F21)*F6</f>
        <v>0.0806315916051813</v>
      </c>
      <c r="G49" s="42" t="n">
        <f aca="false">(G20+G21)*G6</f>
        <v>0.0704880809634396</v>
      </c>
      <c r="H49" s="42" t="n">
        <f aca="false">(H20+H21)*H6</f>
        <v>0.0743231399913828</v>
      </c>
      <c r="I49" s="42" t="n">
        <f aca="false">(I20+I21)*I6</f>
        <v>0.100713498567613</v>
      </c>
      <c r="J49" s="42" t="n">
        <f aca="false">(J20+J21)*J6</f>
        <v>0.0838118177886478</v>
      </c>
      <c r="K49" s="42" t="n">
        <f aca="false">(K20+K21)*K6</f>
        <v>0.0977546900416123</v>
      </c>
      <c r="L49" s="42" t="n">
        <f aca="false">(L20+L21)*L6</f>
        <v>0.109170180532602</v>
      </c>
      <c r="M49" s="42" t="n">
        <f aca="false">(M20+M21)*M6</f>
        <v>0.100248386201043</v>
      </c>
      <c r="N49" s="42" t="n">
        <f aca="false">(N20+N21)*N6</f>
        <v>0.100149349571695</v>
      </c>
      <c r="O49" s="42" t="n">
        <f aca="false">(O20+O21)*O6</f>
        <v>0.148698541015611</v>
      </c>
      <c r="P49" s="42" t="n">
        <f aca="false">(P20+P21)*P6</f>
        <v>0.149484176053715</v>
      </c>
      <c r="Q49" s="42" t="n">
        <f aca="false">(Q20+Q21)*Q6</f>
        <v>0.138381683940375</v>
      </c>
      <c r="R49" s="42" t="n">
        <f aca="false">(R20+R21)*R6</f>
        <v>0.143862227566156</v>
      </c>
      <c r="S49" s="42" t="n">
        <f aca="false">(S20+S21)*S6</f>
        <v>0.150673827366956</v>
      </c>
    </row>
    <row r="50" customFormat="false" ht="15" hidden="false" customHeight="true" outlineLevel="0" collapsed="false">
      <c r="A50" s="26" t="s">
        <v>561</v>
      </c>
      <c r="B50" s="42" t="n">
        <f aca="false">IFERROR(INDEX(ce_econ_dep_series,MATCH(VALUE(B$5),ce_years,0)),0)</f>
        <v>0.00043938456041359</v>
      </c>
      <c r="C50" s="42" t="n">
        <f aca="false">IFERROR(INDEX(ce_econ_dep_series,MATCH(VALUE(C$5),ce_years,0)),0)</f>
        <v>0.000564719107919862</v>
      </c>
      <c r="D50" s="42" t="n">
        <f aca="false">IFERROR(INDEX(ce_econ_dep_series,MATCH(VALUE(D$5),ce_years,0)),0)</f>
        <v>0.000794909295751669</v>
      </c>
      <c r="E50" s="42" t="n">
        <f aca="false">IFERROR(INDEX(ce_econ_dep_series,MATCH(VALUE(E$5),ce_years,0)),0)</f>
        <v>0.0012777201087717</v>
      </c>
      <c r="F50" s="42" t="n">
        <f aca="false">IFERROR(INDEX(ce_econ_dep_series,MATCH(VALUE(F$5),ce_years,0)),0)</f>
        <v>0.00220141389150855</v>
      </c>
      <c r="G50" s="42" t="n">
        <f aca="false">IFERROR(INDEX(ce_econ_dep_series,MATCH(VALUE(G$5),ce_years,0)),0)</f>
        <v>0.00311633106637961</v>
      </c>
      <c r="H50" s="42" t="n">
        <f aca="false">IFERROR(INDEX(ce_econ_dep_series,MATCH(VALUE(H$5),ce_years,0)),0)</f>
        <v>0.00418332033592771</v>
      </c>
      <c r="I50" s="42" t="n">
        <f aca="false">IFERROR(INDEX(ce_econ_dep_series,MATCH(VALUE(I$5),ce_years,0)),0)</f>
        <v>0.00543722979119226</v>
      </c>
      <c r="J50" s="42" t="n">
        <f aca="false">IFERROR(INDEX(ce_econ_dep_series,MATCH(VALUE(J$5),ce_years,0)),0)</f>
        <v>0.00686420462101544</v>
      </c>
      <c r="K50" s="42" t="n">
        <f aca="false">IFERROR(INDEX(ce_econ_dep_series,MATCH(VALUE(K$5),ce_years,0)),0)</f>
        <v>0.00820363366208153</v>
      </c>
      <c r="L50" s="42" t="n">
        <f aca="false">IFERROR(INDEX(ce_econ_dep_series,MATCH(VALUE(L$5),ce_years,0)),0)</f>
        <v>0.00962688456186289</v>
      </c>
      <c r="M50" s="42" t="n">
        <f aca="false">IFERROR(INDEX(ce_econ_dep_series,MATCH(VALUE(M$5),ce_years,0)),0)</f>
        <v>0.0106796754023016</v>
      </c>
      <c r="N50" s="42" t="n">
        <f aca="false">IFERROR(INDEX(ce_econ_dep_series,MATCH(VALUE(N$5),ce_years,0)),0)</f>
        <v>0.0113633548433325</v>
      </c>
      <c r="O50" s="42" t="n">
        <f aca="false">IFERROR(INDEX(ce_econ_dep_series,MATCH(VALUE(O$5),ce_years,0)),0)</f>
        <v>0.0123506186475204</v>
      </c>
      <c r="P50" s="42" t="n">
        <f aca="false">IFERROR(INDEX(ce_econ_dep_series,MATCH(VALUE(P$5),ce_years,0)),0)</f>
        <v>0.0129695078756182</v>
      </c>
      <c r="Q50" s="42" t="n">
        <f aca="false">IFERROR(INDEX(ce_econ_dep_series,MATCH(VALUE(Q$5),ce_years,0)),0)</f>
        <v>0.0131229745160127</v>
      </c>
      <c r="R50" s="42" t="n">
        <f aca="false">IFERROR(INDEX(ce_econ_dep_series,MATCH(VALUE(R$5),ce_years,0)),0)</f>
        <v>0.0131269488890278</v>
      </c>
      <c r="S50" s="42" t="n">
        <f aca="false">IFERROR(INDEX(ce_econ_dep_series,MATCH(VALUE(S$5),ce_years,0)),0)</f>
        <v>0.0132866125706865</v>
      </c>
    </row>
    <row r="51" customFormat="false" ht="15" hidden="false" customHeight="true" outlineLevel="0" collapsed="false">
      <c r="A51" s="26" t="s">
        <v>562</v>
      </c>
      <c r="B51" s="42" t="n">
        <f aca="false">B49-B50</f>
        <v>0.00932776603665194</v>
      </c>
      <c r="C51" s="42" t="n">
        <f aca="false">C49-C50</f>
        <v>0.0171960797752565</v>
      </c>
      <c r="D51" s="42" t="n">
        <f aca="false">D49-D50</f>
        <v>0.0274603845507832</v>
      </c>
      <c r="E51" s="42" t="n">
        <f aca="false">E49-E50</f>
        <v>0.0490639555010603</v>
      </c>
      <c r="F51" s="42" t="n">
        <f aca="false">F49-F50</f>
        <v>0.0784301777136728</v>
      </c>
      <c r="G51" s="42" t="n">
        <f aca="false">G49-G50</f>
        <v>0.06737174989706</v>
      </c>
      <c r="H51" s="42" t="n">
        <f aca="false">H49-H50</f>
        <v>0.0701398196554551</v>
      </c>
      <c r="I51" s="42" t="n">
        <f aca="false">I49-I50</f>
        <v>0.095276268776421</v>
      </c>
      <c r="J51" s="42" t="n">
        <f aca="false">J49-J50</f>
        <v>0.0769476131676324</v>
      </c>
      <c r="K51" s="42" t="n">
        <f aca="false">K49-K50</f>
        <v>0.0895510563795307</v>
      </c>
      <c r="L51" s="42" t="n">
        <f aca="false">L49-L50</f>
        <v>0.0995432959707387</v>
      </c>
      <c r="M51" s="42" t="n">
        <f aca="false">M49-M50</f>
        <v>0.0895687107987413</v>
      </c>
      <c r="N51" s="42" t="n">
        <f aca="false">N49-N50</f>
        <v>0.0887859947283627</v>
      </c>
      <c r="O51" s="42" t="n">
        <f aca="false">O49-O50</f>
        <v>0.13634792236809</v>
      </c>
      <c r="P51" s="42" t="n">
        <f aca="false">P49-P50</f>
        <v>0.136514668178097</v>
      </c>
      <c r="Q51" s="42" t="n">
        <f aca="false">Q49-Q50</f>
        <v>0.125258709424362</v>
      </c>
      <c r="R51" s="42" t="n">
        <f aca="false">R49-R50</f>
        <v>0.130735278677129</v>
      </c>
      <c r="S51" s="42" t="n">
        <f aca="false">S49-S50</f>
        <v>0.13738721479627</v>
      </c>
    </row>
    <row r="52" customFormat="false" ht="15" hidden="false" customHeight="true" outlineLevel="0" collapsed="false">
      <c r="A52" s="26" t="s">
        <v>563</v>
      </c>
      <c r="B52" s="42" t="n">
        <f aca="false">(B51*(1-B24)-B24*B50*(1-SUMPRODUCT('Cap Engine'!$B$7:$B$43,'Cap Engine'!$F$7:$F$43)/'Cap Engine'!$B$46))</f>
        <v>0.00652498222743159</v>
      </c>
      <c r="C52" s="42" t="n">
        <f aca="false">(C51*(1-C24)-C24*C50*(1-SUMPRODUCT('Cap Engine'!$B$7:$B$43,'Cap Engine'!$F$7:$F$43)/'Cap Engine'!$B$46))</f>
        <v>0.0117163203079938</v>
      </c>
      <c r="D52" s="42" t="n">
        <f aca="false">(D51*(1-D24)-D24*D50*(1-SUMPRODUCT('Cap Engine'!$B$7:$B$43,'Cap Engine'!$F$7:$F$43)/'Cap Engine'!$B$46))</f>
        <v>0.0207336646757495</v>
      </c>
      <c r="E52" s="42" t="n">
        <f aca="false">(E51*(1-E24)-E24*E50*(1-SUMPRODUCT('Cap Engine'!$B$7:$B$43,'Cap Engine'!$F$7:$F$43)/'Cap Engine'!$B$46))</f>
        <v>0.0371483247087078</v>
      </c>
      <c r="F52" s="42" t="n">
        <f aca="false">(F51*(1-F24)-F24*F50*(1-SUMPRODUCT('Cap Engine'!$B$7:$B$43,'Cap Engine'!$F$7:$F$43)/'Cap Engine'!$B$46))</f>
        <v>0.0586354842090288</v>
      </c>
      <c r="G52" s="42" t="n">
        <f aca="false">(G51*(1-G24)-G24*G50*(1-SUMPRODUCT('Cap Engine'!$B$7:$B$43,'Cap Engine'!$F$7:$F$43)/'Cap Engine'!$B$46))</f>
        <v>0.0496601129804306</v>
      </c>
      <c r="H52" s="42" t="n">
        <f aca="false">(H51*(1-H24)-H24*H50*(1-SUMPRODUCT('Cap Engine'!$B$7:$B$43,'Cap Engine'!$F$7:$F$43)/'Cap Engine'!$B$46))</f>
        <v>0.0516935029688506</v>
      </c>
      <c r="I52" s="42" t="n">
        <f aca="false">(I51*(1-I24)-I24*I50*(1-SUMPRODUCT('Cap Engine'!$B$7:$B$43,'Cap Engine'!$F$7:$F$43)/'Cap Engine'!$B$46))</f>
        <v>0.0699941313401356</v>
      </c>
      <c r="J52" s="42" t="n">
        <f aca="false">(J51*(1-J24)-J24*J50*(1-SUMPRODUCT('Cap Engine'!$B$7:$B$43,'Cap Engine'!$F$7:$F$43)/'Cap Engine'!$B$46))</f>
        <v>0.0570868301483782</v>
      </c>
      <c r="K52" s="42" t="n">
        <f aca="false">(K51*(1-K24)-K24*K50*(1-SUMPRODUCT('Cap Engine'!$B$7:$B$43,'Cap Engine'!$F$7:$F$43)/'Cap Engine'!$B$46))</f>
        <v>0.0673364682488494</v>
      </c>
      <c r="L52" s="42" t="n">
        <f aca="false">(L51*(1-L24)-L24*L50*(1-SUMPRODUCT('Cap Engine'!$B$7:$B$43,'Cap Engine'!$F$7:$F$43)/'Cap Engine'!$B$46))</f>
        <v>0.0810885387934837</v>
      </c>
      <c r="M52" s="42" t="n">
        <f aca="false">(M51*(1-M24)-M24*M50*(1-SUMPRODUCT('Cap Engine'!$B$7:$B$43,'Cap Engine'!$F$7:$F$43)/'Cap Engine'!$B$46))</f>
        <v>0.0750987365740673</v>
      </c>
      <c r="N52" s="42" t="n">
        <f aca="false">(N51*(1-N24)-N24*N50*(1-SUMPRODUCT('Cap Engine'!$B$7:$B$43,'Cap Engine'!$F$7:$F$43)/'Cap Engine'!$B$46))</f>
        <v>0.0757934846125957</v>
      </c>
      <c r="O52" s="42" t="n">
        <f aca="false">(O51*(1-O24)-O24*O50*(1-SUMPRODUCT('Cap Engine'!$B$7:$B$43,'Cap Engine'!$F$7:$F$43)/'Cap Engine'!$B$46))</f>
        <v>0.118027846688358</v>
      </c>
      <c r="P52" s="42" t="n">
        <f aca="false">(P51*(1-P24)-P24*P50*(1-SUMPRODUCT('Cap Engine'!$B$7:$B$43,'Cap Engine'!$F$7:$F$43)/'Cap Engine'!$B$46))</f>
        <v>0.114159479607965</v>
      </c>
      <c r="Q52" s="42" t="n">
        <f aca="false">(Q51*(1-Q24)-Q24*Q50*(1-SUMPRODUCT('Cap Engine'!$B$7:$B$43,'Cap Engine'!$F$7:$F$43)/'Cap Engine'!$B$46))</f>
        <v>0.106606866810659</v>
      </c>
      <c r="R52" s="42" t="n">
        <f aca="false">(R51*(1-R24)-R24*R50*(1-SUMPRODUCT('Cap Engine'!$B$7:$B$43,'Cap Engine'!$F$7:$F$43)/'Cap Engine'!$B$46))</f>
        <v>0.0988879685618165</v>
      </c>
      <c r="S52" s="42" t="n">
        <f aca="false">(S51*(1-S24)-S24*S50*(1-SUMPRODUCT('Cap Engine'!$B$7:$B$43,'Cap Engine'!$F$7:$F$43)/'Cap Engine'!$B$46))</f>
        <v>0.115710470488936</v>
      </c>
    </row>
    <row r="53" customFormat="false" ht="15" hidden="false" customHeight="true" outlineLevel="0" collapsed="false">
      <c r="A53" s="26" t="s">
        <v>564</v>
      </c>
      <c r="B53" s="42" t="n">
        <f aca="false">B23*B6*(1-B24)</f>
        <v>0.000676578786969434</v>
      </c>
      <c r="C53" s="42" t="n">
        <f aca="false">C23*C6*(1-C24)</f>
        <v>0.000347551960196181</v>
      </c>
      <c r="D53" s="42" t="n">
        <f aca="false">D23*D6*(1-D24)</f>
        <v>0.000180048349637822</v>
      </c>
      <c r="E53" s="42" t="n">
        <f aca="false">E23*E6*(1-E24)</f>
        <v>0.000468561112545579</v>
      </c>
      <c r="F53" s="42" t="n">
        <f aca="false">F23*F6*(1-F24)</f>
        <v>0.000570226507818994</v>
      </c>
      <c r="G53" s="42" t="n">
        <f aca="false">G23*G6*(1-G24)</f>
        <v>0.000144473788589001</v>
      </c>
      <c r="H53" s="42" t="n">
        <f aca="false">H23*H6*(1-H24)</f>
        <v>0.000401570851414436</v>
      </c>
      <c r="I53" s="42" t="n">
        <f aca="false">I23*I6*(1-I24)</f>
        <v>0.000763121238305282</v>
      </c>
      <c r="J53" s="42" t="n">
        <f aca="false">J23*J6*(1-J24)</f>
        <v>0.00151343515590202</v>
      </c>
      <c r="K53" s="42" t="n">
        <f aca="false">K23*K6*(1-K24)</f>
        <v>0.00239605357838249</v>
      </c>
      <c r="L53" s="42" t="n">
        <f aca="false">L23*L6*(1-L24)</f>
        <v>0.00353092181366732</v>
      </c>
      <c r="M53" s="42" t="n">
        <f aca="false">M23*M6*(1-M24)</f>
        <v>0.0039401595615789</v>
      </c>
      <c r="N53" s="42" t="n">
        <f aca="false">N23*N6*(1-N24)</f>
        <v>0.00318337497425195</v>
      </c>
      <c r="O53" s="42" t="n">
        <f aca="false">O23*O6*(1-O24)</f>
        <v>0.00283606562806693</v>
      </c>
      <c r="P53" s="42" t="n">
        <f aca="false">P23*P6*(1-P24)</f>
        <v>0.00281244994565586</v>
      </c>
      <c r="Q53" s="42" t="n">
        <f aca="false">Q23*Q6*(1-Q24)</f>
        <v>0.00368896166741693</v>
      </c>
      <c r="R53" s="42" t="n">
        <f aca="false">R23*R6*(1-R24)</f>
        <v>0</v>
      </c>
      <c r="S53" s="42" t="n">
        <f aca="false">S23*S6*(1-S24)</f>
        <v>0</v>
      </c>
    </row>
    <row r="54" customFormat="false" ht="15" hidden="false" customHeight="true" outlineLevel="0" collapsed="false">
      <c r="A54" s="26" t="s">
        <v>565</v>
      </c>
      <c r="B54" s="42" t="n">
        <f aca="false">B52-B53</f>
        <v>0.00584840344046216</v>
      </c>
      <c r="C54" s="42" t="n">
        <f aca="false">C52-C53</f>
        <v>0.0113687683477976</v>
      </c>
      <c r="D54" s="42" t="n">
        <f aca="false">D52-D53</f>
        <v>0.0205536163261117</v>
      </c>
      <c r="E54" s="42" t="n">
        <f aca="false">E52-E53</f>
        <v>0.0366797635961622</v>
      </c>
      <c r="F54" s="42" t="n">
        <f aca="false">F52-F53</f>
        <v>0.0580652577012098</v>
      </c>
      <c r="G54" s="42" t="n">
        <f aca="false">G52-G53</f>
        <v>0.0495156391918416</v>
      </c>
      <c r="H54" s="42" t="n">
        <f aca="false">H52-H53</f>
        <v>0.0512919321174362</v>
      </c>
      <c r="I54" s="42" t="n">
        <f aca="false">I52-I53</f>
        <v>0.0692310101018303</v>
      </c>
      <c r="J54" s="42" t="n">
        <f aca="false">J52-J53</f>
        <v>0.0555733949924762</v>
      </c>
      <c r="K54" s="42" t="n">
        <f aca="false">K52-K53</f>
        <v>0.0649404146704669</v>
      </c>
      <c r="L54" s="42" t="n">
        <f aca="false">L52-L53</f>
        <v>0.0775576169798164</v>
      </c>
      <c r="M54" s="42" t="n">
        <f aca="false">M52-M53</f>
        <v>0.0711585770124884</v>
      </c>
      <c r="N54" s="42" t="n">
        <f aca="false">N52-N53</f>
        <v>0.0726101096383438</v>
      </c>
      <c r="O54" s="42" t="n">
        <f aca="false">O52-O53</f>
        <v>0.115191781060291</v>
      </c>
      <c r="P54" s="42" t="n">
        <f aca="false">P52-P53</f>
        <v>0.111347029662309</v>
      </c>
      <c r="Q54" s="42" t="n">
        <f aca="false">Q52-Q53</f>
        <v>0.102917905143242</v>
      </c>
      <c r="R54" s="42" t="n">
        <f aca="false">R52-R53</f>
        <v>0.0988879685618165</v>
      </c>
      <c r="S54" s="42" t="n">
        <f aca="false">S52-S53</f>
        <v>0.115710470488936</v>
      </c>
    </row>
    <row r="55" customFormat="false" ht="15" hidden="false" customHeight="true" outlineLevel="0" collapsed="false">
      <c r="A55" s="26" t="s">
        <v>566</v>
      </c>
      <c r="B55" s="42" t="n">
        <f aca="false">B25*B6</f>
        <v>1.24521441874939E-005</v>
      </c>
      <c r="C55" s="42" t="n">
        <f aca="false">C25*C6</f>
        <v>0.000131214345311065</v>
      </c>
      <c r="D55" s="42" t="n">
        <f aca="false">D25*D6</f>
        <v>-7.0695867116704E-005</v>
      </c>
      <c r="E55" s="42" t="n">
        <f aca="false">E25*E6</f>
        <v>0.000659998884141923</v>
      </c>
      <c r="F55" s="42" t="n">
        <f aca="false">F25*F6</f>
        <v>0.00072835691263709</v>
      </c>
      <c r="G55" s="42" t="n">
        <f aca="false">G25*G6</f>
        <v>-0.000677562524414377</v>
      </c>
      <c r="H55" s="42" t="n">
        <f aca="false">H25*H6</f>
        <v>0.00153167699885104</v>
      </c>
      <c r="I55" s="42" t="n">
        <f aca="false">I25*I6</f>
        <v>-0.000487802288443445</v>
      </c>
      <c r="J55" s="42" t="n">
        <f aca="false">J25*J6</f>
        <v>0.000885257438324716</v>
      </c>
      <c r="K55" s="42" t="n">
        <f aca="false">K25*K6</f>
        <v>-0.000205076901109661</v>
      </c>
      <c r="L55" s="42" t="n">
        <f aca="false">L25*L6</f>
        <v>-0.00460964784733201</v>
      </c>
      <c r="M55" s="42" t="n">
        <f aca="false">M25*M6</f>
        <v>-0.000765525027673797</v>
      </c>
      <c r="N55" s="42" t="n">
        <f aca="false">N25*N6</f>
        <v>-0.000525711573310254</v>
      </c>
      <c r="O55" s="42" t="n">
        <f aca="false">O25*O6</f>
        <v>0.000201590762815072</v>
      </c>
      <c r="P55" s="42" t="n">
        <f aca="false">P25*P6</f>
        <v>-0.0127210586082589</v>
      </c>
      <c r="Q55" s="42" t="n">
        <f aca="false">Q25*Q6</f>
        <v>-0.0125953508542773</v>
      </c>
      <c r="R55" s="42" t="n">
        <f aca="false">R25*R6</f>
        <v>-0.00766205431494251</v>
      </c>
      <c r="S55" s="42" t="n">
        <f aca="false">S25*S6</f>
        <v>-0.00579907074544252</v>
      </c>
    </row>
    <row r="56" customFormat="false" ht="15" hidden="false" customHeight="true" outlineLevel="0" collapsed="false">
      <c r="A56" s="26" t="s">
        <v>567</v>
      </c>
      <c r="B56" s="42" t="n">
        <f aca="false">B54+B55</f>
        <v>0.00586085558464965</v>
      </c>
      <c r="C56" s="42" t="n">
        <f aca="false">C54+C55</f>
        <v>0.0114999826931086</v>
      </c>
      <c r="D56" s="42" t="n">
        <f aca="false">D54+D55</f>
        <v>0.020482920458995</v>
      </c>
      <c r="E56" s="42" t="n">
        <f aca="false">E54+E55</f>
        <v>0.0373397624803041</v>
      </c>
      <c r="F56" s="42" t="n">
        <f aca="false">F54+F55</f>
        <v>0.0587936146138469</v>
      </c>
      <c r="G56" s="42" t="n">
        <f aca="false">G54+G55</f>
        <v>0.0488380766674272</v>
      </c>
      <c r="H56" s="42" t="n">
        <f aca="false">H54+H55</f>
        <v>0.0528236091162872</v>
      </c>
      <c r="I56" s="42" t="n">
        <f aca="false">I54+I55</f>
        <v>0.0687432078133868</v>
      </c>
      <c r="J56" s="42" t="n">
        <f aca="false">J54+J55</f>
        <v>0.0564586524308009</v>
      </c>
      <c r="K56" s="42" t="n">
        <f aca="false">K54+K55</f>
        <v>0.0647353377693572</v>
      </c>
      <c r="L56" s="42" t="n">
        <f aca="false">L54+L55</f>
        <v>0.0729479691324844</v>
      </c>
      <c r="M56" s="42" t="n">
        <f aca="false">M54+M55</f>
        <v>0.0703930519848146</v>
      </c>
      <c r="N56" s="42" t="n">
        <f aca="false">N54+N55</f>
        <v>0.0720843980650335</v>
      </c>
      <c r="O56" s="42" t="n">
        <f aca="false">O54+O55</f>
        <v>0.115393371823106</v>
      </c>
      <c r="P56" s="42" t="n">
        <f aca="false">P54+P55</f>
        <v>0.0986259710540503</v>
      </c>
      <c r="Q56" s="42" t="n">
        <f aca="false">Q54+Q55</f>
        <v>0.0903225542889645</v>
      </c>
      <c r="R56" s="42" t="n">
        <f aca="false">R54+R55</f>
        <v>0.091225914246874</v>
      </c>
      <c r="S56" s="42" t="n">
        <f aca="false">S54+S55</f>
        <v>0.109911399743493</v>
      </c>
    </row>
    <row r="58" customFormat="false" ht="15" hidden="false" customHeight="true" outlineLevel="0" collapsed="false">
      <c r="A58" s="4" t="s">
        <v>568</v>
      </c>
    </row>
    <row r="59" customFormat="false" ht="15" hidden="false" customHeight="true" outlineLevel="0" collapsed="false">
      <c r="A59" s="26" t="s">
        <v>569</v>
      </c>
      <c r="B59" s="44" t="n">
        <f aca="false">B52/B43</f>
        <v>-1.13748652897272</v>
      </c>
      <c r="C59" s="44" t="n">
        <f aca="false">C52/C43</f>
        <v>1.77108786304698</v>
      </c>
      <c r="D59" s="44" t="n">
        <f aca="false">D52/D43</f>
        <v>0.627547553515988</v>
      </c>
      <c r="E59" s="44" t="n">
        <f aca="false">E52/E43</f>
        <v>0.498342804429785</v>
      </c>
      <c r="F59" s="44" t="n">
        <f aca="false">F52/F43</f>
        <v>0.462645476421294</v>
      </c>
      <c r="G59" s="44" t="n">
        <f aca="false">G52/G43</f>
        <v>0.338467490805845</v>
      </c>
      <c r="H59" s="44" t="n">
        <f aca="false">H52/H43</f>
        <v>0.290178910434249</v>
      </c>
      <c r="I59" s="44" t="n">
        <f aca="false">I52/I43</f>
        <v>0.328088506654089</v>
      </c>
      <c r="J59" s="44" t="n">
        <f aca="false">J52/J43</f>
        <v>0.256164887457077</v>
      </c>
      <c r="K59" s="44" t="n">
        <f aca="false">K52/K43</f>
        <v>0.263615454505918</v>
      </c>
      <c r="L59" s="44" t="n">
        <f aca="false">L52/L43</f>
        <v>0.366430691447235</v>
      </c>
      <c r="M59" s="44" t="n">
        <f aca="false">M52/M43</f>
        <v>0.496612135579295</v>
      </c>
      <c r="N59" s="44" t="n">
        <f aca="false">N52/N43</f>
        <v>0.563610277395391</v>
      </c>
      <c r="O59" s="44" t="n">
        <f aca="false">O52/O43</f>
        <v>0.66626696330124</v>
      </c>
      <c r="P59" s="44" t="n">
        <f aca="false">P52/P43</f>
        <v>0.698009103916457</v>
      </c>
      <c r="Q59" s="44" t="n">
        <f aca="false">Q52/Q43</f>
        <v>0.733003651881422</v>
      </c>
      <c r="R59" s="44" t="n">
        <f aca="false">R52/R43</f>
        <v>0.724053311896159</v>
      </c>
      <c r="S59" s="44" t="n">
        <f aca="false">S52/S43</f>
        <v>0.759371504548644</v>
      </c>
    </row>
    <row r="60" customFormat="false" ht="15" hidden="false" customHeight="true" outlineLevel="0" collapsed="false">
      <c r="A60" s="26" t="s">
        <v>570</v>
      </c>
      <c r="B60" s="46" t="n">
        <f aca="false">B44/B45</f>
        <v>-1.17714077263551</v>
      </c>
      <c r="C60" s="46" t="n">
        <f aca="false">C44/C45</f>
        <v>-0.847107681229523</v>
      </c>
      <c r="D60" s="46" t="n">
        <f aca="false">D44/D45</f>
        <v>-0.543744000431377</v>
      </c>
      <c r="E60" s="46" t="n">
        <f aca="false">E44/E45</f>
        <v>-0.341533314869473</v>
      </c>
      <c r="F60" s="46" t="n">
        <f aca="false">F44/F45</f>
        <v>-0.251201421129254</v>
      </c>
      <c r="G60" s="46" t="n">
        <f aca="false">G44/G45</f>
        <v>-0.187820870236305</v>
      </c>
      <c r="H60" s="46" t="n">
        <f aca="false">H44/H45</f>
        <v>0.0883716429044162</v>
      </c>
      <c r="I60" s="46" t="n">
        <f aca="false">I44/I45</f>
        <v>0.17856817509503</v>
      </c>
      <c r="J60" s="46" t="n">
        <f aca="false">J44/J45</f>
        <v>0.142258877844554</v>
      </c>
      <c r="K60" s="46" t="n">
        <f aca="false">K44/K45</f>
        <v>0.285541936515292</v>
      </c>
      <c r="L60" s="46" t="n">
        <f aca="false">L44/L45</f>
        <v>0.409598071716133</v>
      </c>
      <c r="M60" s="46" t="n">
        <f aca="false">M44/M45</f>
        <v>0.0694331218655801</v>
      </c>
      <c r="N60" s="46" t="n">
        <f aca="false">N44/N45</f>
        <v>0.260954650092337</v>
      </c>
      <c r="O60" s="46" t="n">
        <f aca="false">O44/O45</f>
        <v>0.764943425758081</v>
      </c>
      <c r="P60" s="46" t="n">
        <f aca="false">P44/P45</f>
        <v>1.03316183380754</v>
      </c>
      <c r="Q60" s="46" t="n">
        <f aca="false">Q44/Q45</f>
        <v>0.615706999596872</v>
      </c>
      <c r="R60" s="46" t="n">
        <f aca="false">R44/R45</f>
        <v>0.728685388269536</v>
      </c>
      <c r="S60" s="46" t="n">
        <f aca="false">S44/S45</f>
        <v>0.650253749424986</v>
      </c>
    </row>
    <row r="61" customFormat="false" ht="15" hidden="false" customHeight="true" outlineLevel="0" collapsed="false">
      <c r="A61" s="26" t="s">
        <v>571</v>
      </c>
      <c r="B61" s="44" t="n">
        <f aca="false">B53/B44</f>
        <v>-0.0177490632911392</v>
      </c>
      <c r="C61" s="44" t="n">
        <f aca="false">C53/C44</f>
        <v>-0.00948234299352199</v>
      </c>
      <c r="D61" s="44" t="n">
        <f aca="false">D53/D44</f>
        <v>-0.00457271174863388</v>
      </c>
      <c r="E61" s="44" t="n">
        <f aca="false">E53/E44</f>
        <v>-0.0121186972102343</v>
      </c>
      <c r="F61" s="44" t="n">
        <f aca="false">F53/F44</f>
        <v>-0.0134115238422191</v>
      </c>
      <c r="G61" s="44" t="n">
        <f aca="false">G53/G44</f>
        <v>-0.00425800627490885</v>
      </c>
      <c r="H61" s="44" t="n">
        <f aca="false">H53/H44</f>
        <v>0.0277623581914269</v>
      </c>
      <c r="I61" s="44" t="n">
        <f aca="false">I53/I44</f>
        <v>0.0236087818118193</v>
      </c>
      <c r="J61" s="44" t="n">
        <f aca="false">J53/J44</f>
        <v>0.0545296429038587</v>
      </c>
      <c r="K61" s="44" t="n">
        <f aca="false">K53/K44</f>
        <v>0.0422311984626136</v>
      </c>
      <c r="L61" s="44" t="n">
        <f aca="false">L53/L44</f>
        <v>0.0549108115063717</v>
      </c>
      <c r="M61" s="44" t="n">
        <f aca="false">M53/M44</f>
        <v>0.401315048331108</v>
      </c>
      <c r="N61" s="44" t="n">
        <f aca="false">N53/N44</f>
        <v>0.114385046945517</v>
      </c>
      <c r="O61" s="44" t="n">
        <f aca="false">O53/O44</f>
        <v>0.0369386946681701</v>
      </c>
      <c r="P61" s="44" t="n">
        <f aca="false">P53/P44</f>
        <v>0.0338405569946402</v>
      </c>
      <c r="Q61" s="44" t="n">
        <f aca="false">Q53/Q44</f>
        <v>0.0665600465153199</v>
      </c>
      <c r="R61" s="44" t="n">
        <f aca="false">R53/R44</f>
        <v>0</v>
      </c>
      <c r="S61" s="44" t="n">
        <f aca="false">S53/S44</f>
        <v>0</v>
      </c>
    </row>
    <row r="62" customFormat="false" ht="15" hidden="false" customHeight="true" outlineLevel="0" collapsed="false">
      <c r="A62" s="26" t="s">
        <v>572</v>
      </c>
      <c r="B62" s="44" t="n">
        <f aca="false">B59-B61</f>
        <v>-1.11973746568158</v>
      </c>
      <c r="C62" s="44" t="n">
        <f aca="false">C59-C61</f>
        <v>1.7805702060405</v>
      </c>
      <c r="D62" s="44" t="n">
        <f aca="false">D59-D61</f>
        <v>0.632120265264622</v>
      </c>
      <c r="E62" s="44" t="n">
        <f aca="false">E59-E61</f>
        <v>0.51046150164002</v>
      </c>
      <c r="F62" s="44" t="n">
        <f aca="false">F59-F61</f>
        <v>0.476057000263513</v>
      </c>
      <c r="G62" s="44" t="n">
        <f aca="false">G59-G61</f>
        <v>0.342725497080754</v>
      </c>
      <c r="H62" s="44" t="n">
        <f aca="false">H59-H61</f>
        <v>0.262416552242822</v>
      </c>
      <c r="I62" s="44" t="n">
        <f aca="false">I59-I61</f>
        <v>0.30447972484227</v>
      </c>
      <c r="J62" s="44" t="n">
        <f aca="false">J59-J61</f>
        <v>0.201635244553218</v>
      </c>
      <c r="K62" s="44" t="n">
        <f aca="false">K59-K61</f>
        <v>0.221384256043305</v>
      </c>
      <c r="L62" s="44" t="n">
        <f aca="false">L59-L61</f>
        <v>0.311519879940864</v>
      </c>
      <c r="M62" s="44" t="n">
        <f aca="false">M59-M61</f>
        <v>0.0952970872481871</v>
      </c>
      <c r="N62" s="44" t="n">
        <f aca="false">N59-N61</f>
        <v>0.449225230449873</v>
      </c>
      <c r="O62" s="44" t="n">
        <f aca="false">O59-O61</f>
        <v>0.62932826863307</v>
      </c>
      <c r="P62" s="44" t="n">
        <f aca="false">P59-P61</f>
        <v>0.664168546921817</v>
      </c>
      <c r="Q62" s="44" t="n">
        <f aca="false">Q59-Q61</f>
        <v>0.666443605366102</v>
      </c>
      <c r="R62" s="44" t="n">
        <f aca="false">R59-R61</f>
        <v>0.724053311896159</v>
      </c>
      <c r="S62" s="44" t="n">
        <f aca="false">S59-S61</f>
        <v>0.759371504548644</v>
      </c>
    </row>
    <row r="63" customFormat="false" ht="15" hidden="false" customHeight="true" outlineLevel="0" collapsed="false">
      <c r="A63" s="26" t="s">
        <v>573</v>
      </c>
      <c r="B63" s="44" t="n">
        <f aca="false">B56/B45</f>
        <v>0.180986625976606</v>
      </c>
      <c r="C63" s="44" t="n">
        <f aca="false">C56/C45</f>
        <v>0.265785769605703</v>
      </c>
      <c r="D63" s="44" t="n">
        <f aca="false">D56/D45</f>
        <v>0.282859674443112</v>
      </c>
      <c r="E63" s="44" t="n">
        <f aca="false">E56/E45</f>
        <v>0.329833160923719</v>
      </c>
      <c r="F63" s="44" t="n">
        <f aca="false">F56/F45</f>
        <v>0.347362536219121</v>
      </c>
      <c r="G63" s="44" t="n">
        <f aca="false">G56/G45</f>
        <v>0.270345805816733</v>
      </c>
      <c r="H63" s="44" t="n">
        <f aca="false">H56/H45</f>
        <v>0.322726903753424</v>
      </c>
      <c r="I63" s="44" t="n">
        <f aca="false">I56/I45</f>
        <v>0.379764086828728</v>
      </c>
      <c r="J63" s="44" t="n">
        <f aca="false">J56/J45</f>
        <v>0.289386803208385</v>
      </c>
      <c r="K63" s="44" t="n">
        <f aca="false">K56/K45</f>
        <v>0.325797839531932</v>
      </c>
      <c r="L63" s="44" t="n">
        <f aca="false">L56/L45</f>
        <v>0.464665972418556</v>
      </c>
      <c r="M63" s="44" t="n">
        <f aca="false">M56/M45</f>
        <v>0.497815165770259</v>
      </c>
      <c r="N63" s="44" t="n">
        <f aca="false">N56/N45</f>
        <v>0.675908290511461</v>
      </c>
      <c r="O63" s="44" t="n">
        <f aca="false">O56/O45</f>
        <v>1.14967595440436</v>
      </c>
      <c r="P63" s="44" t="n">
        <f aca="false">P56/P45</f>
        <v>1.22606176043783</v>
      </c>
      <c r="Q63" s="44" t="n">
        <f aca="false">Q56/Q45</f>
        <v>1.00341312161399</v>
      </c>
      <c r="R63" s="44" t="n">
        <f aca="false">R56/R45</f>
        <v>1.15467901917437</v>
      </c>
      <c r="S63" s="44" t="n">
        <f aca="false">S56/S45</f>
        <v>1.1903511712348</v>
      </c>
    </row>
    <row r="64" customFormat="false" ht="15" hidden="false" customHeight="true" outlineLevel="0" collapsed="false">
      <c r="A64" s="26" t="s">
        <v>574</v>
      </c>
      <c r="B64" s="44" t="n">
        <f aca="false">B22/B18</f>
        <v>0.229862101759391</v>
      </c>
      <c r="C64" s="44" t="n">
        <f aca="false">C22/C18</f>
        <v>0.295882437482035</v>
      </c>
      <c r="D64" s="44" t="n">
        <f aca="false">D22/D18</f>
        <v>0.293214203511121</v>
      </c>
      <c r="E64" s="44" t="n">
        <f aca="false">E22/E18</f>
        <v>0.338341055928996</v>
      </c>
      <c r="F64" s="44" t="n">
        <f aca="false">F22/F18</f>
        <v>0.353041197868201</v>
      </c>
      <c r="G64" s="44" t="n">
        <f aca="false">G22/G18</f>
        <v>0.299775797456879</v>
      </c>
      <c r="H64" s="44" t="n">
        <f aca="false">H22/H18</f>
        <v>0.354200471550109</v>
      </c>
      <c r="I64" s="44" t="n">
        <f aca="false">I22/I18</f>
        <v>0.447354530601986</v>
      </c>
      <c r="J64" s="44" t="n">
        <f aca="false">J22/J18</f>
        <v>0.356236695802696</v>
      </c>
      <c r="K64" s="44" t="n">
        <f aca="false">K22/K18</f>
        <v>0.360701843383291</v>
      </c>
      <c r="L64" s="44" t="n">
        <f aca="false">L22/L18</f>
        <v>0.555601183420908</v>
      </c>
      <c r="M64" s="44" t="n">
        <f aca="false">M22/M18</f>
        <v>0.610644505348776</v>
      </c>
      <c r="N64" s="44" t="n">
        <f aca="false">N22/N18</f>
        <v>0.878663585301275</v>
      </c>
      <c r="O64" s="44" t="n">
        <f aca="false">O22/O18</f>
        <v>1.50071326676177</v>
      </c>
      <c r="P64" s="44" t="n">
        <f aca="false">P22/P18</f>
        <v>1.96958872750237</v>
      </c>
      <c r="Q64" s="44" t="n">
        <f aca="false">Q22/Q18</f>
        <v>1.56076014546391</v>
      </c>
      <c r="R64" s="44" t="n">
        <f aca="false">R22/R18</f>
        <v>1.64593503072871</v>
      </c>
      <c r="S64" s="44" t="n">
        <f aca="false">S22/S18</f>
        <v>1.51912983331751</v>
      </c>
    </row>
    <row r="66" customFormat="false" ht="15" hidden="false" customHeight="true" outlineLevel="0" collapsed="false">
      <c r="A66" s="4" t="s">
        <v>575</v>
      </c>
    </row>
    <row r="67" customFormat="false" ht="15" hidden="false" customHeight="true" outlineLevel="0" collapsed="false">
      <c r="A67" s="26" t="s">
        <v>576</v>
      </c>
      <c r="B67" s="42" t="n">
        <f aca="false">-(B26+B27)</f>
        <v>0.000124</v>
      </c>
      <c r="C67" s="42" t="n">
        <f aca="false">-(C26+C27)</f>
        <v>0.000475</v>
      </c>
      <c r="D67" s="42" t="n">
        <f aca="false">-(D26+D27)</f>
        <v>0.000912</v>
      </c>
      <c r="E67" s="42" t="n">
        <f aca="false">-(E26+E27)</f>
        <v>0.000831</v>
      </c>
      <c r="F67" s="42" t="n">
        <f aca="false">-(F26+F27)</f>
        <v>0.003153</v>
      </c>
      <c r="G67" s="42" t="n">
        <f aca="false">-(G26+G27)</f>
        <v>0.033424</v>
      </c>
      <c r="H67" s="42" t="n">
        <f aca="false">-(H26+H27)</f>
        <v>0.056126</v>
      </c>
      <c r="I67" s="42" t="n">
        <f aca="false">-(I26+I27)</f>
        <v>0.046814</v>
      </c>
      <c r="J67" s="42" t="n">
        <f aca="false">-(J26+J27)</f>
        <v>0.041872</v>
      </c>
      <c r="K67" s="42" t="n">
        <f aca="false">-(K26+K27)</f>
        <v>0.045114</v>
      </c>
      <c r="L67" s="42" t="n">
        <f aca="false">-(L26+L27)</f>
        <v>0.08645</v>
      </c>
      <c r="M67" s="42" t="n">
        <f aca="false">-(M26+M27)</f>
        <v>0.081016</v>
      </c>
      <c r="N67" s="42" t="n">
        <f aca="false">-(N26+N27)</f>
        <v>0.086439</v>
      </c>
      <c r="O67" s="42" t="n">
        <f aca="false">-(O26+O27)</f>
        <v>0.100438</v>
      </c>
      <c r="P67" s="42" t="n">
        <f aca="false">-(P26+P27)</f>
        <v>0.104243</v>
      </c>
      <c r="Q67" s="42" t="n">
        <f aca="false">-(Q26+Q27)</f>
        <v>0.092575</v>
      </c>
      <c r="R67" s="42" t="n">
        <f aca="false">-(R26+R27)</f>
        <v>0.110183</v>
      </c>
      <c r="S67" s="42" t="n">
        <f aca="false">-(S26+S27)</f>
        <v>0.106132</v>
      </c>
    </row>
    <row r="68" customFormat="false" ht="15" hidden="false" customHeight="true" outlineLevel="0" collapsed="false">
      <c r="A68" s="26" t="s">
        <v>577</v>
      </c>
      <c r="B68" s="42" t="n">
        <f aca="false">B22+B25</f>
        <v>0.004842</v>
      </c>
      <c r="C68" s="42" t="n">
        <f aca="false">C22+C25</f>
        <v>0.008319</v>
      </c>
      <c r="D68" s="42" t="n">
        <f aca="false">D22+D25</f>
        <v>0.013967</v>
      </c>
      <c r="E68" s="42" t="n">
        <f aca="false">E22+E25</f>
        <v>0.026365</v>
      </c>
      <c r="F68" s="42" t="n">
        <f aca="false">F22+F25</f>
        <v>0.042232</v>
      </c>
      <c r="G68" s="42" t="n">
        <f aca="false">G22+G25</f>
        <v>0.036566</v>
      </c>
      <c r="H68" s="42" t="n">
        <f aca="false">H22+H25</f>
        <v>0.040592</v>
      </c>
      <c r="I68" s="42" t="n">
        <f aca="false">I22+I25</f>
        <v>0.053049</v>
      </c>
      <c r="J68" s="42" t="n">
        <f aca="false">J22+J25</f>
        <v>0.046321</v>
      </c>
      <c r="K68" s="42" t="n">
        <f aca="false">K22+K25</f>
        <v>0.048201</v>
      </c>
      <c r="L68" s="42" t="n">
        <f aca="false">L22+L25</f>
        <v>0.056077</v>
      </c>
      <c r="M68" s="42" t="n">
        <f aca="false">M22+M25</f>
        <v>0.054672</v>
      </c>
      <c r="N68" s="42" t="n">
        <f aca="false">N22+N25</f>
        <v>0.057005</v>
      </c>
      <c r="O68" s="42" t="n">
        <f aca="false">O22+O25</f>
        <v>0.094843</v>
      </c>
      <c r="P68" s="42" t="n">
        <f aca="false">P22+P25</f>
        <v>0.088694</v>
      </c>
      <c r="Q68" s="42" t="n">
        <f aca="false">Q22+Q25</f>
        <v>0.085543</v>
      </c>
      <c r="R68" s="42" t="n">
        <f aca="false">R22+R25</f>
        <v>0.086564</v>
      </c>
      <c r="S68" s="42" t="n">
        <f aca="false">S22+S25</f>
        <v>0.106439</v>
      </c>
    </row>
    <row r="69" customFormat="false" ht="15" hidden="false" customHeight="true" outlineLevel="0" collapsed="false">
      <c r="A69" s="26" t="s">
        <v>578</v>
      </c>
      <c r="B69" s="26" t="str">
        <f aca="false">""</f>
        <v/>
      </c>
      <c r="C69" s="42" t="n">
        <f aca="false">C18-B18</f>
        <v>0.006802</v>
      </c>
      <c r="D69" s="42" t="n">
        <f aca="false">D18-C18</f>
        <v>0.019959</v>
      </c>
      <c r="E69" s="42" t="n">
        <f aca="false">E18-D18</f>
        <v>0.028824</v>
      </c>
      <c r="F69" s="42" t="n">
        <f aca="false">F18-E18</f>
        <v>0.041595</v>
      </c>
      <c r="G69" s="42" t="n">
        <f aca="false">G18-F18</f>
        <v>0.00533900000000001</v>
      </c>
      <c r="H69" s="42" t="n">
        <f aca="false">H18-G18</f>
        <v>-0.012002</v>
      </c>
      <c r="I69" s="42" t="n">
        <f aca="false">I18-H18</f>
        <v>0.00780800000000001</v>
      </c>
      <c r="J69" s="42" t="n">
        <f aca="false">J18-I18</f>
        <v>0.008894</v>
      </c>
      <c r="K69" s="42" t="n">
        <f aca="false">K18-J18</f>
        <v>0.005798</v>
      </c>
      <c r="L69" s="42" t="n">
        <f aca="false">L18-K18</f>
        <v>-0.0269</v>
      </c>
      <c r="M69" s="42" t="n">
        <f aca="false">M18-L18</f>
        <v>-0.016659</v>
      </c>
      <c r="N69" s="42" t="n">
        <f aca="false">N18-M18</f>
        <v>-0.025149</v>
      </c>
      <c r="O69" s="42" t="n">
        <f aca="false">O18-N18</f>
        <v>-0.002249</v>
      </c>
      <c r="P69" s="42" t="n">
        <f aca="false">P18-O18</f>
        <v>-0.012418</v>
      </c>
      <c r="Q69" s="42" t="n">
        <f aca="false">Q18-P18</f>
        <v>0.011474</v>
      </c>
      <c r="R69" s="42" t="n">
        <f aca="false">R18-Q18</f>
        <v>-0.005196</v>
      </c>
      <c r="S69" s="42" t="n">
        <f aca="false">S18-R18</f>
        <v>0.016783</v>
      </c>
    </row>
    <row r="70" customFormat="false" ht="15" hidden="false" customHeight="true" outlineLevel="0" collapsed="false">
      <c r="A70" s="26" t="s">
        <v>579</v>
      </c>
      <c r="B70" s="26" t="str">
        <f aca="false">""</f>
        <v/>
      </c>
      <c r="C70" s="42" t="n">
        <f aca="false">C69-(C68-C67)</f>
        <v>-0.001042</v>
      </c>
      <c r="D70" s="42" t="n">
        <f aca="false">D69-(D68-D67)</f>
        <v>0.006904</v>
      </c>
      <c r="E70" s="42" t="n">
        <f aca="false">E69-(E68-E67)</f>
        <v>0.00329</v>
      </c>
      <c r="F70" s="42" t="n">
        <f aca="false">F69-(F68-F67)</f>
        <v>0.002516</v>
      </c>
      <c r="G70" s="42" t="n">
        <f aca="false">G69-(G68-G67)</f>
        <v>0.002197</v>
      </c>
      <c r="H70" s="42" t="n">
        <f aca="false">H69-(H68-H67)</f>
        <v>0.00353199999999998</v>
      </c>
      <c r="I70" s="42" t="n">
        <f aca="false">I69-(I68-I67)</f>
        <v>0.00157300000000001</v>
      </c>
      <c r="J70" s="42" t="n">
        <f aca="false">J69-(J68-J67)</f>
        <v>0.004445</v>
      </c>
      <c r="K70" s="42" t="n">
        <f aca="false">K69-(K68-K67)</f>
        <v>0.002711</v>
      </c>
      <c r="L70" s="42" t="n">
        <f aca="false">L69-(L68-L67)</f>
        <v>0.003473</v>
      </c>
      <c r="M70" s="42" t="n">
        <f aca="false">M69-(M68-M67)</f>
        <v>0.009685</v>
      </c>
      <c r="N70" s="42" t="n">
        <f aca="false">N69-(N68-N67)</f>
        <v>0.004285</v>
      </c>
      <c r="O70" s="42" t="n">
        <f aca="false">O69-(O68-O67)</f>
        <v>0.003346</v>
      </c>
      <c r="P70" s="42" t="n">
        <f aca="false">P69-(P68-P67)</f>
        <v>0.00313100000000002</v>
      </c>
      <c r="Q70" s="42" t="n">
        <f aca="false">Q69-(Q68-Q67)</f>
        <v>0.018506</v>
      </c>
      <c r="R70" s="42" t="n">
        <f aca="false">R69-(R68-R67)</f>
        <v>0.018423</v>
      </c>
      <c r="S70" s="42" t="n">
        <f aca="false">S69-(S68-S67)</f>
        <v>0.016476</v>
      </c>
    </row>
    <row r="72" customFormat="false" ht="15" hidden="false" customHeight="true" outlineLevel="0" collapsed="false">
      <c r="A72" s="4" t="s">
        <v>580</v>
      </c>
    </row>
    <row r="73" customFormat="false" ht="15" hidden="false" customHeight="true" outlineLevel="0" collapsed="false">
      <c r="A73" s="26" t="s">
        <v>581</v>
      </c>
      <c r="B73" s="42" t="n">
        <f aca="false">IF(cfg_restatement="Economic",B43,B35)</f>
        <v>-0.00573631604527606</v>
      </c>
      <c r="C73" s="42" t="n">
        <f aca="false">IF(cfg_restatement="Economic",C43,C35)</f>
        <v>0.00661532414763265</v>
      </c>
      <c r="D73" s="42" t="n">
        <f aca="false">IF(cfg_restatement="Economic",D43,D35)</f>
        <v>0.0330391929019309</v>
      </c>
      <c r="E73" s="42" t="n">
        <f aca="false">IF(cfg_restatement="Economic",E43,E35)</f>
        <v>0.0745437164507947</v>
      </c>
      <c r="F73" s="42" t="n">
        <f aca="false">IF(cfg_restatement="Economic",F43,F35)</f>
        <v>0.126739560197567</v>
      </c>
      <c r="G73" s="42" t="n">
        <f aca="false">IF(cfg_restatement="Economic",G43,G35)</f>
        <v>0.146720480782945</v>
      </c>
      <c r="H73" s="42" t="n">
        <f aca="false">IF(cfg_restatement="Economic",H43,H35)</f>
        <v>0.17814355595826</v>
      </c>
      <c r="I73" s="42" t="n">
        <f aca="false">IF(cfg_restatement="Economic",I43,I35)</f>
        <v>0.213339175010882</v>
      </c>
      <c r="J73" s="42" t="n">
        <f aca="false">IF(cfg_restatement="Economic",J43,J35)</f>
        <v>0.222851893228122</v>
      </c>
      <c r="K73" s="42" t="n">
        <f aca="false">IF(cfg_restatement="Economic",K43,K35)</f>
        <v>0.25543444854193</v>
      </c>
      <c r="L73" s="42" t="n">
        <f aca="false">IF(cfg_restatement="Economic",L43,L35)</f>
        <v>0.221292977597539</v>
      </c>
      <c r="M73" s="42" t="n">
        <f aca="false">IF(cfg_restatement="Economic",M43,M35)</f>
        <v>0.15122211318188</v>
      </c>
      <c r="N73" s="42" t="n">
        <f aca="false">IF(cfg_restatement="Economic",N43,N35)</f>
        <v>0.134478535350455</v>
      </c>
      <c r="O73" s="42" t="n">
        <f aca="false">IF(cfg_restatement="Economic",O43,O35)</f>
        <v>0.177147979998213</v>
      </c>
      <c r="P73" s="42" t="n">
        <f aca="false">IF(cfg_restatement="Economic",P43,P35)</f>
        <v>0.163550129887172</v>
      </c>
      <c r="Q73" s="42" t="n">
        <f aca="false">IF(cfg_restatement="Economic",Q43,Q35)</f>
        <v>0.145438384293213</v>
      </c>
      <c r="R73" s="42" t="n">
        <f aca="false">IF(cfg_restatement="Economic",R43,R35)</f>
        <v>0.136575535167221</v>
      </c>
      <c r="S73" s="42" t="n">
        <f aca="false">IF(cfg_restatement="Economic",S43,S35)</f>
        <v>0.152376629615187</v>
      </c>
    </row>
    <row r="74" customFormat="false" ht="15" hidden="false" customHeight="true" outlineLevel="0" collapsed="false">
      <c r="A74" s="26" t="s">
        <v>582</v>
      </c>
      <c r="B74" s="42" t="n">
        <f aca="false">IF(cfg_restatement="Economic",B44,B32)</f>
        <v>-0.0381191263939657</v>
      </c>
      <c r="C74" s="42" t="n">
        <f aca="false">IF(cfg_restatement="Economic",C44,C32)</f>
        <v>-0.0366525404568909</v>
      </c>
      <c r="D74" s="42" t="n">
        <f aca="false">IF(cfg_restatement="Economic",D44,D32)</f>
        <v>-0.0393745242506512</v>
      </c>
      <c r="E74" s="42" t="n">
        <f aca="false">IF(cfg_restatement="Economic",E44,E32)</f>
        <v>-0.0386643138628695</v>
      </c>
      <c r="F74" s="42" t="n">
        <f aca="false">IF(cfg_restatement="Economic",F44,F32)</f>
        <v>-0.0425176523210537</v>
      </c>
      <c r="G74" s="42" t="n">
        <f aca="false">IF(cfg_restatement="Economic",G44,G32)</f>
        <v>-0.0339299144391454</v>
      </c>
      <c r="H74" s="42" t="n">
        <f aca="false">IF(cfg_restatement="Economic",H44,H32)</f>
        <v>0.0144645800131792</v>
      </c>
      <c r="I74" s="42" t="n">
        <f aca="false">IF(cfg_restatement="Economic",I44,I32)</f>
        <v>0.0323236177278423</v>
      </c>
      <c r="J74" s="42" t="n">
        <f aca="false">IF(cfg_restatement="Economic",J44,J32)</f>
        <v>0.0277543566270984</v>
      </c>
      <c r="K74" s="42" t="n">
        <f aca="false">IF(cfg_restatement="Economic",K44,K32)</f>
        <v>0.0567365754609987</v>
      </c>
      <c r="L74" s="42" t="n">
        <f aca="false">IF(cfg_restatement="Economic",L44,L32)</f>
        <v>0.0643028525130721</v>
      </c>
      <c r="M74" s="42" t="n">
        <f aca="false">IF(cfg_restatement="Economic",M44,M32)</f>
        <v>0.00981812064602181</v>
      </c>
      <c r="N74" s="42" t="n">
        <f aca="false">IF(cfg_restatement="Economic",N44,N32)</f>
        <v>0.027830341983146</v>
      </c>
      <c r="O74" s="42" t="n">
        <f aca="false">IF(cfg_restatement="Economic",O44,O32)</f>
        <v>0.0767776353101819</v>
      </c>
      <c r="P74" s="42" t="n">
        <f aca="false">IF(cfg_restatement="Economic",P44,P32)</f>
        <v>0.0831088550375015</v>
      </c>
      <c r="Q74" s="42" t="n">
        <f aca="false">IF(cfg_restatement="Economic",Q44,Q32)</f>
        <v>0.0554230632421185</v>
      </c>
      <c r="R74" s="42" t="n">
        <f aca="false">IF(cfg_restatement="Economic",R44,R32)</f>
        <v>0.0575701035866734</v>
      </c>
      <c r="S74" s="42" t="n">
        <f aca="false">IF(cfg_restatement="Economic",S44,S32)</f>
        <v>0.0600413571346481</v>
      </c>
    </row>
    <row r="75" customFormat="false" ht="15" hidden="false" customHeight="true" outlineLevel="0" collapsed="false">
      <c r="A75" s="26" t="s">
        <v>583</v>
      </c>
      <c r="B75" s="42" t="n">
        <f aca="false">IF(cfg_restatement="Economic",B45,B18)</f>
        <v>0.0323828103486897</v>
      </c>
      <c r="C75" s="42" t="n">
        <f aca="false">IF(cfg_restatement="Economic",C45,C18)</f>
        <v>0.0432678646045235</v>
      </c>
      <c r="D75" s="42" t="n">
        <f aca="false">IF(cfg_restatement="Economic",D45,D18)</f>
        <v>0.0724137171525821</v>
      </c>
      <c r="E75" s="42" t="n">
        <f aca="false">IF(cfg_restatement="Economic",E45,E18)</f>
        <v>0.113208030313664</v>
      </c>
      <c r="F75" s="42" t="n">
        <f aca="false">IF(cfg_restatement="Economic",F45,F18)</f>
        <v>0.169257212518621</v>
      </c>
      <c r="G75" s="42" t="n">
        <f aca="false">IF(cfg_restatement="Economic",G45,G18)</f>
        <v>0.18065039522209</v>
      </c>
      <c r="H75" s="42" t="n">
        <f aca="false">IF(cfg_restatement="Economic",H45,H18)</f>
        <v>0.163678975945081</v>
      </c>
      <c r="I75" s="42" t="n">
        <f aca="false">IF(cfg_restatement="Economic",I45,I18)</f>
        <v>0.18101555728304</v>
      </c>
      <c r="J75" s="42" t="n">
        <f aca="false">IF(cfg_restatement="Economic",J45,J18)</f>
        <v>0.195097536601023</v>
      </c>
      <c r="K75" s="42" t="n">
        <f aca="false">IF(cfg_restatement="Economic",K45,K18)</f>
        <v>0.198697873080931</v>
      </c>
      <c r="L75" s="42" t="n">
        <f aca="false">IF(cfg_restatement="Economic",L45,L18)</f>
        <v>0.156990125084467</v>
      </c>
      <c r="M75" s="42" t="n">
        <f aca="false">IF(cfg_restatement="Economic",M45,M18)</f>
        <v>0.141403992535858</v>
      </c>
      <c r="N75" s="42" t="n">
        <f aca="false">IF(cfg_restatement="Economic",N45,N18)</f>
        <v>0.106648193367309</v>
      </c>
      <c r="O75" s="42" t="n">
        <f aca="false">IF(cfg_restatement="Economic",O45,O18)</f>
        <v>0.100370344688031</v>
      </c>
      <c r="P75" s="42" t="n">
        <f aca="false">IF(cfg_restatement="Economic",P45,P18)</f>
        <v>0.0804412748496705</v>
      </c>
      <c r="Q75" s="42" t="n">
        <f aca="false">IF(cfg_restatement="Economic",Q45,Q18)</f>
        <v>0.0900153210510945</v>
      </c>
      <c r="R75" s="42" t="n">
        <f aca="false">IF(cfg_restatement="Economic",R45,R18)</f>
        <v>0.0790054315805474</v>
      </c>
      <c r="S75" s="42" t="n">
        <f aca="false">IF(cfg_restatement="Economic",S45,S18)</f>
        <v>0.0923352724805388</v>
      </c>
    </row>
    <row r="76" customFormat="false" ht="15" hidden="false" customHeight="true" outlineLevel="0" collapsed="false">
      <c r="A76" s="26" t="s">
        <v>584</v>
      </c>
      <c r="B76" s="42" t="n">
        <f aca="false">IF(cfg_restatement="Economic",B52,B20*(1-B24))</f>
        <v>0.00652498222743159</v>
      </c>
      <c r="C76" s="42" t="n">
        <f aca="false">IF(cfg_restatement="Economic",C52,C20*(1-C24))</f>
        <v>0.0117163203079938</v>
      </c>
      <c r="D76" s="42" t="n">
        <f aca="false">IF(cfg_restatement="Economic",D52,D20*(1-D24))</f>
        <v>0.0207336646757495</v>
      </c>
      <c r="E76" s="42" t="n">
        <f aca="false">IF(cfg_restatement="Economic",E52,E20*(1-E24))</f>
        <v>0.0371483247087078</v>
      </c>
      <c r="F76" s="42" t="n">
        <f aca="false">IF(cfg_restatement="Economic",F52,F20*(1-F24))</f>
        <v>0.0586354842090288</v>
      </c>
      <c r="G76" s="42" t="n">
        <f aca="false">IF(cfg_restatement="Economic",G52,G20*(1-G24))</f>
        <v>0.0496601129804306</v>
      </c>
      <c r="H76" s="42" t="n">
        <f aca="false">IF(cfg_restatement="Economic",H52,H20*(1-H24))</f>
        <v>0.0516935029688506</v>
      </c>
      <c r="I76" s="42" t="n">
        <f aca="false">IF(cfg_restatement="Economic",I52,I20*(1-I24))</f>
        <v>0.0699941313401356</v>
      </c>
      <c r="J76" s="42" t="n">
        <f aca="false">IF(cfg_restatement="Economic",J52,J20*(1-J24))</f>
        <v>0.0570868301483782</v>
      </c>
      <c r="K76" s="42" t="n">
        <f aca="false">IF(cfg_restatement="Economic",K52,K20*(1-K24))</f>
        <v>0.0673364682488494</v>
      </c>
      <c r="L76" s="42" t="n">
        <f aca="false">IF(cfg_restatement="Economic",L52,L20*(1-L24))</f>
        <v>0.0810885387934837</v>
      </c>
      <c r="M76" s="42" t="n">
        <f aca="false">IF(cfg_restatement="Economic",M52,M20*(1-M24))</f>
        <v>0.0750987365740673</v>
      </c>
      <c r="N76" s="42" t="n">
        <f aca="false">IF(cfg_restatement="Economic",N52,N20*(1-N24))</f>
        <v>0.0757934846125957</v>
      </c>
      <c r="O76" s="42" t="n">
        <f aca="false">IF(cfg_restatement="Economic",O52,O20*(1-O24))</f>
        <v>0.118027846688358</v>
      </c>
      <c r="P76" s="42" t="n">
        <f aca="false">IF(cfg_restatement="Economic",P52,P20*(1-P24))</f>
        <v>0.114159479607965</v>
      </c>
      <c r="Q76" s="42" t="n">
        <f aca="false">IF(cfg_restatement="Economic",Q52,Q20*(1-Q24))</f>
        <v>0.106606866810659</v>
      </c>
      <c r="R76" s="42" t="n">
        <f aca="false">IF(cfg_restatement="Economic",R52,R20*(1-R24))</f>
        <v>0.0988879685618165</v>
      </c>
      <c r="S76" s="42" t="n">
        <f aca="false">IF(cfg_restatement="Economic",S52,S20*(1-S24))</f>
        <v>0.115710470488936</v>
      </c>
    </row>
    <row r="77" customFormat="false" ht="15" hidden="false" customHeight="true" outlineLevel="0" collapsed="false">
      <c r="A77" s="26" t="s">
        <v>585</v>
      </c>
      <c r="B77" s="42" t="n">
        <f aca="false">IF(cfg_restatement="Economic",B54,B22)</f>
        <v>0.00584840344046216</v>
      </c>
      <c r="C77" s="42" t="n">
        <f aca="false">IF(cfg_restatement="Economic",C54,C22)</f>
        <v>0.0113687683477976</v>
      </c>
      <c r="D77" s="42" t="n">
        <f aca="false">IF(cfg_restatement="Economic",D54,D22)</f>
        <v>0.0205536163261117</v>
      </c>
      <c r="E77" s="42" t="n">
        <f aca="false">IF(cfg_restatement="Economic",E54,E22)</f>
        <v>0.0366797635961622</v>
      </c>
      <c r="F77" s="42" t="n">
        <f aca="false">IF(cfg_restatement="Economic",F54,F22)</f>
        <v>0.0580652577012098</v>
      </c>
      <c r="G77" s="42" t="n">
        <f aca="false">IF(cfg_restatement="Economic",G54,G22)</f>
        <v>0.0495156391918416</v>
      </c>
      <c r="H77" s="42" t="n">
        <f aca="false">IF(cfg_restatement="Economic",H54,H22)</f>
        <v>0.0512919321174362</v>
      </c>
      <c r="I77" s="42" t="n">
        <f aca="false">IF(cfg_restatement="Economic",I54,I22)</f>
        <v>0.0692310101018303</v>
      </c>
      <c r="J77" s="42" t="n">
        <f aca="false">IF(cfg_restatement="Economic",J54,J22)</f>
        <v>0.0555733949924762</v>
      </c>
      <c r="K77" s="42" t="n">
        <f aca="false">IF(cfg_restatement="Economic",K54,K22)</f>
        <v>0.0649404146704669</v>
      </c>
      <c r="L77" s="42" t="n">
        <f aca="false">IF(cfg_restatement="Economic",L54,L22)</f>
        <v>0.0775576169798164</v>
      </c>
      <c r="M77" s="42" t="n">
        <f aca="false">IF(cfg_restatement="Economic",M54,M22)</f>
        <v>0.0711585770124884</v>
      </c>
      <c r="N77" s="42" t="n">
        <f aca="false">IF(cfg_restatement="Economic",N54,N22)</f>
        <v>0.0726101096383438</v>
      </c>
      <c r="O77" s="42" t="n">
        <f aca="false">IF(cfg_restatement="Economic",O54,O22)</f>
        <v>0.115191781060291</v>
      </c>
      <c r="P77" s="42" t="n">
        <f aca="false">IF(cfg_restatement="Economic",P54,P22)</f>
        <v>0.111347029662309</v>
      </c>
      <c r="Q77" s="42" t="n">
        <f aca="false">IF(cfg_restatement="Economic",Q54,Q22)</f>
        <v>0.102917905143242</v>
      </c>
      <c r="R77" s="42" t="n">
        <f aca="false">IF(cfg_restatement="Economic",R54,R22)</f>
        <v>0.0988879685618165</v>
      </c>
      <c r="S77" s="42" t="n">
        <f aca="false">IF(cfg_restatement="Economic",S54,S22)</f>
        <v>0.115710470488936</v>
      </c>
    </row>
    <row r="78" customFormat="false" ht="15" hidden="false" customHeight="true" outlineLevel="0" collapsed="false">
      <c r="A78" s="26" t="s">
        <v>586</v>
      </c>
      <c r="B78" s="44" t="n">
        <f aca="false">B76/B73</f>
        <v>-1.13748652897272</v>
      </c>
      <c r="C78" s="44" t="n">
        <f aca="false">C76/C73</f>
        <v>1.77108786304698</v>
      </c>
      <c r="D78" s="44" t="n">
        <f aca="false">D76/D73</f>
        <v>0.627547553515988</v>
      </c>
      <c r="E78" s="44" t="n">
        <f aca="false">E76/E73</f>
        <v>0.498342804429785</v>
      </c>
      <c r="F78" s="44" t="n">
        <f aca="false">F76/F73</f>
        <v>0.462645476421294</v>
      </c>
      <c r="G78" s="44" t="n">
        <f aca="false">G76/G73</f>
        <v>0.338467490805845</v>
      </c>
      <c r="H78" s="44" t="n">
        <f aca="false">H76/H73</f>
        <v>0.290178910434249</v>
      </c>
      <c r="I78" s="44" t="n">
        <f aca="false">I76/I73</f>
        <v>0.328088506654089</v>
      </c>
      <c r="J78" s="44" t="n">
        <f aca="false">J76/J73</f>
        <v>0.256164887457077</v>
      </c>
      <c r="K78" s="44" t="n">
        <f aca="false">K76/K73</f>
        <v>0.263615454505918</v>
      </c>
      <c r="L78" s="44" t="n">
        <f aca="false">L76/L73</f>
        <v>0.366430691447235</v>
      </c>
      <c r="M78" s="44" t="n">
        <f aca="false">M76/M73</f>
        <v>0.496612135579295</v>
      </c>
      <c r="N78" s="44" t="n">
        <f aca="false">N76/N73</f>
        <v>0.563610277395391</v>
      </c>
      <c r="O78" s="44" t="n">
        <f aca="false">O76/O73</f>
        <v>0.66626696330124</v>
      </c>
      <c r="P78" s="44" t="n">
        <f aca="false">P76/P73</f>
        <v>0.698009103916457</v>
      </c>
      <c r="Q78" s="44" t="n">
        <f aca="false">Q76/Q73</f>
        <v>0.733003651881422</v>
      </c>
      <c r="R78" s="44" t="n">
        <f aca="false">R76/R73</f>
        <v>0.724053311896159</v>
      </c>
      <c r="S78" s="44" t="n">
        <f aca="false">S76/S73</f>
        <v>0.759371504548644</v>
      </c>
    </row>
    <row r="80" customFormat="false" ht="15" hidden="false" customHeight="true" outlineLevel="0" collapsed="false">
      <c r="A80" s="4" t="s">
        <v>587</v>
      </c>
    </row>
    <row r="81" customFormat="false" ht="15" hidden="false" customHeight="true" outlineLevel="0" collapsed="false">
      <c r="A81" s="26" t="s">
        <v>588</v>
      </c>
      <c r="B81" s="42" t="n">
        <f aca="false">IFERROR(INDEX(rep_revenue,MATCH(B$5,rep_years_is,0)),0)*B6</f>
        <v>0.0505541488832018</v>
      </c>
      <c r="C81" s="42" t="n">
        <f aca="false">IFERROR(INDEX(rep_revenue,MATCH(C$5,rep_years_is,0)),0)*C6</f>
        <v>0.0665491042058013</v>
      </c>
      <c r="D81" s="42" t="n">
        <f aca="false">IFERROR(INDEX(rep_revenue,MATCH(D$5,rep_years_is,0)),0)*D6</f>
        <v>0.100242128971457</v>
      </c>
      <c r="E81" s="42" t="n">
        <f aca="false">IFERROR(INDEX(rep_revenue,MATCH(E$5,rep_years_is,0)),0)*E6</f>
        <v>0.161273632527041</v>
      </c>
      <c r="F81" s="42" t="n">
        <f aca="false">IFERROR(INDEX(rep_revenue,MATCH(F$5,rep_years_is,0)),0)*F6</f>
        <v>0.228444255877767</v>
      </c>
      <c r="G81" s="42" t="n">
        <f aca="false">IFERROR(INDEX(rep_revenue,MATCH(G$5,rep_years_is,0)),0)*G6</f>
        <v>0.245864566980172</v>
      </c>
      <c r="H81" s="42" t="n">
        <f aca="false">IFERROR(INDEX(rep_revenue,MATCH(H$5,rep_years_is,0)),0)*H6</f>
        <v>0.258764230133989</v>
      </c>
      <c r="I81" s="42" t="n">
        <f aca="false">IFERROR(INDEX(rep_revenue,MATCH(I$5,rep_years_is,0)),0)*I6</f>
        <v>0.330454237227709</v>
      </c>
      <c r="J81" s="42" t="n">
        <f aca="false">IFERROR(INDEX(rep_revenue,MATCH(J$5,rep_years_is,0)),0)*J6</f>
        <v>0.301097837133917</v>
      </c>
      <c r="K81" s="42" t="n">
        <f aca="false">IFERROR(INDEX(rep_revenue,MATCH(K$5,rep_years_is,0)),0)*K6</f>
        <v>0.313403988993146</v>
      </c>
      <c r="L81" s="42" t="n">
        <f aca="false">IFERROR(INDEX(rep_revenue,MATCH(L$5,rep_years_is,0)),0)*L6</f>
        <v>0.354458430808381</v>
      </c>
      <c r="M81" s="42" t="n">
        <f aca="false">IFERROR(INDEX(rep_revenue,MATCH(M$5,rep_years_is,0)),0)*M6</f>
        <v>0.34104402148973</v>
      </c>
      <c r="N81" s="42" t="n">
        <f aca="false">IFERROR(INDEX(rep_revenue,MATCH(N$5,rep_years_is,0)),0)*N6</f>
        <v>0.355457420067153</v>
      </c>
      <c r="O81" s="42" t="n">
        <f aca="false">IFERROR(INDEX(rep_revenue,MATCH(O$5,rep_years_is,0)),0)*O6</f>
        <v>0.452425325648596</v>
      </c>
      <c r="P81" s="42" t="n">
        <f aca="false">IFERROR(INDEX(rep_revenue,MATCH(P$5,rep_years_is,0)),0)*P6</f>
        <v>0.451550058410073</v>
      </c>
      <c r="Q81" s="42" t="n">
        <f aca="false">IFERROR(INDEX(rep_revenue,MATCH(Q$5,rep_years_is,0)),0)*Q6</f>
        <v>0.421551611262808</v>
      </c>
      <c r="R81" s="42" t="n">
        <f aca="false">IFERROR(INDEX(rep_revenue,MATCH(R$5,rep_years_is,0)),0)*R6</f>
        <v>0.417753961104788</v>
      </c>
      <c r="S81" s="42" t="n">
        <f aca="false">IFERROR(INDEX(rep_revenue,MATCH(S$5,rep_years_is,0)),0)*S6</f>
        <v>0.433198183538701</v>
      </c>
    </row>
    <row r="82" customFormat="false" ht="15" hidden="false" customHeight="true" outlineLevel="0" collapsed="false">
      <c r="A82" s="26" t="s">
        <v>589</v>
      </c>
      <c r="B82" s="42" t="n">
        <f aca="false">IFERROR(INDEX(rep_cogs,MATCH(B$5,rep_years_is,0)),0)*B6</f>
        <v>0.0332067555119994</v>
      </c>
      <c r="C82" s="42" t="n">
        <f aca="false">IFERROR(INDEX(rep_cogs,MATCH(C$5,rep_years_is,0)),0)*C6</f>
        <v>0.0402250072155386</v>
      </c>
      <c r="D82" s="42" t="n">
        <f aca="false">IFERROR(INDEX(rep_cogs,MATCH(D$5,rep_years_is,0)),0)*D6</f>
        <v>0.0607692452535129</v>
      </c>
      <c r="E82" s="42" t="n">
        <f aca="false">IFERROR(INDEX(rep_cogs,MATCH(E$5,rep_years_is,0)),0)*E6</f>
        <v>0.0959918467362263</v>
      </c>
      <c r="F82" s="42" t="n">
        <f aca="false">IFERROR(INDEX(rep_cogs,MATCH(F$5,rep_years_is,0)),0)*F6</f>
        <v>0.12822292855214</v>
      </c>
      <c r="G82" s="42" t="n">
        <f aca="false">IFERROR(INDEX(rep_cogs,MATCH(G$5,rep_years_is,0)),0)*G6</f>
        <v>0.153359300377323</v>
      </c>
      <c r="H82" s="42" t="n">
        <f aca="false">IFERROR(INDEX(rep_cogs,MATCH(H$5,rep_years_is,0)),0)*H6</f>
        <v>0.158912196429778</v>
      </c>
      <c r="I82" s="42" t="n">
        <f aca="false">IFERROR(INDEX(rep_cogs,MATCH(I$5,rep_years_is,0)),0)*I6</f>
        <v>0.198074593581895</v>
      </c>
      <c r="J82" s="42" t="n">
        <f aca="false">IFERROR(INDEX(rep_cogs,MATCH(J$5,rep_years_is,0)),0)*J6</f>
        <v>0.183440979838088</v>
      </c>
      <c r="K82" s="42" t="n">
        <f aca="false">IFERROR(INDEX(rep_cogs,MATCH(K$5,rep_years_is,0)),0)*K6</f>
        <v>0.192837911651436</v>
      </c>
      <c r="L82" s="42" t="n">
        <f aca="false">IFERROR(INDEX(rep_cogs,MATCH(L$5,rep_years_is,0)),0)*L6</f>
        <v>0.218545886765403</v>
      </c>
      <c r="M82" s="42" t="n">
        <f aca="false">IFERROR(INDEX(rep_cogs,MATCH(M$5,rep_years_is,0)),0)*M6</f>
        <v>0.212068784293018</v>
      </c>
      <c r="N82" s="42" t="n">
        <f aca="false">IFERROR(INDEX(rep_cogs,MATCH(N$5,rep_years_is,0)),0)*N6</f>
        <v>0.219554504085993</v>
      </c>
      <c r="O82" s="42" t="n">
        <f aca="false">IFERROR(INDEX(rep_cogs,MATCH(O$5,rep_years_is,0)),0)*O6</f>
        <v>0.263404921810533</v>
      </c>
      <c r="P82" s="42" t="n">
        <f aca="false">IFERROR(INDEX(rep_cogs,MATCH(P$5,rep_years_is,0)),0)*P6</f>
        <v>0.255985396313065</v>
      </c>
      <c r="Q82" s="42" t="n">
        <f aca="false">IFERROR(INDEX(rep_cogs,MATCH(Q$5,rep_years_is,0)),0)*Q6</f>
        <v>0.235516123461612</v>
      </c>
      <c r="R82" s="42" t="n">
        <f aca="false">IFERROR(INDEX(rep_cogs,MATCH(R$5,rep_years_is,0)),0)*R6</f>
        <v>0.224725104469714</v>
      </c>
      <c r="S82" s="42" t="n">
        <f aca="false">IFERROR(INDEX(rep_cogs,MATCH(S$5,rep_years_is,0)),0)*S6</f>
        <v>0.230005864640635</v>
      </c>
    </row>
    <row r="83" customFormat="false" ht="15" hidden="false" customHeight="true" outlineLevel="0" collapsed="false">
      <c r="A83" s="26" t="s">
        <v>590</v>
      </c>
      <c r="B83" s="42" t="n">
        <f aca="false">B81-B82</f>
        <v>0.0173473933712024</v>
      </c>
      <c r="C83" s="42" t="n">
        <f aca="false">C81-C82</f>
        <v>0.0263240969902628</v>
      </c>
      <c r="D83" s="42" t="n">
        <f aca="false">D81-D82</f>
        <v>0.039472883717944</v>
      </c>
      <c r="E83" s="42" t="n">
        <f aca="false">E81-E82</f>
        <v>0.0652817857908144</v>
      </c>
      <c r="F83" s="42" t="n">
        <f aca="false">F81-F82</f>
        <v>0.100221327325627</v>
      </c>
      <c r="G83" s="42" t="n">
        <f aca="false">G81-G82</f>
        <v>0.0925052666028494</v>
      </c>
      <c r="H83" s="42" t="n">
        <f aca="false">H81-H82</f>
        <v>0.0998520337042106</v>
      </c>
      <c r="I83" s="42" t="n">
        <f aca="false">I81-I82</f>
        <v>0.132379643645814</v>
      </c>
      <c r="J83" s="42" t="n">
        <f aca="false">J81-J82</f>
        <v>0.117656857295829</v>
      </c>
      <c r="K83" s="42" t="n">
        <f aca="false">K81-K82</f>
        <v>0.12056607734171</v>
      </c>
      <c r="L83" s="42" t="n">
        <f aca="false">L81-L82</f>
        <v>0.135912544042978</v>
      </c>
      <c r="M83" s="42" t="n">
        <f aca="false">M81-M82</f>
        <v>0.128975237196713</v>
      </c>
      <c r="N83" s="42" t="n">
        <f aca="false">N81-N82</f>
        <v>0.13590291598116</v>
      </c>
      <c r="O83" s="42" t="n">
        <f aca="false">O81-O82</f>
        <v>0.189020403838063</v>
      </c>
      <c r="P83" s="42" t="n">
        <f aca="false">P81-P82</f>
        <v>0.195564662097008</v>
      </c>
      <c r="Q83" s="42" t="n">
        <f aca="false">Q81-Q82</f>
        <v>0.186035487801196</v>
      </c>
      <c r="R83" s="42" t="n">
        <f aca="false">R81-R82</f>
        <v>0.193028856635075</v>
      </c>
      <c r="S83" s="42" t="n">
        <f aca="false">S81-S82</f>
        <v>0.203192318898066</v>
      </c>
    </row>
    <row r="84" customFormat="false" ht="15" hidden="false" customHeight="true" outlineLevel="0" collapsed="false">
      <c r="A84" s="26" t="s">
        <v>591</v>
      </c>
      <c r="B84" s="42" t="n">
        <f aca="false">IFERROR(INDEX(rep_sga,MATCH(B$5,rep_years_is,0)),0)*B6</f>
        <v>0.00585406428614557</v>
      </c>
      <c r="C84" s="42" t="n">
        <f aca="false">IFERROR(INDEX(rep_sga,MATCH(C$5,rep_years_is,0)),0)*C6</f>
        <v>0.00648105141304297</v>
      </c>
      <c r="D84" s="42" t="n">
        <f aca="false">IFERROR(INDEX(rep_sga,MATCH(D$5,rep_years_is,0)),0)*D6</f>
        <v>0.00847889345397512</v>
      </c>
      <c r="E84" s="42" t="n">
        <f aca="false">IFERROR(INDEX(rep_sga,MATCH(E$5,rep_years_is,0)),0)*E6</f>
        <v>0.0113212901142087</v>
      </c>
      <c r="F84" s="42" t="n">
        <f aca="false">IFERROR(INDEX(rep_sga,MATCH(F$5,rep_years_is,0)),0)*F6</f>
        <v>0.0131950831467721</v>
      </c>
      <c r="G84" s="42" t="n">
        <f aca="false">IFERROR(INDEX(rep_sga,MATCH(G$5,rep_years_is,0)),0)*G6</f>
        <v>0.0139972045914053</v>
      </c>
      <c r="H84" s="42" t="n">
        <f aca="false">IFERROR(INDEX(rep_sga,MATCH(H$5,rep_years_is,0)),0)*H6</f>
        <v>0.0169772664022371</v>
      </c>
      <c r="I84" s="42" t="n">
        <f aca="false">IFERROR(INDEX(rep_sga,MATCH(I$5,rep_years_is,0)),0)*I6</f>
        <v>0.0202600550466844</v>
      </c>
      <c r="J84" s="42" t="n">
        <f aca="false">IFERROR(INDEX(rep_sga,MATCH(J$5,rep_years_is,0)),0)*J6</f>
        <v>0.0198191546996546</v>
      </c>
      <c r="K84" s="42" t="n">
        <f aca="false">IFERROR(INDEX(rep_sga,MATCH(K$5,rep_years_is,0)),0)*K6</f>
        <v>0.0208645239188969</v>
      </c>
      <c r="L84" s="42" t="n">
        <f aca="false">IFERROR(INDEX(rep_sga,MATCH(L$5,rep_years_is,0)),0)*L6</f>
        <v>0.0222942001417722</v>
      </c>
      <c r="M84" s="42" t="n">
        <f aca="false">IFERROR(INDEX(rep_sga,MATCH(M$5,rep_years_is,0)),0)*M6</f>
        <v>0.023916102962172</v>
      </c>
      <c r="N84" s="42" t="n">
        <f aca="false">IFERROR(INDEX(rep_sga,MATCH(N$5,rep_years_is,0)),0)*N6</f>
        <v>0.0257883539262242</v>
      </c>
      <c r="O84" s="42" t="n">
        <f aca="false">IFERROR(INDEX(rep_sga,MATCH(O$5,rep_years_is,0)),0)*O6</f>
        <v>0.0271751768793593</v>
      </c>
      <c r="P84" s="42" t="n">
        <f aca="false">IFERROR(INDEX(rep_sga,MATCH(P$5,rep_years_is,0)),0)*P6</f>
        <v>0.0287354617621431</v>
      </c>
      <c r="Q84" s="42" t="n">
        <f aca="false">IFERROR(INDEX(rep_sga,MATCH(Q$5,rep_years_is,0)),0)*Q6</f>
        <v>0.0274211742489383</v>
      </c>
      <c r="R84" s="42" t="n">
        <f aca="false">IFERROR(INDEX(rep_sga,MATCH(R$5,rep_years_is,0)),0)*R6</f>
        <v>0.0278801772806825</v>
      </c>
      <c r="S84" s="42" t="n">
        <f aca="false">IFERROR(INDEX(rep_sga,MATCH(S$5,rep_years_is,0)),0)*S6</f>
        <v>0.0287309552405239</v>
      </c>
    </row>
    <row r="90" customFormat="false" ht="15" hidden="false" customHeight="true" outlineLevel="0" collapsed="false">
      <c r="A90" s="4" t="s">
        <v>592</v>
      </c>
    </row>
    <row r="91" customFormat="false" ht="15" hidden="false" customHeight="true" outlineLevel="0" collapsed="false">
      <c r="A91" s="7" t="s">
        <v>593</v>
      </c>
    </row>
    <row r="92" customFormat="false" ht="15" hidden="false" customHeight="true" outlineLevel="0" collapsed="false">
      <c r="A92" s="26" t="s">
        <v>594</v>
      </c>
      <c r="B92" s="26" t="n">
        <f aca="false">IF(cfg_buyback="On",1,0)</f>
        <v>1</v>
      </c>
      <c r="C92" s="26" t="n">
        <f aca="false">IF(cfg_buyback="On",1,0)</f>
        <v>1</v>
      </c>
      <c r="D92" s="26" t="n">
        <f aca="false">IF(cfg_buyback="On",1,0)</f>
        <v>1</v>
      </c>
      <c r="E92" s="26" t="n">
        <f aca="false">IF(cfg_buyback="On",1,0)</f>
        <v>1</v>
      </c>
      <c r="F92" s="26" t="n">
        <f aca="false">IF(cfg_buyback="On",1,0)</f>
        <v>1</v>
      </c>
      <c r="G92" s="26" t="n">
        <f aca="false">IF(cfg_buyback="On",1,0)</f>
        <v>1</v>
      </c>
      <c r="H92" s="26" t="n">
        <f aca="false">IF(cfg_buyback="On",1,0)</f>
        <v>1</v>
      </c>
      <c r="I92" s="26" t="n">
        <f aca="false">IF(cfg_buyback="On",1,0)</f>
        <v>1</v>
      </c>
      <c r="J92" s="26" t="n">
        <f aca="false">IF(cfg_buyback="On",1,0)</f>
        <v>1</v>
      </c>
      <c r="K92" s="26" t="n">
        <f aca="false">IF(cfg_buyback="On",1,0)</f>
        <v>1</v>
      </c>
      <c r="L92" s="26" t="n">
        <f aca="false">IF(cfg_buyback="On",1,0)</f>
        <v>1</v>
      </c>
      <c r="M92" s="26" t="n">
        <f aca="false">IF(cfg_buyback="On",1,0)</f>
        <v>1</v>
      </c>
      <c r="N92" s="26" t="n">
        <f aca="false">IF(cfg_buyback="On",1,0)</f>
        <v>1</v>
      </c>
      <c r="O92" s="26" t="n">
        <f aca="false">IF(cfg_buyback="On",1,0)</f>
        <v>1</v>
      </c>
      <c r="P92" s="26" t="n">
        <f aca="false">IF(cfg_buyback="On",1,0)</f>
        <v>1</v>
      </c>
      <c r="Q92" s="26" t="n">
        <f aca="false">IF(cfg_buyback="On",1,0)</f>
        <v>1</v>
      </c>
      <c r="R92" s="26" t="n">
        <f aca="false">IF(cfg_buyback="On",1,0)</f>
        <v>1</v>
      </c>
      <c r="S92" s="26" t="n">
        <f aca="false">IF(cfg_buyback="On",1,0)</f>
        <v>1</v>
      </c>
    </row>
    <row r="93" customFormat="false" ht="15" hidden="false" customHeight="true" outlineLevel="0" collapsed="false">
      <c r="A93" s="26" t="s">
        <v>595</v>
      </c>
      <c r="B93" s="47" t="n">
        <f aca="false">IFERROR(INDEX(md_yeprice,MATCH(B$5,md_years,0)),0)</f>
        <v>177.5</v>
      </c>
      <c r="C93" s="47" t="n">
        <f aca="false">IFERROR(INDEX(md_yeprice,MATCH(C$5,md_years,0)),0)</f>
        <v>185</v>
      </c>
      <c r="D93" s="47" t="n">
        <f aca="false">IFERROR(INDEX(md_yeprice,MATCH(D$5,md_years,0)),0)</f>
        <v>192.5</v>
      </c>
      <c r="E93" s="47" t="n">
        <f aca="false">IFERROR(INDEX(md_yeprice,MATCH(E$5,md_years,0)),0)</f>
        <v>200</v>
      </c>
      <c r="F93" s="47" t="n">
        <f aca="false">IFERROR(INDEX(md_yeprice,MATCH(F$5,md_years,0)),0)</f>
        <v>207.5</v>
      </c>
      <c r="G93" s="47" t="n">
        <f aca="false">IFERROR(INDEX(md_yeprice,MATCH(G$5,md_years,0)),0)</f>
        <v>215</v>
      </c>
      <c r="H93" s="47" t="n">
        <f aca="false">IFERROR(INDEX(md_yeprice,MATCH(H$5,md_years,0)),0)</f>
        <v>222.5</v>
      </c>
      <c r="I93" s="47" t="n">
        <f aca="false">IFERROR(INDEX(md_yeprice,MATCH(I$5,md_years,0)),0)</f>
        <v>230</v>
      </c>
      <c r="J93" s="47" t="n">
        <f aca="false">IFERROR(INDEX(md_yeprice,MATCH(J$5,md_years,0)),0)</f>
        <v>237.5</v>
      </c>
      <c r="K93" s="47" t="n">
        <f aca="false">IFERROR(INDEX(md_yeprice,MATCH(K$5,md_years,0)),0)</f>
        <v>245</v>
      </c>
      <c r="L93" s="47" t="n">
        <f aca="false">IFERROR(INDEX(md_yeprice,MATCH(L$5,md_years,0)),0)</f>
        <v>252.5</v>
      </c>
      <c r="M93" s="47" t="n">
        <f aca="false">IFERROR(INDEX(md_yeprice,MATCH(M$5,md_years,0)),0)</f>
        <v>260</v>
      </c>
      <c r="N93" s="47" t="n">
        <f aca="false">IFERROR(INDEX(md_yeprice,MATCH(N$5,md_years,0)),0)</f>
        <v>267.5</v>
      </c>
      <c r="O93" s="47" t="n">
        <f aca="false">IFERROR(INDEX(md_yeprice,MATCH(O$5,md_years,0)),0)</f>
        <v>275</v>
      </c>
      <c r="P93" s="47" t="n">
        <f aca="false">IFERROR(INDEX(md_yeprice,MATCH(P$5,md_years,0)),0)</f>
        <v>282.5</v>
      </c>
      <c r="Q93" s="47" t="n">
        <f aca="false">IFERROR(INDEX(md_yeprice,MATCH(Q$5,md_years,0)),0)</f>
        <v>290</v>
      </c>
      <c r="R93" s="47" t="n">
        <f aca="false">IFERROR(INDEX(md_yeprice,MATCH(R$5,md_years,0)),0)</f>
        <v>297.5</v>
      </c>
      <c r="S93" s="47" t="n">
        <f aca="false">IFERROR(INDEX(md_yeprice,MATCH(S$5,md_years,0)),0)</f>
        <v>305</v>
      </c>
    </row>
    <row r="94" customFormat="false" ht="15" hidden="false" customHeight="true" outlineLevel="0" collapsed="false">
      <c r="A94" s="26" t="s">
        <v>596</v>
      </c>
      <c r="B94" s="42" t="n">
        <f aca="false">IF(IFERROR(INDEX(md_yeprice_adj,MATCH(B$5,md_years,0)),0)=0,B93*B19,INDEX(md_yeprice_adj,MATCH(B$5,md_years,0))*B19)</f>
        <v>4.48365</v>
      </c>
      <c r="C94" s="42" t="n">
        <f aca="false">IF(IFERROR(INDEX(md_yeprice_adj,MATCH(C$5,md_years,0)),0)=0,C93*C19,INDEX(md_yeprice_adj,MATCH(C$5,md_years,0))*C19)</f>
        <v>4.69826</v>
      </c>
      <c r="D94" s="42" t="n">
        <f aca="false">IF(IFERROR(INDEX(md_yeprice_adj,MATCH(D$5,md_years,0)),0)=0,D93*D19,INDEX(md_yeprice_adj,MATCH(D$5,md_years,0))*D19)</f>
        <v>4.98421</v>
      </c>
      <c r="E94" s="42" t="n">
        <f aca="false">IF(IFERROR(INDEX(md_yeprice_adj,MATCH(E$5,md_years,0)),0)=0,E93*E19,INDEX(md_yeprice_adj,MATCH(E$5,md_years,0))*E19)</f>
        <v>5.2452</v>
      </c>
      <c r="F94" s="42" t="n">
        <f aca="false">IF(IFERROR(INDEX(md_yeprice_adj,MATCH(F$5,md_years,0)),0)=0,F93*F19,INDEX(md_yeprice_adj,MATCH(F$5,md_years,0))*F19)</f>
        <v>5.492525</v>
      </c>
      <c r="G94" s="42" t="n">
        <f aca="false">IF(IFERROR(INDEX(md_yeprice_adj,MATCH(G$5,md_years,0)),0)=0,G93*G19,INDEX(md_yeprice_adj,MATCH(G$5,md_years,0))*G19)</f>
        <v>5.608705</v>
      </c>
      <c r="H94" s="42" t="n">
        <f aca="false">IF(IFERROR(INDEX(md_yeprice_adj,MATCH(H$5,md_years,0)),0)=0,H93*H19,INDEX(md_yeprice_adj,MATCH(H$5,md_years,0))*H19)</f>
        <v>5.4492475</v>
      </c>
      <c r="I94" s="42" t="n">
        <f aca="false">IF(IFERROR(INDEX(md_yeprice_adj,MATCH(I$5,md_years,0)),0)=0,I93*I19,INDEX(md_yeprice_adj,MATCH(I$5,md_years,0))*I19)</f>
        <v>5.32956</v>
      </c>
      <c r="J94" s="42" t="n">
        <f aca="false">IF(IFERROR(INDEX(md_yeprice_adj,MATCH(J$5,md_years,0)),0)=0,J93*J19,INDEX(md_yeprice_adj,MATCH(J$5,md_years,0))*J19)</f>
        <v>5.2252375</v>
      </c>
      <c r="K94" s="42" t="n">
        <f aca="false">IF(IFERROR(INDEX(md_yeprice_adj,MATCH(K$5,md_years,0)),0)=0,K93*K19,INDEX(md_yeprice_adj,MATCH(K$5,md_years,0))*K19)</f>
        <v>5.146715</v>
      </c>
      <c r="L94" s="42" t="n">
        <f aca="false">IF(IFERROR(INDEX(md_yeprice_adj,MATCH(L$5,md_years,0)),0)=0,L93*L19,INDEX(md_yeprice_adj,MATCH(L$5,md_years,0))*L19)</f>
        <v>5.05</v>
      </c>
      <c r="M94" s="42" t="n">
        <f aca="false">IF(IFERROR(INDEX(md_yeprice_adj,MATCH(M$5,md_years,0)),0)=0,M93*M19,INDEX(md_yeprice_adj,MATCH(M$5,md_years,0))*M19)</f>
        <v>4.83496</v>
      </c>
      <c r="N94" s="42" t="n">
        <f aca="false">IF(IFERROR(INDEX(md_yeprice_adj,MATCH(N$5,md_years,0)),0)=0,N93*N19,INDEX(md_yeprice_adj,MATCH(N$5,md_years,0))*N19)</f>
        <v>4.68874</v>
      </c>
      <c r="O94" s="42" t="n">
        <f aca="false">IF(IFERROR(INDEX(md_yeprice_adj,MATCH(O$5,md_years,0)),0)=0,O93*O19,INDEX(md_yeprice_adj,MATCH(O$5,md_years,0))*O19)</f>
        <v>4.637875</v>
      </c>
      <c r="P94" s="42" t="n">
        <f aca="false">IF(IFERROR(INDEX(md_yeprice_adj,MATCH(P$5,md_years,0)),0)=0,P93*P19,INDEX(md_yeprice_adj,MATCH(P$5,md_years,0))*P19)</f>
        <v>4.612095</v>
      </c>
      <c r="Q94" s="42" t="n">
        <f aca="false">IF(IFERROR(INDEX(md_yeprice_adj,MATCH(Q$5,md_years,0)),0)=0,Q93*Q19,INDEX(md_yeprice_adj,MATCH(Q$5,md_years,0))*Q19)</f>
        <v>4.58577</v>
      </c>
      <c r="R94" s="42" t="n">
        <f aca="false">IF(IFERROR(INDEX(md_yeprice_adj,MATCH(R$5,md_years,0)),0)=0,R93*R19,INDEX(md_yeprice_adj,MATCH(R$5,md_years,0))*R19)</f>
        <v>4.58388</v>
      </c>
      <c r="S94" s="42" t="n">
        <f aca="false">IF(IFERROR(INDEX(md_yeprice_adj,MATCH(S$5,md_years,0)),0)=0,S93*S19,INDEX(md_yeprice_adj,MATCH(S$5,md_years,0))*S19)</f>
        <v>4.576525</v>
      </c>
    </row>
    <row r="95" customFormat="false" ht="15" hidden="false" customHeight="true" outlineLevel="0" collapsed="false">
      <c r="A95" s="26" t="s">
        <v>597</v>
      </c>
      <c r="B95" s="48" t="n">
        <f aca="false">IF(B94=0,"",B18/B94)</f>
        <v>0.00469037502927303</v>
      </c>
      <c r="C95" s="48" t="n">
        <f aca="false">IF(C94=0,"",C18/C94)</f>
        <v>0.00592389522929766</v>
      </c>
      <c r="D95" s="48" t="n">
        <f aca="false">IF(D94=0,"",D18/D94)</f>
        <v>0.00958848042117006</v>
      </c>
      <c r="E95" s="48" t="n">
        <f aca="false">IF(E94=0,"",E18/E94)</f>
        <v>0.0146066880195226</v>
      </c>
      <c r="F95" s="48" t="n">
        <f aca="false">IF(F94=0,"",F18/F94)</f>
        <v>0.0215219775968248</v>
      </c>
      <c r="G95" s="48" t="n">
        <f aca="false">IF(G94=0,"",G18/G94)</f>
        <v>0.0220280795656038</v>
      </c>
      <c r="H95" s="48" t="n">
        <f aca="false">IF(H94=0,"",H18/H94)</f>
        <v>0.020470165834824</v>
      </c>
      <c r="I95" s="48" t="n">
        <f aca="false">IF(I94=0,"",I18/I94)</f>
        <v>0.0223949068966294</v>
      </c>
      <c r="J95" s="48" t="n">
        <f aca="false">IF(J94=0,"",J18/J94)</f>
        <v>0.0245441475148259</v>
      </c>
      <c r="K95" s="48" t="n">
        <f aca="false">IF(K94=0,"",K18/K94)</f>
        <v>0.026045156959342</v>
      </c>
      <c r="L95" s="48" t="n">
        <f aca="false">IF(L94=0,"",L18/L94)</f>
        <v>0.0212172277227723</v>
      </c>
      <c r="M95" s="48" t="n">
        <f aca="false">IF(M94=0,"",M18/M94)</f>
        <v>0.0187153564869203</v>
      </c>
      <c r="N95" s="48" t="n">
        <f aca="false">IF(N94=0,"",N18/N94)</f>
        <v>0.0139353003152233</v>
      </c>
      <c r="O95" s="48" t="n">
        <f aca="false">IF(O94=0,"",O18/O94)</f>
        <v>0.0136032126782201</v>
      </c>
      <c r="P95" s="48" t="n">
        <f aca="false">IF(P94=0,"",P18/P94)</f>
        <v>0.0109867641494809</v>
      </c>
      <c r="Q95" s="48" t="n">
        <f aca="false">IF(Q94=0,"",Q18/Q94)</f>
        <v>0.0135519225778877</v>
      </c>
      <c r="R95" s="48" t="n">
        <f aca="false">IF(R94=0,"",R18/R94)</f>
        <v>0.0124239727043465</v>
      </c>
      <c r="S95" s="48" t="n">
        <f aca="false">IF(S94=0,"",S18/S94)</f>
        <v>0.0161111323547888</v>
      </c>
    </row>
    <row r="96" customFormat="false" ht="15" hidden="false" customHeight="true" outlineLevel="0" collapsed="false">
      <c r="A96" s="26" t="s">
        <v>598</v>
      </c>
      <c r="B96" s="44" t="n">
        <f aca="false">IF(B94=0,0,1-B18/B94)</f>
        <v>0.995309624970727</v>
      </c>
      <c r="C96" s="44" t="n">
        <f aca="false">IF(C94=0,0,1-C18/C94)</f>
        <v>0.994076104770702</v>
      </c>
      <c r="D96" s="44" t="n">
        <f aca="false">IF(D94=0,0,1-D18/D94)</f>
        <v>0.99041151957883</v>
      </c>
      <c r="E96" s="44" t="n">
        <f aca="false">IF(E94=0,0,1-E18/E94)</f>
        <v>0.985393311980477</v>
      </c>
      <c r="F96" s="44" t="n">
        <f aca="false">IF(F94=0,0,1-F18/F94)</f>
        <v>0.978478022403175</v>
      </c>
      <c r="G96" s="44" t="n">
        <f aca="false">IF(G94=0,0,1-G18/G94)</f>
        <v>0.977971920434396</v>
      </c>
      <c r="H96" s="44" t="n">
        <f aca="false">IF(H94=0,0,1-H18/H94)</f>
        <v>0.979529834165176</v>
      </c>
      <c r="I96" s="44" t="n">
        <f aca="false">IF(I94=0,0,1-I18/I94)</f>
        <v>0.977605093103371</v>
      </c>
      <c r="J96" s="44" t="n">
        <f aca="false">IF(J94=0,0,1-J18/J94)</f>
        <v>0.975455852485174</v>
      </c>
      <c r="K96" s="44" t="n">
        <f aca="false">IF(K94=0,0,1-K18/K94)</f>
        <v>0.973954843040658</v>
      </c>
      <c r="L96" s="44" t="n">
        <f aca="false">IF(L94=0,0,1-L18/L94)</f>
        <v>0.978782772277228</v>
      </c>
      <c r="M96" s="44" t="n">
        <f aca="false">IF(M94=0,0,1-M18/M94)</f>
        <v>0.98128464351308</v>
      </c>
      <c r="N96" s="44" t="n">
        <f aca="false">IF(N94=0,0,1-N18/N94)</f>
        <v>0.986064699684777</v>
      </c>
      <c r="O96" s="44" t="n">
        <f aca="false">IF(O94=0,0,1-O18/O94)</f>
        <v>0.98639678732178</v>
      </c>
      <c r="P96" s="44" t="n">
        <f aca="false">IF(P94=0,0,1-P18/P94)</f>
        <v>0.989013235850519</v>
      </c>
      <c r="Q96" s="44" t="n">
        <f aca="false">IF(Q94=0,0,1-Q18/Q94)</f>
        <v>0.986448077422112</v>
      </c>
      <c r="R96" s="44" t="n">
        <f aca="false">IF(R94=0,0,1-R18/R94)</f>
        <v>0.987576027295653</v>
      </c>
      <c r="S96" s="44" t="n">
        <f aca="false">IF(S94=0,0,1-S18/S94)</f>
        <v>0.983888867645211</v>
      </c>
    </row>
    <row r="97" customFormat="false" ht="15" hidden="false" customHeight="true" outlineLevel="0" collapsed="false">
      <c r="A97" s="26" t="s">
        <v>599</v>
      </c>
      <c r="B97" s="42" t="n">
        <f aca="false">-B27</f>
        <v>0.000124</v>
      </c>
      <c r="C97" s="42" t="n">
        <f aca="false">-C27</f>
        <v>0.000475</v>
      </c>
      <c r="D97" s="42" t="n">
        <f aca="false">-D27</f>
        <v>0.000912</v>
      </c>
      <c r="E97" s="42" t="n">
        <f aca="false">-E27</f>
        <v>0.000831</v>
      </c>
      <c r="F97" s="42" t="n">
        <f aca="false">-F27</f>
        <v>0.000665</v>
      </c>
      <c r="G97" s="42" t="n">
        <f aca="false">-G27</f>
        <v>0.02286</v>
      </c>
      <c r="H97" s="42" t="n">
        <f aca="false">-H27</f>
        <v>0.045</v>
      </c>
      <c r="I97" s="42" t="n">
        <f aca="false">-I27</f>
        <v>0.035253</v>
      </c>
      <c r="J97" s="42" t="n">
        <f aca="false">-J27</f>
        <v>0.029722</v>
      </c>
      <c r="K97" s="42" t="n">
        <f aca="false">-K27</f>
        <v>0.032345</v>
      </c>
      <c r="L97" s="42" t="n">
        <f aca="false">-L27</f>
        <v>0.072738</v>
      </c>
      <c r="M97" s="42" t="n">
        <f aca="false">-M27</f>
        <v>0.066897</v>
      </c>
      <c r="N97" s="42" t="n">
        <f aca="false">-N27</f>
        <v>0.072358</v>
      </c>
      <c r="O97" s="42" t="n">
        <f aca="false">-O27</f>
        <v>0.085971</v>
      </c>
      <c r="P97" s="42" t="n">
        <f aca="false">-P27</f>
        <v>0.089402</v>
      </c>
      <c r="Q97" s="42" t="n">
        <f aca="false">-Q27</f>
        <v>0.07755</v>
      </c>
      <c r="R97" s="42" t="n">
        <f aca="false">-R27</f>
        <v>0.094949</v>
      </c>
      <c r="S97" s="42" t="n">
        <f aca="false">-S27</f>
        <v>0.090711</v>
      </c>
    </row>
    <row r="98" customFormat="false" ht="15" hidden="false" customHeight="true" outlineLevel="0" collapsed="false">
      <c r="A98" s="26" t="s">
        <v>600</v>
      </c>
      <c r="B98" s="42" t="n">
        <f aca="false">B92*B97*B96*B6</f>
        <v>0.000192102953900708</v>
      </c>
      <c r="C98" s="42" t="n">
        <f aca="false">C92*C97*C96*C6</f>
        <v>0.000737590434601301</v>
      </c>
      <c r="D98" s="42" t="n">
        <f aca="false">D92*D97*D96*D6</f>
        <v>0.00138818297989665</v>
      </c>
      <c r="E98" s="42" t="n">
        <f aca="false">E92*E97*E96*E6</f>
        <v>0.00121997269109529</v>
      </c>
      <c r="F98" s="42" t="n">
        <f aca="false">F92*F97*F96*F6</f>
        <v>0.000949765569007508</v>
      </c>
      <c r="G98" s="42" t="n">
        <f aca="false">G92*G97*G96*G6</f>
        <v>0.0321611138783771</v>
      </c>
      <c r="H98" s="42" t="n">
        <f aca="false">H92*H97*H96*H6</f>
        <v>0.0623979198249195</v>
      </c>
      <c r="I98" s="42" t="n">
        <f aca="false">I92*I97*I96*I6</f>
        <v>0.0487286382340579</v>
      </c>
      <c r="J98" s="42" t="n">
        <f aca="false">J92*J97*J96*J6</f>
        <v>0.040482374227803</v>
      </c>
      <c r="K98" s="42" t="n">
        <f aca="false">K92*K97*K96*K6</f>
        <v>0.0430696620610976</v>
      </c>
      <c r="L98" s="42" t="n">
        <f aca="false">L92*L97*L96*L6</f>
        <v>0.0950152002149502</v>
      </c>
      <c r="M98" s="42" t="n">
        <f aca="false">M92*M97*M96*M6</f>
        <v>0.0860494683575208</v>
      </c>
      <c r="N98" s="42" t="n">
        <f aca="false">N92*N97*N96*N6</f>
        <v>0.0923875542584489</v>
      </c>
      <c r="O98" s="42" t="n">
        <f aca="false">O92*O97*O96*O6</f>
        <v>0.104878544431821</v>
      </c>
      <c r="P98" s="42" t="n">
        <f aca="false">P92*P97*P96*P6</f>
        <v>0.101250604534337</v>
      </c>
      <c r="Q98" s="42" t="n">
        <f aca="false">Q92*Q97*Q96*Q6</f>
        <v>0.0841366010013788</v>
      </c>
      <c r="R98" s="42" t="n">
        <f aca="false">R92*R97*R96*R6</f>
        <v>0.100176505912137</v>
      </c>
      <c r="S98" s="42" t="n">
        <f aca="false">S92*S97*S96*S6</f>
        <v>0.0929033233312766</v>
      </c>
    </row>
    <row r="99" customFormat="false" ht="15" hidden="false" customHeight="true" outlineLevel="0" collapsed="false">
      <c r="A99" s="26" t="s">
        <v>601</v>
      </c>
      <c r="B99" s="42" t="n">
        <f aca="false">B98</f>
        <v>0.000192102953900708</v>
      </c>
      <c r="C99" s="42" t="n">
        <f aca="false">B99+C98</f>
        <v>0.000929693388502008</v>
      </c>
      <c r="D99" s="42" t="n">
        <f aca="false">C99+D98</f>
        <v>0.00231787636839866</v>
      </c>
      <c r="E99" s="42" t="n">
        <f aca="false">D99+E98</f>
        <v>0.00353784905949395</v>
      </c>
      <c r="F99" s="42" t="n">
        <f aca="false">E99+F98</f>
        <v>0.00448761462850146</v>
      </c>
      <c r="G99" s="42" t="n">
        <f aca="false">F99+G98</f>
        <v>0.0366487285068785</v>
      </c>
      <c r="H99" s="42" t="n">
        <f aca="false">G99+H98</f>
        <v>0.099046648331798</v>
      </c>
      <c r="I99" s="42" t="n">
        <f aca="false">H99+I98</f>
        <v>0.147775286565856</v>
      </c>
      <c r="J99" s="42" t="n">
        <f aca="false">I99+J98</f>
        <v>0.188257660793659</v>
      </c>
      <c r="K99" s="42" t="n">
        <f aca="false">J99+K98</f>
        <v>0.231327322854756</v>
      </c>
      <c r="L99" s="42" t="n">
        <f aca="false">K99+L98</f>
        <v>0.326342523069707</v>
      </c>
      <c r="M99" s="42" t="n">
        <f aca="false">L99+M98</f>
        <v>0.412391991427227</v>
      </c>
      <c r="N99" s="42" t="n">
        <f aca="false">M99+N98</f>
        <v>0.504779545685676</v>
      </c>
      <c r="O99" s="42" t="n">
        <f aca="false">N99+O98</f>
        <v>0.609658090117498</v>
      </c>
      <c r="P99" s="42" t="n">
        <f aca="false">O99+P98</f>
        <v>0.710908694651835</v>
      </c>
      <c r="Q99" s="42" t="n">
        <f aca="false">P99+Q98</f>
        <v>0.795045295653214</v>
      </c>
      <c r="R99" s="42" t="n">
        <f aca="false">Q99+R98</f>
        <v>0.895221801565351</v>
      </c>
      <c r="S99" s="42" t="n">
        <f aca="false">R99+S98</f>
        <v>0.988125124896627</v>
      </c>
    </row>
    <row r="100" customFormat="false" ht="15" hidden="false" customHeight="true" outlineLevel="0" collapsed="false">
      <c r="A100" s="26" t="s">
        <v>602</v>
      </c>
      <c r="B100" s="42" t="n">
        <f aca="false">B45</f>
        <v>0.0323828103486897</v>
      </c>
      <c r="C100" s="42" t="n">
        <f aca="false">C45</f>
        <v>0.0432678646045235</v>
      </c>
      <c r="D100" s="42" t="n">
        <f aca="false">D45</f>
        <v>0.0724137171525821</v>
      </c>
      <c r="E100" s="42" t="n">
        <f aca="false">E45</f>
        <v>0.113208030313664</v>
      </c>
      <c r="F100" s="42" t="n">
        <f aca="false">F45</f>
        <v>0.169257212518621</v>
      </c>
      <c r="G100" s="42" t="n">
        <f aca="false">G45</f>
        <v>0.18065039522209</v>
      </c>
      <c r="H100" s="42" t="n">
        <f aca="false">H45</f>
        <v>0.163678975945081</v>
      </c>
      <c r="I100" s="42" t="n">
        <f aca="false">I45</f>
        <v>0.18101555728304</v>
      </c>
      <c r="J100" s="42" t="n">
        <f aca="false">J45</f>
        <v>0.195097536601023</v>
      </c>
      <c r="K100" s="42" t="n">
        <f aca="false">K45</f>
        <v>0.198697873080931</v>
      </c>
      <c r="L100" s="42" t="n">
        <f aca="false">L45</f>
        <v>0.156990125084467</v>
      </c>
      <c r="M100" s="42" t="n">
        <f aca="false">M45</f>
        <v>0.141403992535858</v>
      </c>
      <c r="N100" s="42" t="n">
        <f aca="false">N45</f>
        <v>0.106648193367309</v>
      </c>
      <c r="O100" s="42" t="n">
        <f aca="false">O45</f>
        <v>0.100370344688031</v>
      </c>
      <c r="P100" s="42" t="n">
        <f aca="false">P45</f>
        <v>0.0804412748496705</v>
      </c>
      <c r="Q100" s="42" t="n">
        <f aca="false">Q45</f>
        <v>0.0900153210510945</v>
      </c>
      <c r="R100" s="42" t="n">
        <f aca="false">R45</f>
        <v>0.0790054315805474</v>
      </c>
      <c r="S100" s="42" t="n">
        <f aca="false">S45</f>
        <v>0.0923352724805388</v>
      </c>
    </row>
    <row r="101" customFormat="false" ht="15" hidden="false" customHeight="true" outlineLevel="0" collapsed="false">
      <c r="A101" s="26" t="s">
        <v>603</v>
      </c>
      <c r="B101" s="42" t="n">
        <f aca="false">B100+B99</f>
        <v>0.0325749133025904</v>
      </c>
      <c r="C101" s="42" t="n">
        <f aca="false">C100+C99</f>
        <v>0.0441975579930255</v>
      </c>
      <c r="D101" s="42" t="n">
        <f aca="false">D100+D99</f>
        <v>0.0747315935209807</v>
      </c>
      <c r="E101" s="42" t="n">
        <f aca="false">E100+E99</f>
        <v>0.116745879373158</v>
      </c>
      <c r="F101" s="42" t="n">
        <f aca="false">F100+F99</f>
        <v>0.173744827147122</v>
      </c>
      <c r="G101" s="42" t="n">
        <f aca="false">G100+G99</f>
        <v>0.217299123728969</v>
      </c>
      <c r="H101" s="42" t="n">
        <f aca="false">H100+H99</f>
        <v>0.262725624276879</v>
      </c>
      <c r="I101" s="42" t="n">
        <f aca="false">I100+I99</f>
        <v>0.328790843848895</v>
      </c>
      <c r="J101" s="42" t="n">
        <f aca="false">J100+J99</f>
        <v>0.383355197394682</v>
      </c>
      <c r="K101" s="42" t="n">
        <f aca="false">K100+K99</f>
        <v>0.430025195935687</v>
      </c>
      <c r="L101" s="42" t="n">
        <f aca="false">L100+L99</f>
        <v>0.483332648154173</v>
      </c>
      <c r="M101" s="42" t="n">
        <f aca="false">M100+M99</f>
        <v>0.553795983963086</v>
      </c>
      <c r="N101" s="42" t="n">
        <f aca="false">N100+N99</f>
        <v>0.611427739052985</v>
      </c>
      <c r="O101" s="42" t="n">
        <f aca="false">O100+O99</f>
        <v>0.710028434805529</v>
      </c>
      <c r="P101" s="42" t="n">
        <f aca="false">P100+P99</f>
        <v>0.791349969501505</v>
      </c>
      <c r="Q101" s="42" t="n">
        <f aca="false">Q100+Q99</f>
        <v>0.885060616704308</v>
      </c>
      <c r="R101" s="42" t="n">
        <f aca="false">R100+R99</f>
        <v>0.974227233145898</v>
      </c>
      <c r="S101" s="42" t="n">
        <f aca="false">S100+S99</f>
        <v>1.08046039737717</v>
      </c>
    </row>
    <row r="102" customFormat="false" ht="15" hidden="false" customHeight="true" outlineLevel="0" collapsed="false">
      <c r="A102" s="26" t="s">
        <v>604</v>
      </c>
      <c r="B102" s="42" t="n">
        <f aca="false">B56</f>
        <v>0.00586085558464965</v>
      </c>
      <c r="C102" s="42" t="n">
        <f aca="false">C56</f>
        <v>0.0114999826931086</v>
      </c>
      <c r="D102" s="42" t="n">
        <f aca="false">D56</f>
        <v>0.020482920458995</v>
      </c>
      <c r="E102" s="42" t="n">
        <f aca="false">E56</f>
        <v>0.0373397624803041</v>
      </c>
      <c r="F102" s="42" t="n">
        <f aca="false">F56</f>
        <v>0.0587936146138469</v>
      </c>
      <c r="G102" s="42" t="n">
        <f aca="false">G56</f>
        <v>0.0488380766674272</v>
      </c>
      <c r="H102" s="42" t="n">
        <f aca="false">H56</f>
        <v>0.0528236091162872</v>
      </c>
      <c r="I102" s="42" t="n">
        <f aca="false">I56</f>
        <v>0.0687432078133868</v>
      </c>
      <c r="J102" s="42" t="n">
        <f aca="false">J56</f>
        <v>0.0564586524308009</v>
      </c>
      <c r="K102" s="42" t="n">
        <f aca="false">K56</f>
        <v>0.0647353377693572</v>
      </c>
      <c r="L102" s="42" t="n">
        <f aca="false">L56</f>
        <v>0.0729479691324844</v>
      </c>
      <c r="M102" s="42" t="n">
        <f aca="false">M56</f>
        <v>0.0703930519848146</v>
      </c>
      <c r="N102" s="42" t="n">
        <f aca="false">N56</f>
        <v>0.0720843980650335</v>
      </c>
      <c r="O102" s="42" t="n">
        <f aca="false">O56</f>
        <v>0.115393371823106</v>
      </c>
      <c r="P102" s="42" t="n">
        <f aca="false">P56</f>
        <v>0.0986259710540503</v>
      </c>
      <c r="Q102" s="42" t="n">
        <f aca="false">Q56</f>
        <v>0.0903225542889645</v>
      </c>
      <c r="R102" s="42" t="n">
        <f aca="false">R56</f>
        <v>0.091225914246874</v>
      </c>
      <c r="S102" s="42" t="n">
        <f aca="false">S56</f>
        <v>0.109911399743493</v>
      </c>
    </row>
    <row r="103" customFormat="false" ht="15" hidden="false" customHeight="true" outlineLevel="0" collapsed="false">
      <c r="A103" s="26" t="s">
        <v>605</v>
      </c>
      <c r="C103" s="44" t="n">
        <f aca="false">IF((C100+B100)=0,"",C102/((C100+B100)/2))</f>
        <v>0.304028554939422</v>
      </c>
      <c r="D103" s="44" t="n">
        <f aca="false">IF((D100+C100)=0,"",D102/((D100+C100)/2))</f>
        <v>0.354125871169407</v>
      </c>
      <c r="E103" s="44" t="n">
        <f aca="false">IF((E100+D100)=0,"",E102/((E100+D100)/2))</f>
        <v>0.402320988677192</v>
      </c>
      <c r="F103" s="44" t="n">
        <f aca="false">IF((F100+E100)=0,"",F102/((F100+E100)/2))</f>
        <v>0.416289197384585</v>
      </c>
      <c r="G103" s="44" t="n">
        <f aca="false">IF((G100+F100)=0,"",G102/((G100+F100)/2))</f>
        <v>0.27914841282112</v>
      </c>
      <c r="H103" s="44" t="n">
        <f aca="false">IF((H100+G100)=0,"",H102/((H100+G100)/2))</f>
        <v>0.306820233994163</v>
      </c>
      <c r="I103" s="44" t="n">
        <f aca="false">IF((I100+H100)=0,"",I102/((I100+H100)/2))</f>
        <v>0.398864508639551</v>
      </c>
      <c r="J103" s="44" t="n">
        <f aca="false">IF((J100+I100)=0,"",J102/((J100+I100)/2))</f>
        <v>0.30022167985571</v>
      </c>
      <c r="K103" s="44" t="n">
        <f aca="false">IF((K100+J100)=0,"",K102/((K100+J100)/2))</f>
        <v>0.328776497530229</v>
      </c>
      <c r="L103" s="44" t="n">
        <f aca="false">IF((L100+K100)=0,"",L102/((L100+K100)/2))</f>
        <v>0.41017953660929</v>
      </c>
      <c r="M103" s="44" t="n">
        <f aca="false">IF((M100+L100)=0,"",M102/((M100+L100)/2))</f>
        <v>0.471812598359478</v>
      </c>
      <c r="N103" s="44" t="n">
        <f aca="false">IF((N100+M100)=0,"",N102/((N100+M100)/2))</f>
        <v>0.581203489923474</v>
      </c>
      <c r="O103" s="44" t="n">
        <f aca="false">IF((O100+N100)=0,"",O102/((O100+N100)/2))</f>
        <v>1.11481196715107</v>
      </c>
      <c r="P103" s="44" t="n">
        <f aca="false">IF((P100+O100)=0,"",P102/((P100+O100)/2))</f>
        <v>1.09092514414966</v>
      </c>
      <c r="Q103" s="44" t="n">
        <f aca="false">IF((Q100+P100)=0,"",Q102/((Q100+P100)/2))</f>
        <v>1.05977188869298</v>
      </c>
      <c r="R103" s="44" t="n">
        <f aca="false">IF((R100+Q100)=0,"",R102/((R100+Q100)/2))</f>
        <v>1.07946406374948</v>
      </c>
      <c r="S103" s="44" t="n">
        <f aca="false">IF((S100+R100)=0,"",S102/((S100+R100)/2))</f>
        <v>1.28295725578795</v>
      </c>
    </row>
    <row r="104" customFormat="false" ht="15" hidden="false" customHeight="true" outlineLevel="0" collapsed="false">
      <c r="A104" s="26" t="s">
        <v>606</v>
      </c>
      <c r="C104" s="44" t="n">
        <f aca="false">IF((C101+B101)=0,"",C102/((C101+B101)/2))</f>
        <v>0.29958610160737</v>
      </c>
      <c r="D104" s="44" t="n">
        <f aca="false">IF((D101+C101)=0,"",D102/((D101+C101)/2))</f>
        <v>0.344455841116174</v>
      </c>
      <c r="E104" s="44" t="n">
        <f aca="false">IF((E101+D101)=0,"",E102/((E101+D101)/2))</f>
        <v>0.390017289406655</v>
      </c>
      <c r="F104" s="44" t="n">
        <f aca="false">IF((F101+E101)=0,"",F102/((F101+E101)/2))</f>
        <v>0.40478826547067</v>
      </c>
      <c r="G104" s="44" t="n">
        <f aca="false">IF((G101+F101)=0,"",G102/((G101+F101)/2))</f>
        <v>0.24978305665136</v>
      </c>
      <c r="H104" s="44" t="n">
        <f aca="false">IF((H101+G101)=0,"",H102/((H101+G101)/2))</f>
        <v>0.220087023995037</v>
      </c>
      <c r="I104" s="44" t="n">
        <f aca="false">IF((I101+H101)=0,"",I102/((I101+H101)/2))</f>
        <v>0.232430410707585</v>
      </c>
      <c r="J104" s="44" t="n">
        <f aca="false">IF((J101+I101)=0,"",J102/((J101+I101)/2))</f>
        <v>0.158559197583155</v>
      </c>
      <c r="K104" s="44" t="n">
        <f aca="false">IF((K101+J101)=0,"",K102/((K101+J101)/2))</f>
        <v>0.15917604678003</v>
      </c>
      <c r="L104" s="44" t="n">
        <f aca="false">IF((L101+K101)=0,"",L102/((L101+K101)/2))</f>
        <v>0.159735791627597</v>
      </c>
      <c r="M104" s="44" t="n">
        <f aca="false">IF((M101+L101)=0,"",M102/((M101+L101)/2))</f>
        <v>0.135746039218124</v>
      </c>
      <c r="N104" s="44" t="n">
        <f aca="false">IF((N101+M101)=0,"",N102/((N101+M101)/2))</f>
        <v>0.123726279582516</v>
      </c>
      <c r="O104" s="44" t="n">
        <f aca="false">IF((O101+N101)=0,"",O102/((O101+N101)/2))</f>
        <v>0.174645779566294</v>
      </c>
      <c r="P104" s="44" t="n">
        <f aca="false">IF((P101+O101)=0,"",P102/((P101+O101)/2))</f>
        <v>0.131380564381531</v>
      </c>
      <c r="Q104" s="44" t="n">
        <f aca="false">IF((Q101+P101)=0,"",Q102/((Q101+P101)/2))</f>
        <v>0.107757079360122</v>
      </c>
      <c r="R104" s="44" t="n">
        <f aca="false">IF((R101+Q101)=0,"",R102/((R101+Q101)/2))</f>
        <v>0.098129952556</v>
      </c>
      <c r="S104" s="44" t="n">
        <f aca="false">IF((S101+R101)=0,"",S102/((S101+R101)/2))</f>
        <v>0.106985994474998</v>
      </c>
    </row>
    <row r="106" customFormat="false" ht="15" hidden="false" customHeight="true" outlineLevel="0" collapsed="false">
      <c r="A106" s="4" t="s">
        <v>607</v>
      </c>
    </row>
    <row r="107" customFormat="false" ht="15" hidden="false" customHeight="true" outlineLevel="0" collapsed="false">
      <c r="A107" s="26" t="s">
        <v>608</v>
      </c>
      <c r="B107" s="44" t="n">
        <f aca="false">INDEX(finrate_coe,COLUMNS(finrate_coe))</f>
        <v>0.0694623836832437</v>
      </c>
    </row>
    <row r="108" customFormat="false" ht="15" hidden="false" customHeight="true" outlineLevel="0" collapsed="false">
      <c r="A108" s="26" t="s">
        <v>609</v>
      </c>
      <c r="B108" s="48" t="n">
        <f aca="false">1/(1+$B$107)^(B5-$B$5)</f>
        <v>1</v>
      </c>
      <c r="C108" s="48" t="n">
        <f aca="false">1/(1+$B$107)^(C5-$B$5)</f>
        <v>0.935049250218587</v>
      </c>
      <c r="D108" s="48" t="n">
        <f aca="false">1/(1+$B$107)^(D5-$B$5)</f>
        <v>0.874317100334342</v>
      </c>
      <c r="E108" s="48" t="n">
        <f aca="false">1/(1+$B$107)^(E5-$B$5)</f>
        <v>0.817529549120916</v>
      </c>
      <c r="F108" s="48" t="n">
        <f aca="false">1/(1+$B$107)^(F5-$B$5)</f>
        <v>0.764430391937052</v>
      </c>
      <c r="G108" s="48" t="n">
        <f aca="false">1/(1+$B$107)^(G5-$B$5)</f>
        <v>0.714780064825041</v>
      </c>
      <c r="H108" s="48" t="n">
        <f aca="false">1/(1+$B$107)^(H5-$B$5)</f>
        <v>0.668354563685848</v>
      </c>
      <c r="I108" s="48" t="n">
        <f aca="false">1/(1+$B$107)^(I5-$B$5)</f>
        <v>0.624944433654623</v>
      </c>
      <c r="J108" s="48" t="n">
        <f aca="false">1/(1+$B$107)^(J5-$B$5)</f>
        <v>0.584353824117035</v>
      </c>
      <c r="K108" s="48" t="n">
        <f aca="false">1/(1+$B$107)^(K5-$B$5)</f>
        <v>0.546399605102997</v>
      </c>
      <c r="L108" s="48" t="n">
        <f aca="false">1/(1+$B$107)^(L5-$B$5)</f>
        <v>0.51091054107129</v>
      </c>
      <c r="M108" s="48" t="n">
        <f aca="false">1/(1+$B$107)^(M5-$B$5)</f>
        <v>0.477726518357482</v>
      </c>
      <c r="N108" s="48" t="n">
        <f aca="false">1/(1+$B$107)^(N5-$B$5)</f>
        <v>0.4466978227997</v>
      </c>
      <c r="O108" s="48" t="n">
        <f aca="false">1/(1+$B$107)^(O5-$B$5)</f>
        <v>0.417684464283134</v>
      </c>
      <c r="P108" s="48" t="n">
        <f aca="false">1/(1+$B$107)^(P5-$B$5)</f>
        <v>0.390555545155897</v>
      </c>
      <c r="Q108" s="48" t="n">
        <f aca="false">1/(1+$B$107)^(Q5-$B$5)</f>
        <v>0.365188669666733</v>
      </c>
      <c r="R108" s="48" t="n">
        <f aca="false">1/(1+$B$107)^(R5-$B$5)</f>
        <v>0.341469391760202</v>
      </c>
      <c r="S108" s="48" t="n">
        <f aca="false">1/(1+$B$107)^(S5-$B$5)</f>
        <v>0.319290698737974</v>
      </c>
    </row>
    <row r="109" customFormat="false" ht="15" hidden="false" customHeight="true" outlineLevel="0" collapsed="false">
      <c r="A109" s="26" t="s">
        <v>610</v>
      </c>
      <c r="C109" s="42" t="n">
        <f aca="false">C102-$B$107*B100</f>
        <v>0.00925059549592625</v>
      </c>
      <c r="D109" s="42" t="n">
        <f aca="false">D102-$B$107*C100</f>
        <v>0.0174774314466809</v>
      </c>
      <c r="E109" s="42" t="n">
        <f aca="false">E102-$B$107*D100</f>
        <v>0.0323097330755216</v>
      </c>
      <c r="F109" s="42" t="n">
        <f aca="false">F102-$B$107*E100</f>
        <v>0.0509299149761749</v>
      </c>
      <c r="G109" s="42" t="n">
        <f aca="false">G102-$B$107*F100</f>
        <v>0.0370810672303025</v>
      </c>
      <c r="H109" s="42" t="n">
        <f aca="false">H102-$B$107*G100</f>
        <v>0.0402752020508408</v>
      </c>
      <c r="I109" s="42" t="n">
        <f aca="false">I102-$B$107*H100</f>
        <v>0.0573736759854092</v>
      </c>
      <c r="J109" s="42" t="n">
        <f aca="false">J102-$B$107*I100</f>
        <v>0.0438848803381702</v>
      </c>
      <c r="K109" s="42" t="n">
        <f aca="false">K102-$B$107*J100</f>
        <v>0.0511833978263213</v>
      </c>
      <c r="L109" s="42" t="n">
        <f aca="false">L102-$B$107*K100</f>
        <v>0.0591459412354923</v>
      </c>
      <c r="M109" s="42" t="n">
        <f aca="false">M102-$B$107*L100</f>
        <v>0.059488143681717</v>
      </c>
      <c r="N109" s="42" t="n">
        <f aca="false">N102-$B$107*M100</f>
        <v>0.0622621396811652</v>
      </c>
      <c r="O109" s="42" t="n">
        <f aca="false">O102-$B$107*N100</f>
        <v>0.107985334096302</v>
      </c>
      <c r="P109" s="42" t="n">
        <f aca="false">P102-$B$107*O100</f>
        <v>0.0916540076609108</v>
      </c>
      <c r="Q109" s="42" t="n">
        <f aca="false">Q102-$B$107*P100</f>
        <v>0.0847349115913874</v>
      </c>
      <c r="R109" s="42" t="n">
        <f aca="false">R102-$B$107*Q100</f>
        <v>0.0849732354786526</v>
      </c>
      <c r="S109" s="42" t="n">
        <f aca="false">S102-$B$107*R100</f>
        <v>0.104423494141985</v>
      </c>
    </row>
    <row r="110" customFormat="false" ht="15" hidden="false" customHeight="true" outlineLevel="0" collapsed="false">
      <c r="A110" s="26" t="s">
        <v>611</v>
      </c>
      <c r="C110" s="42" t="n">
        <f aca="false">(C102+(C99-B99))-$B$107*B101</f>
        <v>0.00997484200143701</v>
      </c>
      <c r="D110" s="42" t="n">
        <f aca="false">(D102+(D99-C99))-$B$107*C101</f>
        <v>0.0188010357077177</v>
      </c>
      <c r="E110" s="42" t="n">
        <f aca="false">(E102+(E99-D99))-$B$107*D101</f>
        <v>0.0333687005489848</v>
      </c>
      <c r="F110" s="42" t="n">
        <f aca="false">(F102+(F99-E99))-$B$107*E101</f>
        <v>0.0516339331163984</v>
      </c>
      <c r="G110" s="42" t="n">
        <f aca="false">(G102+(G99-F99))-$B$107*F101</f>
        <v>0.068930460699532</v>
      </c>
      <c r="H110" s="42" t="n">
        <f aca="false">(H102+(H99-G99))-$B$107*G101</f>
        <v>0.100127413834712</v>
      </c>
      <c r="I110" s="42" t="n">
        <f aca="false">(I102+(I99-H99))-$B$107*H101</f>
        <v>0.0992222979305044</v>
      </c>
      <c r="J110" s="42" t="n">
        <f aca="false">(J102+(J99-I99))-$B$107*I101</f>
        <v>0.0741024309116344</v>
      </c>
      <c r="K110" s="42" t="n">
        <f aca="false">(K102+(K99-J99))-$B$107*J101</f>
        <v>0.0811762340220598</v>
      </c>
      <c r="L110" s="42" t="n">
        <f aca="false">(L102+(L99-K99))-$B$107*K101</f>
        <v>0.138092594193888</v>
      </c>
      <c r="M110" s="42" t="n">
        <f aca="false">(M102+(M99-L99))-$B$107*L101</f>
        <v>0.122869082489612</v>
      </c>
      <c r="N110" s="42" t="n">
        <f aca="false">(N102+(N99-M99))-$B$107*M101</f>
        <v>0.126003963203199</v>
      </c>
      <c r="O110" s="42" t="n">
        <f aca="false">(O102+(O99-N99))-$B$107*N101</f>
        <v>0.177800688050251</v>
      </c>
      <c r="P110" s="42" t="n">
        <f aca="false">(P102+(P99-O99))-$B$107*O101</f>
        <v>0.150556308023913</v>
      </c>
      <c r="Q110" s="42" t="n">
        <f aca="false">(Q102+(Q99-P99))-$B$107*P101</f>
        <v>0.119490100081107</v>
      </c>
      <c r="R110" s="42" t="n">
        <f aca="false">(R102+(R99-Q99))-$B$107*Q101</f>
        <v>0.129924000018568</v>
      </c>
      <c r="S110" s="42" t="n">
        <f aca="false">(S102+(S99-R99))-$B$107*R101</f>
        <v>0.135142577211325</v>
      </c>
    </row>
    <row r="112" customFormat="false" ht="15" hidden="false" customHeight="true" outlineLevel="0" collapsed="false">
      <c r="A112" s="26" t="s">
        <v>612</v>
      </c>
      <c r="B112" s="42" t="n">
        <f aca="false">B100+SUMPRODUCT(C109:S109,C108:S108)-S108*S100</f>
        <v>0.495718228085723</v>
      </c>
    </row>
    <row r="113" customFormat="false" ht="15" hidden="false" customHeight="true" outlineLevel="0" collapsed="false">
      <c r="A113" s="26" t="s">
        <v>613</v>
      </c>
      <c r="B113" s="42" t="n">
        <f aca="false">B101+SUMPRODUCT(C110:S110,C108:S108)-S108*S101</f>
        <v>0.495718228085723</v>
      </c>
    </row>
    <row r="114" customFormat="false" ht="15" hidden="false" customHeight="true" outlineLevel="0" collapsed="false">
      <c r="A114" s="23" t="s">
        <v>614</v>
      </c>
      <c r="B114" s="49" t="n">
        <f aca="false">B113-B112</f>
        <v>0</v>
      </c>
      <c r="D114" s="23" t="str">
        <f aca="false">IF(ABS(B114)&lt;in_tie_tol,"invariant ✓","BREAK")</f>
        <v>invariant ✓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9" min="3" style="1" width="10"/>
  </cols>
  <sheetData>
    <row r="1" customFormat="false" ht="15" hidden="false" customHeight="true" outlineLevel="0" collapsed="false">
      <c r="A1" s="2" t="s">
        <v>615</v>
      </c>
    </row>
    <row r="2" customFormat="false" ht="15" hidden="false" customHeight="true" outlineLevel="0" collapsed="false">
      <c r="A2" s="3" t="s">
        <v>616</v>
      </c>
    </row>
    <row r="3" customFormat="false" ht="15" hidden="false" customHeight="true" outlineLevel="0" collapsed="false">
      <c r="A3" s="23" t="s">
        <v>617</v>
      </c>
      <c r="B3" s="26" t="str">
        <f aca="false">cfg_mode</f>
        <v>Enterprise</v>
      </c>
      <c r="C3" s="23" t="s">
        <v>618</v>
      </c>
      <c r="D3" s="26" t="str">
        <f aca="false">cfg_funding</f>
        <v>Target FLEV</v>
      </c>
    </row>
    <row r="4" customFormat="false" ht="15" hidden="false" customHeight="true" outlineLevel="0" collapsed="false">
      <c r="A4" s="23" t="s">
        <v>619</v>
      </c>
      <c r="C4" s="50" t="n">
        <f aca="false">D4-1</f>
        <v>-3</v>
      </c>
      <c r="D4" s="50" t="n">
        <f aca="false">E4-1</f>
        <v>-2</v>
      </c>
      <c r="E4" s="50" t="n">
        <f aca="false">F4-1</f>
        <v>-1</v>
      </c>
      <c r="F4" s="50" t="n">
        <v>0</v>
      </c>
      <c r="G4" s="50" t="n">
        <f aca="false">F4+1</f>
        <v>1</v>
      </c>
      <c r="H4" s="50" t="n">
        <f aca="false">G4+1</f>
        <v>2</v>
      </c>
      <c r="I4" s="50" t="n">
        <f aca="false">H4+1</f>
        <v>3</v>
      </c>
      <c r="J4" s="50" t="n">
        <f aca="false">I4+1</f>
        <v>4</v>
      </c>
      <c r="K4" s="50" t="n">
        <f aca="false">J4+1</f>
        <v>5</v>
      </c>
      <c r="L4" s="50" t="n">
        <f aca="false">K4+1</f>
        <v>6</v>
      </c>
      <c r="M4" s="50" t="n">
        <f aca="false">L4+1</f>
        <v>7</v>
      </c>
      <c r="N4" s="50" t="n">
        <f aca="false">M4+1</f>
        <v>8</v>
      </c>
      <c r="O4" s="50" t="n">
        <f aca="false">N4+1</f>
        <v>9</v>
      </c>
      <c r="P4" s="50" t="n">
        <f aca="false">O4+1</f>
        <v>10</v>
      </c>
      <c r="Q4" s="50" t="n">
        <f aca="false">P4+1</f>
        <v>11</v>
      </c>
      <c r="R4" s="50" t="n">
        <f aca="false">Q4+1</f>
        <v>12</v>
      </c>
      <c r="S4" s="50" t="n">
        <f aca="false">R4+1</f>
        <v>13</v>
      </c>
      <c r="T4" s="26" t="n">
        <f aca="false">S4+1</f>
        <v>14</v>
      </c>
      <c r="U4" s="26" t="n">
        <f aca="false">T4+1</f>
        <v>15</v>
      </c>
      <c r="V4" s="26" t="n">
        <f aca="false">U4+1</f>
        <v>16</v>
      </c>
      <c r="W4" s="26" t="n">
        <f aca="false">V4+1</f>
        <v>17</v>
      </c>
      <c r="X4" s="26" t="n">
        <f aca="false">W4+1</f>
        <v>18</v>
      </c>
      <c r="Y4" s="26" t="n">
        <f aca="false">X4+1</f>
        <v>19</v>
      </c>
      <c r="Z4" s="26" t="n">
        <f aca="false">Y4+1</f>
        <v>20</v>
      </c>
      <c r="AA4" s="26" t="n">
        <f aca="false">Z4+1</f>
        <v>21</v>
      </c>
      <c r="AB4" s="26" t="n">
        <f aca="false">AA4+1</f>
        <v>22</v>
      </c>
      <c r="AC4" s="26" t="n">
        <f aca="false">AB4+1</f>
        <v>23</v>
      </c>
      <c r="AD4" s="26" t="n">
        <f aca="false">AC4+1</f>
        <v>24</v>
      </c>
      <c r="AE4" s="26" t="n">
        <f aca="false">AD4+1</f>
        <v>25</v>
      </c>
      <c r="AF4" s="26" t="n">
        <f aca="false">AE4+1</f>
        <v>26</v>
      </c>
      <c r="AG4" s="26" t="n">
        <f aca="false">AF4+1</f>
        <v>27</v>
      </c>
      <c r="AH4" s="26" t="n">
        <f aca="false">AG4+1</f>
        <v>28</v>
      </c>
      <c r="AI4" s="26" t="n">
        <f aca="false">AH4+1</f>
        <v>29</v>
      </c>
      <c r="AJ4" s="26" t="n">
        <f aca="false">AI4+1</f>
        <v>30</v>
      </c>
    </row>
    <row r="5" customFormat="false" ht="15" hidden="false" customHeight="true" outlineLevel="0" collapsed="false">
      <c r="A5" s="26" t="s">
        <v>521</v>
      </c>
      <c r="C5" s="51" t="str">
        <f aca="false">TEXT(in_anchor_year+-3,"0")</f>
        <v>2022</v>
      </c>
      <c r="D5" s="51" t="str">
        <f aca="false">TEXT(in_anchor_year+-2,"0")</f>
        <v>2023</v>
      </c>
      <c r="E5" s="51" t="str">
        <f aca="false">TEXT(in_anchor_year+-1,"0")</f>
        <v>2024</v>
      </c>
      <c r="F5" s="51" t="str">
        <f aca="false">TEXT(in_anchor_year+0,"0")</f>
        <v>2025</v>
      </c>
    </row>
    <row r="6" customFormat="false" ht="15" hidden="false" customHeight="true" outlineLevel="0" collapsed="false">
      <c r="A6" s="23" t="s">
        <v>620</v>
      </c>
    </row>
    <row r="7" customFormat="false" ht="15" hidden="false" customHeight="true" outlineLevel="0" collapsed="false">
      <c r="A7" s="26" t="s">
        <v>621</v>
      </c>
      <c r="C7" s="42" t="n">
        <f aca="false">INDEX(es_real_rev,MATCH(C$5,es_years,0))</f>
        <v>0.451550058410073</v>
      </c>
      <c r="D7" s="42" t="n">
        <f aca="false">INDEX(es_real_rev,MATCH(D$5,es_years,0))</f>
        <v>0.421551611262808</v>
      </c>
      <c r="E7" s="42" t="n">
        <f aca="false">INDEX(es_real_rev,MATCH(E$5,es_years,0))</f>
        <v>0.417753961104788</v>
      </c>
      <c r="F7" s="42" t="n">
        <f aca="false">anchor_rev0</f>
        <v>0.433198183538701</v>
      </c>
      <c r="G7" s="42" t="n">
        <f aca="false">F7*(1+G8)</f>
        <v>0.446194129044862</v>
      </c>
      <c r="H7" s="42" t="n">
        <f aca="false">G7*(1+H8)</f>
        <v>0.459579952916208</v>
      </c>
      <c r="I7" s="42" t="n">
        <f aca="false">H7*(1+I8)</f>
        <v>0.473367351503694</v>
      </c>
      <c r="J7" s="42" t="n">
        <f aca="false">I7*(1+J8)</f>
        <v>0.487568372048805</v>
      </c>
      <c r="K7" s="42" t="n">
        <f aca="false">J7*(1+K8)</f>
        <v>0.502195423210269</v>
      </c>
      <c r="L7" s="42" t="n">
        <f aca="false">K7*(1+L8)</f>
        <v>0.517261285906577</v>
      </c>
      <c r="M7" s="42" t="n">
        <f aca="false">L7*(1+M8)</f>
        <v>0.532779124483775</v>
      </c>
      <c r="N7" s="42" t="n">
        <f aca="false">M7*(1+N8)</f>
        <v>0.548762498218288</v>
      </c>
      <c r="O7" s="42" t="n">
        <f aca="false">N7*(1+O8)</f>
        <v>0.565225373164836</v>
      </c>
      <c r="P7" s="42" t="n">
        <f aca="false">O7*(1+P8)</f>
        <v>0.582182134359782</v>
      </c>
      <c r="Q7" s="42" t="n">
        <f aca="false">P7*(1+Q8)</f>
        <v>0.599647598390575</v>
      </c>
      <c r="R7" s="42" t="n">
        <f aca="false">Q7*(1+R8)</f>
        <v>0.617637026342292</v>
      </c>
      <c r="S7" s="42" t="n">
        <f aca="false">R7*(1+S8)</f>
        <v>0.636166137132561</v>
      </c>
      <c r="T7" s="26" t="n">
        <f aca="false">S7*(1+T8)</f>
        <v>0.655251121246538</v>
      </c>
      <c r="U7" s="26" t="n">
        <f aca="false">T7*(1+U8)</f>
        <v>0.674908654883934</v>
      </c>
      <c r="V7" s="26" t="n">
        <f aca="false">U7*(1+V8)</f>
        <v>0.695155914530452</v>
      </c>
      <c r="W7" s="26" t="n">
        <f aca="false">V7*(1+W8)</f>
        <v>0.716010591966366</v>
      </c>
      <c r="X7" s="26" t="n">
        <f aca="false">W7*(1+X8)</f>
        <v>0.737490909725357</v>
      </c>
      <c r="Y7" s="26" t="n">
        <f aca="false">X7*(1+Y8)</f>
        <v>0.759615637017117</v>
      </c>
      <c r="Z7" s="26" t="n">
        <f aca="false">Y7*(1+Z8)</f>
        <v>0.782404106127631</v>
      </c>
      <c r="AA7" s="26" t="n">
        <f aca="false">Z7*(1+AA8)</f>
        <v>0.80587622931146</v>
      </c>
      <c r="AB7" s="26" t="n">
        <f aca="false">AA7*(1+AB8)</f>
        <v>0.830052516190804</v>
      </c>
      <c r="AC7" s="26" t="n">
        <f aca="false">AB7*(1+AC8)</f>
        <v>0.854954091676528</v>
      </c>
      <c r="AD7" s="26" t="n">
        <f aca="false">AC7*(1+AD8)</f>
        <v>0.880602714426824</v>
      </c>
      <c r="AE7" s="26" t="n">
        <f aca="false">AD7*(1+AE8)</f>
        <v>0.907020795859629</v>
      </c>
      <c r="AF7" s="26" t="n">
        <f aca="false">AE7*(1+AF8)</f>
        <v>0.934231419735418</v>
      </c>
      <c r="AG7" s="26" t="n">
        <f aca="false">AF7*(1+AG8)</f>
        <v>0.96225836232748</v>
      </c>
      <c r="AH7" s="26" t="n">
        <f aca="false">AG7*(1+AH8)</f>
        <v>0.991126113197304</v>
      </c>
      <c r="AI7" s="26" t="n">
        <f aca="false">AH7*(1+AI8)</f>
        <v>1.02085989659322</v>
      </c>
      <c r="AJ7" s="26" t="n">
        <f aca="false">AI7*(1+AJ8)</f>
        <v>1.05148569349102</v>
      </c>
    </row>
    <row r="8" customFormat="false" ht="15" hidden="false" customHeight="true" outlineLevel="0" collapsed="false">
      <c r="A8" s="26" t="s">
        <v>622</v>
      </c>
      <c r="D8" s="44" t="n">
        <f aca="false">IF(C7=0,"",D7/C7-1)</f>
        <v>-0.0664343777363058</v>
      </c>
      <c r="E8" s="44" t="n">
        <f aca="false">IF(D7=0,"",E7/D7-1)</f>
        <v>-0.00900874307333988</v>
      </c>
      <c r="F8" s="44" t="n">
        <f aca="false">IF(E7=0,"",F7/E7-1)</f>
        <v>0.0369696612644173</v>
      </c>
      <c r="G8" s="30" t="n">
        <f aca="false">INDEX(scen_revgrowth,MATCH(cfg_scenario,scen_cols,0))</f>
        <v>0.03</v>
      </c>
      <c r="H8" s="30" t="n">
        <f aca="false">INDEX(scen_revgrowth,MATCH(cfg_scenario,scen_cols,0))</f>
        <v>0.03</v>
      </c>
      <c r="I8" s="30" t="n">
        <f aca="false">INDEX(scen_revgrowth,MATCH(cfg_scenario,scen_cols,0))</f>
        <v>0.03</v>
      </c>
      <c r="J8" s="30" t="n">
        <f aca="false">INDEX(scen_revgrowth,MATCH(cfg_scenario,scen_cols,0))</f>
        <v>0.03</v>
      </c>
      <c r="K8" s="30" t="n">
        <f aca="false">INDEX(scen_revgrowth,MATCH(cfg_scenario,scen_cols,0))</f>
        <v>0.03</v>
      </c>
      <c r="L8" s="30" t="n">
        <f aca="false">INDEX(scen_revgrowth,MATCH(cfg_scenario,scen_cols,0))</f>
        <v>0.03</v>
      </c>
      <c r="M8" s="30" t="n">
        <f aca="false">INDEX(scen_revgrowth,MATCH(cfg_scenario,scen_cols,0))</f>
        <v>0.03</v>
      </c>
      <c r="N8" s="30" t="n">
        <f aca="false">INDEX(scen_revgrowth,MATCH(cfg_scenario,scen_cols,0))</f>
        <v>0.03</v>
      </c>
      <c r="O8" s="30" t="n">
        <f aca="false">INDEX(scen_revgrowth,MATCH(cfg_scenario,scen_cols,0))</f>
        <v>0.03</v>
      </c>
      <c r="P8" s="30" t="n">
        <f aca="false">INDEX(scen_revgrowth,MATCH(cfg_scenario,scen_cols,0))</f>
        <v>0.03</v>
      </c>
      <c r="Q8" s="30" t="n">
        <f aca="false">INDEX(scen_revgrowth,MATCH(cfg_scenario,scen_cols,0))</f>
        <v>0.03</v>
      </c>
      <c r="R8" s="30" t="n">
        <f aca="false">INDEX(scen_revgrowth,MATCH(cfg_scenario,scen_cols,0))</f>
        <v>0.03</v>
      </c>
      <c r="S8" s="30" t="n">
        <f aca="false">INDEX(scen_revgrowth,MATCH(cfg_scenario,scen_cols,0))</f>
        <v>0.03</v>
      </c>
      <c r="T8" s="30" t="n">
        <f aca="false">INDEX(scen_revgrowth,MATCH(cfg_scenario,scen_cols,0))</f>
        <v>0.03</v>
      </c>
      <c r="U8" s="30" t="n">
        <f aca="false">INDEX(scen_revgrowth,MATCH(cfg_scenario,scen_cols,0))</f>
        <v>0.03</v>
      </c>
      <c r="V8" s="30" t="n">
        <f aca="false">INDEX(scen_revgrowth,MATCH(cfg_scenario,scen_cols,0))</f>
        <v>0.03</v>
      </c>
      <c r="W8" s="30" t="n">
        <f aca="false">INDEX(scen_revgrowth,MATCH(cfg_scenario,scen_cols,0))</f>
        <v>0.03</v>
      </c>
      <c r="X8" s="30" t="n">
        <f aca="false">INDEX(scen_revgrowth,MATCH(cfg_scenario,scen_cols,0))</f>
        <v>0.03</v>
      </c>
      <c r="Y8" s="30" t="n">
        <f aca="false">INDEX(scen_revgrowth,MATCH(cfg_scenario,scen_cols,0))</f>
        <v>0.03</v>
      </c>
      <c r="Z8" s="30" t="n">
        <f aca="false">INDEX(scen_revgrowth,MATCH(cfg_scenario,scen_cols,0))</f>
        <v>0.03</v>
      </c>
      <c r="AA8" s="30" t="n">
        <f aca="false">INDEX(scen_revgrowth,MATCH(cfg_scenario,scen_cols,0))</f>
        <v>0.03</v>
      </c>
      <c r="AB8" s="30" t="n">
        <f aca="false">INDEX(scen_revgrowth,MATCH(cfg_scenario,scen_cols,0))</f>
        <v>0.03</v>
      </c>
      <c r="AC8" s="30" t="n">
        <f aca="false">INDEX(scen_revgrowth,MATCH(cfg_scenario,scen_cols,0))</f>
        <v>0.03</v>
      </c>
      <c r="AD8" s="30" t="n">
        <f aca="false">INDEX(scen_revgrowth,MATCH(cfg_scenario,scen_cols,0))</f>
        <v>0.03</v>
      </c>
      <c r="AE8" s="30" t="n">
        <f aca="false">INDEX(scen_revgrowth,MATCH(cfg_scenario,scen_cols,0))</f>
        <v>0.03</v>
      </c>
      <c r="AF8" s="30" t="n">
        <f aca="false">INDEX(scen_revgrowth,MATCH(cfg_scenario,scen_cols,0))</f>
        <v>0.03</v>
      </c>
      <c r="AG8" s="30" t="n">
        <f aca="false">INDEX(scen_revgrowth,MATCH(cfg_scenario,scen_cols,0))</f>
        <v>0.03</v>
      </c>
      <c r="AH8" s="30" t="n">
        <f aca="false">INDEX(scen_revgrowth,MATCH(cfg_scenario,scen_cols,0))</f>
        <v>0.03</v>
      </c>
      <c r="AI8" s="30" t="n">
        <f aca="false">INDEX(scen_revgrowth,MATCH(cfg_scenario,scen_cols,0))</f>
        <v>0.03</v>
      </c>
      <c r="AJ8" s="30" t="n">
        <f aca="false">INDEX(scen_revgrowth,MATCH(cfg_scenario,scen_cols,0))</f>
        <v>0.03</v>
      </c>
    </row>
    <row r="9" customFormat="false" ht="15" hidden="false" customHeight="true" outlineLevel="0" collapsed="false">
      <c r="A9" s="26" t="s">
        <v>623</v>
      </c>
      <c r="C9" s="42" t="n">
        <f aca="false">INDEX(es_real_gp,MATCH(C$5,es_years,0))</f>
        <v>0.195564662097008</v>
      </c>
      <c r="D9" s="42" t="n">
        <f aca="false">INDEX(es_real_gp,MATCH(D$5,es_years,0))</f>
        <v>0.186035487801196</v>
      </c>
      <c r="E9" s="42" t="n">
        <f aca="false">INDEX(es_real_gp,MATCH(E$5,es_years,0))</f>
        <v>0.193028856635075</v>
      </c>
      <c r="F9" s="42" t="n">
        <f aca="false">anchor_gp0</f>
        <v>0.203192318898066</v>
      </c>
      <c r="G9" s="42" t="n">
        <f aca="false">G7*G10</f>
        <v>0.209288088465008</v>
      </c>
      <c r="H9" s="42" t="n">
        <f aca="false">H7*H10</f>
        <v>0.215566731118958</v>
      </c>
      <c r="I9" s="42" t="n">
        <f aca="false">I7*I10</f>
        <v>0.222033733052527</v>
      </c>
      <c r="J9" s="42" t="n">
        <f aca="false">J7*J10</f>
        <v>0.228694745044103</v>
      </c>
      <c r="K9" s="42" t="n">
        <f aca="false">K7*K10</f>
        <v>0.235555587395426</v>
      </c>
      <c r="L9" s="42" t="n">
        <f aca="false">L7*L10</f>
        <v>0.242622255017288</v>
      </c>
      <c r="M9" s="42" t="n">
        <f aca="false">M7*M10</f>
        <v>0.249900922667807</v>
      </c>
      <c r="N9" s="42" t="n">
        <f aca="false">N7*N10</f>
        <v>0.257397950347841</v>
      </c>
      <c r="O9" s="42" t="n">
        <f aca="false">O7*O10</f>
        <v>0.265119888858277</v>
      </c>
      <c r="P9" s="42" t="n">
        <f aca="false">P7*P10</f>
        <v>0.273073485524025</v>
      </c>
      <c r="Q9" s="42" t="n">
        <f aca="false">Q7*Q10</f>
        <v>0.281265690089746</v>
      </c>
      <c r="R9" s="42" t="n">
        <f aca="false">R7*R10</f>
        <v>0.289703660792438</v>
      </c>
      <c r="S9" s="42" t="n">
        <f aca="false">S7*S10</f>
        <v>0.298394770616211</v>
      </c>
      <c r="T9" s="26" t="n">
        <f aca="false">T7*T10</f>
        <v>0.307346613734697</v>
      </c>
      <c r="U9" s="26" t="n">
        <f aca="false">U7*U10</f>
        <v>0.316567012146738</v>
      </c>
      <c r="V9" s="26" t="n">
        <f aca="false">V7*V10</f>
        <v>0.326064022511141</v>
      </c>
      <c r="W9" s="26" t="n">
        <f aca="false">W7*W10</f>
        <v>0.335845943186475</v>
      </c>
      <c r="X9" s="26" t="n">
        <f aca="false">X7*X10</f>
        <v>0.345921321482069</v>
      </c>
      <c r="Y9" s="26" t="n">
        <f aca="false">Y7*Y10</f>
        <v>0.356298961126531</v>
      </c>
      <c r="Z9" s="26" t="n">
        <f aca="false">Z7*Z10</f>
        <v>0.366987929960327</v>
      </c>
      <c r="AA9" s="26" t="n">
        <f aca="false">AA7*AA10</f>
        <v>0.377997567859137</v>
      </c>
      <c r="AB9" s="26" t="n">
        <f aca="false">AB7*AB10</f>
        <v>0.389337494894911</v>
      </c>
      <c r="AC9" s="26" t="n">
        <f aca="false">AC7*AC10</f>
        <v>0.401017619741758</v>
      </c>
      <c r="AD9" s="26" t="n">
        <f aca="false">AD7*AD10</f>
        <v>0.413048148334011</v>
      </c>
      <c r="AE9" s="26" t="n">
        <f aca="false">AE7*AE10</f>
        <v>0.425439592784032</v>
      </c>
      <c r="AF9" s="26" t="n">
        <f aca="false">AF7*AF10</f>
        <v>0.438202780567553</v>
      </c>
      <c r="AG9" s="26" t="n">
        <f aca="false">AG7*AG10</f>
        <v>0.451348863984579</v>
      </c>
      <c r="AH9" s="26" t="n">
        <f aca="false">AH7*AH10</f>
        <v>0.464889329904116</v>
      </c>
      <c r="AI9" s="26" t="n">
        <f aca="false">AI7*AI10</f>
        <v>0.47883600980124</v>
      </c>
      <c r="AJ9" s="26" t="n">
        <f aca="false">AJ7*AJ10</f>
        <v>0.493201090095277</v>
      </c>
    </row>
    <row r="10" customFormat="false" ht="15" hidden="false" customHeight="true" outlineLevel="0" collapsed="false">
      <c r="A10" s="26" t="s">
        <v>624</v>
      </c>
      <c r="C10" s="44" t="n">
        <f aca="false">IF(C7=0,"",C9/C7)</f>
        <v>0.433096305613601</v>
      </c>
      <c r="D10" s="44" t="n">
        <f aca="false">IF(D7=0,"",D9/D7)</f>
        <v>0.441311295772076</v>
      </c>
      <c r="E10" s="44" t="n">
        <f aca="false">IF(E7=0,"",E9/E7)</f>
        <v>0.462063498152339</v>
      </c>
      <c r="F10" s="44" t="n">
        <f aca="false">IF(F7=0,"",F9/F7)</f>
        <v>0.469051641071605</v>
      </c>
      <c r="G10" s="30" t="n">
        <f aca="false">$F$10</f>
        <v>0.469051641071605</v>
      </c>
      <c r="H10" s="30" t="n">
        <f aca="false">$F$10</f>
        <v>0.469051641071605</v>
      </c>
      <c r="I10" s="30" t="n">
        <f aca="false">$F$10</f>
        <v>0.469051641071605</v>
      </c>
      <c r="J10" s="30" t="n">
        <f aca="false">$F$10</f>
        <v>0.469051641071605</v>
      </c>
      <c r="K10" s="30" t="n">
        <f aca="false">$F$10</f>
        <v>0.469051641071605</v>
      </c>
      <c r="L10" s="30" t="n">
        <f aca="false">$F$10</f>
        <v>0.469051641071605</v>
      </c>
      <c r="M10" s="30" t="n">
        <f aca="false">$F$10</f>
        <v>0.469051641071605</v>
      </c>
      <c r="N10" s="30" t="n">
        <f aca="false">$F$10</f>
        <v>0.469051641071605</v>
      </c>
      <c r="O10" s="30" t="n">
        <f aca="false">$F$10</f>
        <v>0.469051641071605</v>
      </c>
      <c r="P10" s="30" t="n">
        <f aca="false">$F$10</f>
        <v>0.469051641071605</v>
      </c>
      <c r="Q10" s="30" t="n">
        <f aca="false">$F$10</f>
        <v>0.469051641071605</v>
      </c>
      <c r="R10" s="30" t="n">
        <f aca="false">$F$10</f>
        <v>0.469051641071605</v>
      </c>
      <c r="S10" s="30" t="n">
        <f aca="false">$F$10</f>
        <v>0.469051641071605</v>
      </c>
      <c r="T10" s="30" t="n">
        <f aca="false">$F$10</f>
        <v>0.469051641071605</v>
      </c>
      <c r="U10" s="30" t="n">
        <f aca="false">$F$10</f>
        <v>0.469051641071605</v>
      </c>
      <c r="V10" s="30" t="n">
        <f aca="false">$F$10</f>
        <v>0.469051641071605</v>
      </c>
      <c r="W10" s="30" t="n">
        <f aca="false">$F$10</f>
        <v>0.469051641071605</v>
      </c>
      <c r="X10" s="30" t="n">
        <f aca="false">$F$10</f>
        <v>0.469051641071605</v>
      </c>
      <c r="Y10" s="30" t="n">
        <f aca="false">$F$10</f>
        <v>0.469051641071605</v>
      </c>
      <c r="Z10" s="30" t="n">
        <f aca="false">$F$10</f>
        <v>0.469051641071605</v>
      </c>
      <c r="AA10" s="30" t="n">
        <f aca="false">$F$10</f>
        <v>0.469051641071605</v>
      </c>
      <c r="AB10" s="30" t="n">
        <f aca="false">$F$10</f>
        <v>0.469051641071605</v>
      </c>
      <c r="AC10" s="30" t="n">
        <f aca="false">$F$10</f>
        <v>0.469051641071605</v>
      </c>
      <c r="AD10" s="30" t="n">
        <f aca="false">$F$10</f>
        <v>0.469051641071605</v>
      </c>
      <c r="AE10" s="30" t="n">
        <f aca="false">$F$10</f>
        <v>0.469051641071605</v>
      </c>
      <c r="AF10" s="30" t="n">
        <f aca="false">$F$10</f>
        <v>0.469051641071605</v>
      </c>
      <c r="AG10" s="30" t="n">
        <f aca="false">$F$10</f>
        <v>0.469051641071605</v>
      </c>
      <c r="AH10" s="30" t="n">
        <f aca="false">$F$10</f>
        <v>0.469051641071605</v>
      </c>
      <c r="AI10" s="30" t="n">
        <f aca="false">$F$10</f>
        <v>0.469051641071605</v>
      </c>
      <c r="AJ10" s="30" t="n">
        <f aca="false">$F$10</f>
        <v>0.469051641071605</v>
      </c>
    </row>
    <row r="11" customFormat="false" ht="15" hidden="false" customHeight="true" outlineLevel="0" collapsed="false">
      <c r="A11" s="26" t="s">
        <v>625</v>
      </c>
      <c r="C11" s="42" t="n">
        <f aca="false">INDEX(es_real_sga,MATCH(C$5,es_years,0))</f>
        <v>0.0287354617621431</v>
      </c>
      <c r="D11" s="42" t="n">
        <f aca="false">INDEX(es_real_sga,MATCH(D$5,es_years,0))</f>
        <v>0.0274211742489383</v>
      </c>
      <c r="E11" s="42" t="n">
        <f aca="false">INDEX(es_real_sga,MATCH(E$5,es_years,0))</f>
        <v>0.0278801772806825</v>
      </c>
      <c r="F11" s="42" t="n">
        <f aca="false">anchor_sga0</f>
        <v>0.0287309552405239</v>
      </c>
      <c r="G11" s="42" t="n">
        <f aca="false">G7*G12</f>
        <v>0.0295928838977397</v>
      </c>
      <c r="H11" s="42" t="n">
        <f aca="false">H7*H12</f>
        <v>0.0304806704146719</v>
      </c>
      <c r="I11" s="42" t="n">
        <f aca="false">I7*I12</f>
        <v>0.031395090527112</v>
      </c>
      <c r="J11" s="42" t="n">
        <f aca="false">J7*J12</f>
        <v>0.0323369432429254</v>
      </c>
      <c r="K11" s="42" t="n">
        <f aca="false">K7*K12</f>
        <v>0.0333070515402131</v>
      </c>
      <c r="L11" s="42" t="n">
        <f aca="false">L7*L12</f>
        <v>0.0343062630864195</v>
      </c>
      <c r="M11" s="42" t="n">
        <f aca="false">M7*M12</f>
        <v>0.0353354509790121</v>
      </c>
      <c r="N11" s="42" t="n">
        <f aca="false">N7*N12</f>
        <v>0.0363955145083825</v>
      </c>
      <c r="O11" s="42" t="n">
        <f aca="false">O7*O12</f>
        <v>0.037487379943634</v>
      </c>
      <c r="P11" s="42" t="n">
        <f aca="false">P7*P12</f>
        <v>0.038612001341943</v>
      </c>
      <c r="Q11" s="42" t="n">
        <f aca="false">Q7*Q12</f>
        <v>0.0397703613822013</v>
      </c>
      <c r="R11" s="42" t="n">
        <f aca="false">R7*R12</f>
        <v>0.0409634722236673</v>
      </c>
      <c r="S11" s="42" t="n">
        <f aca="false">S7*S12</f>
        <v>0.0421923763903773</v>
      </c>
      <c r="T11" s="26" t="n">
        <f aca="false">T7*T12</f>
        <v>0.0434581476820886</v>
      </c>
      <c r="U11" s="26" t="n">
        <f aca="false">U7*U12</f>
        <v>0.0447618921125513</v>
      </c>
      <c r="V11" s="26" t="n">
        <f aca="false">V7*V12</f>
        <v>0.0461047488759279</v>
      </c>
      <c r="W11" s="26" t="n">
        <f aca="false">W7*W12</f>
        <v>0.0474878913422057</v>
      </c>
      <c r="X11" s="26" t="n">
        <f aca="false">X7*X12</f>
        <v>0.0489125280824719</v>
      </c>
      <c r="Y11" s="26" t="n">
        <f aca="false">Y7*Y12</f>
        <v>0.050379903924946</v>
      </c>
      <c r="Z11" s="26" t="n">
        <f aca="false">Z7*Z12</f>
        <v>0.0518913010426944</v>
      </c>
      <c r="AA11" s="26" t="n">
        <f aca="false">AA7*AA12</f>
        <v>0.0534480400739752</v>
      </c>
      <c r="AB11" s="26" t="n">
        <f aca="false">AB7*AB12</f>
        <v>0.0550514812761945</v>
      </c>
      <c r="AC11" s="26" t="n">
        <f aca="false">AC7*AC12</f>
        <v>0.0567030257144803</v>
      </c>
      <c r="AD11" s="26" t="n">
        <f aca="false">AD7*AD12</f>
        <v>0.0584041164859147</v>
      </c>
      <c r="AE11" s="26" t="n">
        <f aca="false">AE7*AE12</f>
        <v>0.0601562399804922</v>
      </c>
      <c r="AF11" s="26" t="n">
        <f aca="false">AF7*AF12</f>
        <v>0.061960927179907</v>
      </c>
      <c r="AG11" s="26" t="n">
        <f aca="false">AG7*AG12</f>
        <v>0.0638197549953042</v>
      </c>
      <c r="AH11" s="26" t="n">
        <f aca="false">AH7*AH12</f>
        <v>0.0657343476451633</v>
      </c>
      <c r="AI11" s="26" t="n">
        <f aca="false">AI7*AI12</f>
        <v>0.0677063780745182</v>
      </c>
      <c r="AJ11" s="26" t="n">
        <f aca="false">AJ7*AJ12</f>
        <v>0.0697375694167537</v>
      </c>
    </row>
    <row r="12" customFormat="false" ht="15" hidden="false" customHeight="true" outlineLevel="0" collapsed="false">
      <c r="A12" s="26" t="s">
        <v>626</v>
      </c>
      <c r="C12" s="44" t="n">
        <f aca="false">IF(C7=0,"",C11/C7)</f>
        <v>0.0636373780203283</v>
      </c>
      <c r="D12" s="44" t="n">
        <f aca="false">IF(D7=0,"",D11/D7)</f>
        <v>0.0650482017297833</v>
      </c>
      <c r="E12" s="44" t="n">
        <f aca="false">IF(E7=0,"",E11/E7)</f>
        <v>0.0667382715102229</v>
      </c>
      <c r="F12" s="44" t="n">
        <f aca="false">IF(F7=0,"",F11/F7)</f>
        <v>0.066322889458647</v>
      </c>
      <c r="G12" s="30" t="n">
        <f aca="false">$F$12</f>
        <v>0.066322889458647</v>
      </c>
      <c r="H12" s="30" t="n">
        <f aca="false">$F$12</f>
        <v>0.066322889458647</v>
      </c>
      <c r="I12" s="30" t="n">
        <f aca="false">$F$12</f>
        <v>0.066322889458647</v>
      </c>
      <c r="J12" s="30" t="n">
        <f aca="false">$F$12</f>
        <v>0.066322889458647</v>
      </c>
      <c r="K12" s="30" t="n">
        <f aca="false">$F$12</f>
        <v>0.066322889458647</v>
      </c>
      <c r="L12" s="30" t="n">
        <f aca="false">$F$12</f>
        <v>0.066322889458647</v>
      </c>
      <c r="M12" s="30" t="n">
        <f aca="false">$F$12</f>
        <v>0.066322889458647</v>
      </c>
      <c r="N12" s="30" t="n">
        <f aca="false">$F$12</f>
        <v>0.066322889458647</v>
      </c>
      <c r="O12" s="30" t="n">
        <f aca="false">$F$12</f>
        <v>0.066322889458647</v>
      </c>
      <c r="P12" s="30" t="n">
        <f aca="false">$F$12</f>
        <v>0.066322889458647</v>
      </c>
      <c r="Q12" s="30" t="n">
        <f aca="false">$F$12</f>
        <v>0.066322889458647</v>
      </c>
      <c r="R12" s="30" t="n">
        <f aca="false">$F$12</f>
        <v>0.066322889458647</v>
      </c>
      <c r="S12" s="30" t="n">
        <f aca="false">$F$12</f>
        <v>0.066322889458647</v>
      </c>
      <c r="T12" s="30" t="n">
        <f aca="false">$F$12</f>
        <v>0.066322889458647</v>
      </c>
      <c r="U12" s="30" t="n">
        <f aca="false">$F$12</f>
        <v>0.066322889458647</v>
      </c>
      <c r="V12" s="30" t="n">
        <f aca="false">$F$12</f>
        <v>0.066322889458647</v>
      </c>
      <c r="W12" s="30" t="n">
        <f aca="false">$F$12</f>
        <v>0.066322889458647</v>
      </c>
      <c r="X12" s="30" t="n">
        <f aca="false">$F$12</f>
        <v>0.066322889458647</v>
      </c>
      <c r="Y12" s="30" t="n">
        <f aca="false">$F$12</f>
        <v>0.066322889458647</v>
      </c>
      <c r="Z12" s="30" t="n">
        <f aca="false">$F$12</f>
        <v>0.066322889458647</v>
      </c>
      <c r="AA12" s="30" t="n">
        <f aca="false">$F$12</f>
        <v>0.066322889458647</v>
      </c>
      <c r="AB12" s="30" t="n">
        <f aca="false">$F$12</f>
        <v>0.066322889458647</v>
      </c>
      <c r="AC12" s="30" t="n">
        <f aca="false">$F$12</f>
        <v>0.066322889458647</v>
      </c>
      <c r="AD12" s="30" t="n">
        <f aca="false">$F$12</f>
        <v>0.066322889458647</v>
      </c>
      <c r="AE12" s="30" t="n">
        <f aca="false">$F$12</f>
        <v>0.066322889458647</v>
      </c>
      <c r="AF12" s="30" t="n">
        <f aca="false">$F$12</f>
        <v>0.066322889458647</v>
      </c>
      <c r="AG12" s="30" t="n">
        <f aca="false">$F$12</f>
        <v>0.066322889458647</v>
      </c>
      <c r="AH12" s="30" t="n">
        <f aca="false">$F$12</f>
        <v>0.066322889458647</v>
      </c>
      <c r="AI12" s="30" t="n">
        <f aca="false">$F$12</f>
        <v>0.066322889458647</v>
      </c>
      <c r="AJ12" s="30" t="n">
        <f aca="false">$F$12</f>
        <v>0.066322889458647</v>
      </c>
    </row>
    <row r="13" customFormat="false" ht="15" hidden="false" customHeight="true" outlineLevel="0" collapsed="false">
      <c r="A13" s="26" t="s">
        <v>627</v>
      </c>
      <c r="C13" s="42" t="n">
        <f aca="false">INDEX(es_dep,MATCH(C$5,es_years,0))</f>
        <v>0.0129695078756182</v>
      </c>
      <c r="D13" s="42" t="n">
        <f aca="false">INDEX(es_dep,MATCH(D$5,es_years,0))</f>
        <v>0.0131229745160127</v>
      </c>
      <c r="E13" s="42" t="n">
        <f aca="false">INDEX(es_dep,MATCH(E$5,es_years,0))</f>
        <v>0.0131269488890278</v>
      </c>
      <c r="F13" s="42" t="n">
        <f aca="false">anchor_econ_dep</f>
        <v>0.0132866125706865</v>
      </c>
      <c r="G13" s="42" t="n">
        <f aca="false">G14*F22</f>
        <v>0.0133843310666057</v>
      </c>
      <c r="H13" s="42" t="n">
        <f aca="false">H14*G22</f>
        <v>0.0135446787591163</v>
      </c>
      <c r="I13" s="42" t="n">
        <f aca="false">I14*H22</f>
        <v>0.0137576899022292</v>
      </c>
      <c r="J13" s="42" t="n">
        <f aca="false">J14*I22</f>
        <v>0.0140154498715426</v>
      </c>
      <c r="K13" s="42" t="n">
        <f aca="false">K14*J22</f>
        <v>0.0143116904152424</v>
      </c>
      <c r="L13" s="42" t="n">
        <f aca="false">L14*K22</f>
        <v>0.0146414652778715</v>
      </c>
      <c r="M13" s="42" t="n">
        <f aca="false">M14*L22</f>
        <v>0.0150008902520851</v>
      </c>
      <c r="N13" s="42" t="n">
        <f aca="false">N14*M22</f>
        <v>0.0153869348772716</v>
      </c>
      <c r="O13" s="42" t="n">
        <f aca="false">O14*N22</f>
        <v>0.0157972555398906</v>
      </c>
      <c r="P13" s="42" t="n">
        <f aca="false">P14*O22</f>
        <v>0.0162300617631798</v>
      </c>
      <c r="Q13" s="42" t="n">
        <f aca="false">Q14*P22</f>
        <v>0.016684009103366</v>
      </c>
      <c r="R13" s="42" t="n">
        <f aca="false">R14*Q22</f>
        <v>0.0171581133756873</v>
      </c>
      <c r="S13" s="42" t="n">
        <f aca="false">S14*R22</f>
        <v>0.0176516819805543</v>
      </c>
      <c r="T13" s="26" t="n">
        <f aca="false">T14*S22</f>
        <v>0.01816425893946</v>
      </c>
      <c r="U13" s="26" t="n">
        <f aca="false">U14*T22</f>
        <v>0.018695580923007</v>
      </c>
      <c r="V13" s="26" t="n">
        <f aca="false">V14*U22</f>
        <v>0.0192455420927062</v>
      </c>
      <c r="W13" s="26" t="n">
        <f aca="false">W14*V22</f>
        <v>0.0198141660104818</v>
      </c>
      <c r="X13" s="26" t="n">
        <f aca="false">X14*W22</f>
        <v>0.0204015832163369</v>
      </c>
      <c r="Y13" s="26" t="n">
        <f aca="false">Y14*X22</f>
        <v>0.0210080133524</v>
      </c>
      <c r="Z13" s="26" t="n">
        <f aca="false">Z14*Y22</f>
        <v>0.0216337509342313</v>
      </c>
      <c r="AA13" s="26" t="n">
        <f aca="false">AA14*Z22</f>
        <v>0.0222791540487488</v>
      </c>
      <c r="AB13" s="26" t="n">
        <f aca="false">AB14*AA22</f>
        <v>0.0229446354012099</v>
      </c>
      <c r="AC13" s="26" t="n">
        <f aca="false">AC14*AB22</f>
        <v>0.0236306552483675</v>
      </c>
      <c r="AD13" s="26" t="n">
        <f aca="false">AD14*AC22</f>
        <v>0.0243377158468609</v>
      </c>
      <c r="AE13" s="26" t="n">
        <f aca="false">AE14*AD22</f>
        <v>0.0250663571195954</v>
      </c>
      <c r="AF13" s="26" t="n">
        <f aca="false">AF14*AE22</f>
        <v>0.0258171533019432</v>
      </c>
      <c r="AG13" s="26" t="n">
        <f aca="false">AG14*AF22</f>
        <v>0.0265907103769609</v>
      </c>
      <c r="AH13" s="26" t="n">
        <f aca="false">AH14*AG22</f>
        <v>0.0273876641467792</v>
      </c>
      <c r="AI13" s="26" t="n">
        <f aca="false">AI14*AH22</f>
        <v>0.0282086788177637</v>
      </c>
      <c r="AJ13" s="26" t="n">
        <f aca="false">AJ14*AI22</f>
        <v>0.0290544460014404</v>
      </c>
    </row>
    <row r="14" customFormat="false" ht="15" hidden="false" customHeight="true" outlineLevel="0" collapsed="false">
      <c r="A14" s="26" t="s">
        <v>628</v>
      </c>
      <c r="D14" s="44" t="n">
        <f aca="false">IF(C22=0,"",D13/C22)</f>
        <v>0.185759859416128</v>
      </c>
      <c r="E14" s="44" t="n">
        <f aca="false">IF(D22=0,"",E13/D22)</f>
        <v>0.188215642829308</v>
      </c>
      <c r="F14" s="44" t="n">
        <f aca="false">IF(E22=0,"",F13/E22)</f>
        <v>0.198410214320154</v>
      </c>
      <c r="G14" s="30" t="n">
        <f aca="false">$F$14</f>
        <v>0.198410214320154</v>
      </c>
      <c r="H14" s="30" t="n">
        <f aca="false">$F$14</f>
        <v>0.198410214320154</v>
      </c>
      <c r="I14" s="30" t="n">
        <f aca="false">$F$14</f>
        <v>0.198410214320154</v>
      </c>
      <c r="J14" s="30" t="n">
        <f aca="false">$F$14</f>
        <v>0.198410214320154</v>
      </c>
      <c r="K14" s="30" t="n">
        <f aca="false">$F$14</f>
        <v>0.198410214320154</v>
      </c>
      <c r="L14" s="30" t="n">
        <f aca="false">$F$14</f>
        <v>0.198410214320154</v>
      </c>
      <c r="M14" s="30" t="n">
        <f aca="false">$F$14</f>
        <v>0.198410214320154</v>
      </c>
      <c r="N14" s="30" t="n">
        <f aca="false">$F$14</f>
        <v>0.198410214320154</v>
      </c>
      <c r="O14" s="30" t="n">
        <f aca="false">$F$14</f>
        <v>0.198410214320154</v>
      </c>
      <c r="P14" s="30" t="n">
        <f aca="false">$F$14</f>
        <v>0.198410214320154</v>
      </c>
      <c r="Q14" s="30" t="n">
        <f aca="false">$F$14</f>
        <v>0.198410214320154</v>
      </c>
      <c r="R14" s="30" t="n">
        <f aca="false">$F$14</f>
        <v>0.198410214320154</v>
      </c>
      <c r="S14" s="30" t="n">
        <f aca="false">$F$14</f>
        <v>0.198410214320154</v>
      </c>
      <c r="T14" s="30" t="n">
        <f aca="false">$F$14</f>
        <v>0.198410214320154</v>
      </c>
      <c r="U14" s="30" t="n">
        <f aca="false">$F$14</f>
        <v>0.198410214320154</v>
      </c>
      <c r="V14" s="30" t="n">
        <f aca="false">$F$14</f>
        <v>0.198410214320154</v>
      </c>
      <c r="W14" s="30" t="n">
        <f aca="false">$F$14</f>
        <v>0.198410214320154</v>
      </c>
      <c r="X14" s="30" t="n">
        <f aca="false">$F$14</f>
        <v>0.198410214320154</v>
      </c>
      <c r="Y14" s="30" t="n">
        <f aca="false">$F$14</f>
        <v>0.198410214320154</v>
      </c>
      <c r="Z14" s="30" t="n">
        <f aca="false">$F$14</f>
        <v>0.198410214320154</v>
      </c>
      <c r="AA14" s="30" t="n">
        <f aca="false">$F$14</f>
        <v>0.198410214320154</v>
      </c>
      <c r="AB14" s="30" t="n">
        <f aca="false">$F$14</f>
        <v>0.198410214320154</v>
      </c>
      <c r="AC14" s="30" t="n">
        <f aca="false">$F$14</f>
        <v>0.198410214320154</v>
      </c>
      <c r="AD14" s="30" t="n">
        <f aca="false">$F$14</f>
        <v>0.198410214320154</v>
      </c>
      <c r="AE14" s="30" t="n">
        <f aca="false">$F$14</f>
        <v>0.198410214320154</v>
      </c>
      <c r="AF14" s="30" t="n">
        <f aca="false">$F$14</f>
        <v>0.198410214320154</v>
      </c>
      <c r="AG14" s="30" t="n">
        <f aca="false">$F$14</f>
        <v>0.198410214320154</v>
      </c>
      <c r="AH14" s="30" t="n">
        <f aca="false">$F$14</f>
        <v>0.198410214320154</v>
      </c>
      <c r="AI14" s="30" t="n">
        <f aca="false">$F$14</f>
        <v>0.198410214320154</v>
      </c>
      <c r="AJ14" s="30" t="n">
        <f aca="false">$F$14</f>
        <v>0.198410214320154</v>
      </c>
    </row>
    <row r="15" customFormat="false" ht="15" hidden="false" customHeight="true" outlineLevel="0" collapsed="false">
      <c r="A15" s="26" t="s">
        <v>629</v>
      </c>
      <c r="C15" s="42" t="n">
        <f aca="false">C9-C11-C13</f>
        <v>0.153859692459247</v>
      </c>
      <c r="D15" s="42" t="n">
        <f aca="false">D9-D11-D13</f>
        <v>0.145491339036245</v>
      </c>
      <c r="E15" s="42" t="n">
        <f aca="false">E9-E11-E13</f>
        <v>0.152021730465365</v>
      </c>
      <c r="F15" s="42" t="n">
        <f aca="false">'Econ Statements'!$S$51</f>
        <v>0.13738721479627</v>
      </c>
      <c r="G15" s="42" t="n">
        <f aca="false">G9-G11-G13-G61</f>
        <v>0.141809711121359</v>
      </c>
      <c r="H15" s="42" t="n">
        <f aca="false">H9-H11-H13-H61</f>
        <v>0.146305184694488</v>
      </c>
      <c r="I15" s="42" t="n">
        <f aca="false">I9-I11-I13-I61</f>
        <v>0.150887669454983</v>
      </c>
      <c r="J15" s="42" t="n">
        <f aca="false">J9-J11-J13-J61</f>
        <v>0.155569270266386</v>
      </c>
      <c r="K15" s="42" t="n">
        <f aca="false">K9-K11-K13-K61</f>
        <v>0.160360571326824</v>
      </c>
      <c r="L15" s="42" t="n">
        <f aca="false">L9-L11-L13-L61</f>
        <v>0.165270964316457</v>
      </c>
      <c r="M15" s="42" t="n">
        <f aca="false">M9-M11-M13-M61</f>
        <v>0.170308912230073</v>
      </c>
      <c r="N15" s="42" t="n">
        <f aca="false">N9-N11-N13-N61</f>
        <v>0.175482161679351</v>
      </c>
      <c r="O15" s="42" t="n">
        <f aca="false">O9-O11-O13-O61</f>
        <v>0.180797913913431</v>
      </c>
      <c r="P15" s="42" t="n">
        <f aca="false">P9-P11-P13-P61</f>
        <v>0.186262962773741</v>
      </c>
      <c r="Q15" s="42" t="n">
        <f aca="false">Q9-Q11-Q13-Q61</f>
        <v>0.191883806169663</v>
      </c>
      <c r="R15" s="42" t="n">
        <f aca="false">R9-R11-R13-R61</f>
        <v>0.197666736355532</v>
      </c>
      <c r="S15" s="42" t="n">
        <f aca="false">S9-S11-S13-S61</f>
        <v>0.203617913242602</v>
      </c>
      <c r="T15" s="26" t="n">
        <f aca="false">T9-T11-T13-T61</f>
        <v>0.209743424140391</v>
      </c>
      <c r="U15" s="26" t="n">
        <f aca="false">U9-U11-U13-U61</f>
        <v>0.216049332649239</v>
      </c>
      <c r="V15" s="26" t="n">
        <f aca="false">V9-V11-V13-V61</f>
        <v>0.222541718886708</v>
      </c>
      <c r="W15" s="26" t="n">
        <f aca="false">W9-W11-W13-W61</f>
        <v>0.229226712798315</v>
      </c>
      <c r="X15" s="26" t="n">
        <f aca="false">X9-X11-X13-X61</f>
        <v>0.236110521956723</v>
      </c>
      <c r="Y15" s="26" t="n">
        <f aca="false">Y9-Y11-Y13-Y61</f>
        <v>0.243199454975852</v>
      </c>
      <c r="Z15" s="26" t="n">
        <f aca="false">Z9-Z11-Z13-Z61</f>
        <v>0.250499941443868</v>
      </c>
      <c r="AA15" s="26" t="n">
        <f aca="false">AA9-AA11-AA13-AA61</f>
        <v>0.258018549100694</v>
      </c>
      <c r="AB15" s="26" t="n">
        <f aca="false">AB9-AB11-AB13-AB61</f>
        <v>0.265761998842716</v>
      </c>
      <c r="AC15" s="26" t="n">
        <f aca="false">AC9-AC11-AC13-AC61</f>
        <v>0.273737178022876</v>
      </c>
      <c r="AD15" s="26" t="n">
        <f aca="false">AD9-AD11-AD13-AD61</f>
        <v>0.28195115242252</v>
      </c>
      <c r="AE15" s="26" t="n">
        <f aca="false">AE9-AE11-AE13-AE61</f>
        <v>0.290411177197867</v>
      </c>
      <c r="AF15" s="26" t="n">
        <f aca="false">AF9-AF11-AF13-AF61</f>
        <v>0.299124707045043</v>
      </c>
      <c r="AG15" s="26" t="n">
        <f aca="false">AG9-AG11-AG13-AG61</f>
        <v>0.308099405780435</v>
      </c>
      <c r="AH15" s="26" t="n">
        <f aca="false">AH9-AH11-AH13-AH61</f>
        <v>0.317343155495339</v>
      </c>
      <c r="AI15" s="26" t="n">
        <f aca="false">AI9-AI11-AI13-AI61</f>
        <v>0.326864065413618</v>
      </c>
      <c r="AJ15" s="26" t="n">
        <f aca="false">AJ9-AJ11-AJ13-AJ61</f>
        <v>0.336670480556882</v>
      </c>
    </row>
    <row r="16" customFormat="false" ht="15" hidden="false" customHeight="true" outlineLevel="0" collapsed="false">
      <c r="A16" s="26" t="s">
        <v>630</v>
      </c>
      <c r="C16" s="42" t="n">
        <f aca="false">C15*(1-C17)</f>
        <v>0.128927498594688</v>
      </c>
      <c r="D16" s="42" t="n">
        <f aca="false">D15*(1-D17)</f>
        <v>0.124076177860822</v>
      </c>
      <c r="E16" s="42" t="n">
        <f aca="false">E15*(1-E17)</f>
        <v>0.115397871335493</v>
      </c>
      <c r="F16" s="42" t="n">
        <f aca="false">anchor_oi_at0</f>
        <v>0.115710470488936</v>
      </c>
      <c r="G16" s="42" t="n">
        <f aca="false">IF(G4&lt;=cfg_N,(G15*(1-G17))-G35,G60*F24)</f>
        <v>0.119422951210772</v>
      </c>
      <c r="H16" s="42" t="n">
        <f aca="false">IF(H4&lt;=cfg_N,(H15*(1-H17))-H35,H60*G24)</f>
        <v>0.123184136198456</v>
      </c>
      <c r="I16" s="42" t="n">
        <f aca="false">IF(I4&lt;=cfg_N,(I15*(1-I17))-I35,I60*H24)</f>
        <v>0.127030055420667</v>
      </c>
      <c r="J16" s="42" t="n">
        <f aca="false">IF(J4&lt;=cfg_N,(J15*(1-J17))-J35,J60*I24)</f>
        <v>0.130953906427625</v>
      </c>
      <c r="K16" s="42" t="n">
        <f aca="false">IF(K4&lt;=cfg_N,(K15*(1-K17))-K35,K60*J24)</f>
        <v>0.00851107386478819</v>
      </c>
      <c r="L16" s="42" t="n">
        <f aca="false">IF(L4&lt;=cfg_N,(L15*(1-L17))-L35,L60*K24)</f>
        <v>0.00889612396183494</v>
      </c>
      <c r="M16" s="42" t="n">
        <f aca="false">IF(M4&lt;=cfg_N,(M15*(1-M17))-M35,M60*L24)</f>
        <v>0.009228743773896</v>
      </c>
      <c r="N16" s="42" t="n">
        <f aca="false">IF(N4&lt;=cfg_N,(N15*(1-N17))-N35,N60*M24)</f>
        <v>0.009524940555615</v>
      </c>
      <c r="O16" s="42" t="n">
        <f aca="false">IF(O4&lt;=cfg_N,(O15*(1-O17))-O35,O60*N24)</f>
        <v>0.00979719014784138</v>
      </c>
      <c r="P16" s="42" t="n">
        <f aca="false">IF(P4&lt;=cfg_N,(P15*(1-P17))-P35,P60*O24)</f>
        <v>0.0100550521918317</v>
      </c>
      <c r="Q16" s="42" t="n">
        <f aca="false">IF(Q4&lt;=cfg_N,(Q15*(1-Q17))-Q35,Q60*P24)</f>
        <v>0.0103047928085721</v>
      </c>
      <c r="R16" s="42" t="n">
        <f aca="false">IF(R4&lt;=cfg_N,(R15*(1-R17))-R35,R60*Q24)</f>
        <v>0.0105524149669314</v>
      </c>
      <c r="S16" s="42" t="n">
        <f aca="false">IF(S4&lt;=cfg_N,(S15*(1-S17))-S35,S60*R24)</f>
        <v>0.0107995237225548</v>
      </c>
      <c r="T16" s="26" t="n">
        <f aca="false">IF(T4&lt;=cfg_N,(T15*(1-T17))-T35,T60*S24)</f>
        <v>0.0110529475162159</v>
      </c>
      <c r="U16" s="26" t="n">
        <f aca="false">IF(U4&lt;=cfg_N,(U15*(1-U17))-U35,U60*T24)</f>
        <v>0.0113081137781128</v>
      </c>
      <c r="V16" s="26" t="n">
        <f aca="false">IF(V4&lt;=cfg_N,(V15*(1-V17))-V35,V60*U24)</f>
        <v>0.0115728453328598</v>
      </c>
      <c r="W16" s="26" t="n">
        <f aca="false">IF(W4&lt;=cfg_N,(W15*(1-W17))-W35,W60*V24)</f>
        <v>0.0118440349810064</v>
      </c>
      <c r="X16" s="26" t="n">
        <f aca="false">IF(X4&lt;=cfg_N,(X15*(1-X17))-X35,X60*W24)</f>
        <v>0.0121243533519528</v>
      </c>
      <c r="Y16" s="26" t="n">
        <f aca="false">IF(Y4&lt;=cfg_N,(Y15*(1-Y17))-Y35,Y60*X24)</f>
        <v>0.0124174493835399</v>
      </c>
      <c r="Z16" s="26" t="n">
        <f aca="false">IF(Z4&lt;=cfg_N,(Z15*(1-Z17))-Z35,Z60*Y24)</f>
        <v>0.0127169157571144</v>
      </c>
      <c r="AA16" s="26" t="n">
        <f aca="false">IF(AA4&lt;=cfg_N,(AA15*(1-AA17))-AA35,AA60*Z24)</f>
        <v>0.0130268885009537</v>
      </c>
      <c r="AB16" s="26" t="n">
        <f aca="false">IF(AB4&lt;=cfg_N,(AB15*(1-AB17))-AB35,AB60*AA24)</f>
        <v>0.013351083361976</v>
      </c>
      <c r="AC16" s="26" t="n">
        <f aca="false">IF(AC4&lt;=cfg_N,(AC15*(1-AC17))-AC35,AC60*AB24)</f>
        <v>0.0136892133786972</v>
      </c>
      <c r="AD16" s="26" t="n">
        <f aca="false">IF(AD4&lt;=cfg_N,(AD15*(1-AD17))-AD35,AD60*AC24)</f>
        <v>0.0140346637434439</v>
      </c>
      <c r="AE16" s="26" t="n">
        <f aca="false">IF(AE4&lt;=cfg_N,(AE15*(1-AE17))-AE35,AE60*AD24)</f>
        <v>0.0143921808469529</v>
      </c>
      <c r="AF16" s="26" t="n">
        <f aca="false">IF(AF4&lt;=cfg_N,(AF15*(1-AF17))-AF35,AF60*AE24)</f>
        <v>0.0147649277780677</v>
      </c>
      <c r="AG16" s="26" t="n">
        <f aca="false">IF(AG4&lt;=cfg_N,(AG15*(1-AG17))-AG35,AG60*AF24)</f>
        <v>0.0151533427034011</v>
      </c>
      <c r="AH16" s="26" t="n">
        <f aca="false">IF(AH4&lt;=cfg_N,(AH15*(1-AH17))-AH35,AH60*AG24)</f>
        <v>0.0155509860461238</v>
      </c>
      <c r="AI16" s="26" t="n">
        <f aca="false">IF(AI4&lt;=cfg_N,(AI15*(1-AI17))-AI35,AI60*AH24)</f>
        <v>0.0699240126822175</v>
      </c>
      <c r="AJ16" s="26" t="n">
        <f aca="false">IF(AJ4&lt;=cfg_N,(AJ15*(1-AJ17))-AJ35,AJ60*AI24)</f>
        <v>0.0187102068440171</v>
      </c>
    </row>
    <row r="17" customFormat="false" ht="15" hidden="false" customHeight="true" outlineLevel="0" collapsed="false">
      <c r="A17" s="26" t="s">
        <v>631</v>
      </c>
      <c r="C17" s="44" t="n">
        <f aca="false">IFERROR(INDEX(rep_taxrate,MATCH(C$5,rep_years_is,0)),0)</f>
        <v>0.162045</v>
      </c>
      <c r="D17" s="44" t="n">
        <f aca="false">IFERROR(INDEX(rep_taxrate,MATCH(D$5,rep_years_is,0)),0)</f>
        <v>0.147192</v>
      </c>
      <c r="E17" s="44" t="n">
        <f aca="false">IFERROR(INDEX(rep_taxrate,MATCH(E$5,rep_years_is,0)),0)</f>
        <v>0.240912</v>
      </c>
      <c r="F17" s="44" t="n">
        <f aca="false">IFERROR(INDEX(rep_taxrate,MATCH(F$5,rep_years_is,0)),0)</f>
        <v>0.1561</v>
      </c>
      <c r="G17" s="30" t="n">
        <f aca="false">$F$17</f>
        <v>0.1561</v>
      </c>
      <c r="H17" s="30" t="n">
        <f aca="false">$F$17</f>
        <v>0.1561</v>
      </c>
      <c r="I17" s="30" t="n">
        <f aca="false">$F$17</f>
        <v>0.1561</v>
      </c>
      <c r="J17" s="30" t="n">
        <f aca="false">$F$17</f>
        <v>0.1561</v>
      </c>
      <c r="K17" s="30" t="n">
        <f aca="false">$F$17</f>
        <v>0.1561</v>
      </c>
      <c r="L17" s="30" t="n">
        <f aca="false">$F$17</f>
        <v>0.1561</v>
      </c>
      <c r="M17" s="30" t="n">
        <f aca="false">$F$17</f>
        <v>0.1561</v>
      </c>
      <c r="N17" s="30" t="n">
        <f aca="false">$F$17</f>
        <v>0.1561</v>
      </c>
      <c r="O17" s="30" t="n">
        <f aca="false">$F$17</f>
        <v>0.1561</v>
      </c>
      <c r="P17" s="30" t="n">
        <f aca="false">$F$17</f>
        <v>0.1561</v>
      </c>
      <c r="Q17" s="30" t="n">
        <f aca="false">$F$17</f>
        <v>0.1561</v>
      </c>
      <c r="R17" s="30" t="n">
        <f aca="false">$F$17</f>
        <v>0.1561</v>
      </c>
      <c r="S17" s="30" t="n">
        <f aca="false">$F$17</f>
        <v>0.1561</v>
      </c>
      <c r="T17" s="30" t="n">
        <f aca="false">$F$17</f>
        <v>0.1561</v>
      </c>
      <c r="U17" s="30" t="n">
        <f aca="false">$F$17</f>
        <v>0.1561</v>
      </c>
      <c r="V17" s="30" t="n">
        <f aca="false">$F$17</f>
        <v>0.1561</v>
      </c>
      <c r="W17" s="30" t="n">
        <f aca="false">$F$17</f>
        <v>0.1561</v>
      </c>
      <c r="X17" s="30" t="n">
        <f aca="false">$F$17</f>
        <v>0.1561</v>
      </c>
      <c r="Y17" s="30" t="n">
        <f aca="false">$F$17</f>
        <v>0.1561</v>
      </c>
      <c r="Z17" s="30" t="n">
        <f aca="false">$F$17</f>
        <v>0.1561</v>
      </c>
      <c r="AA17" s="30" t="n">
        <f aca="false">$F$17</f>
        <v>0.1561</v>
      </c>
      <c r="AB17" s="30" t="n">
        <f aca="false">$F$17</f>
        <v>0.1561</v>
      </c>
      <c r="AC17" s="30" t="n">
        <f aca="false">$F$17</f>
        <v>0.1561</v>
      </c>
      <c r="AD17" s="30" t="n">
        <f aca="false">$F$17</f>
        <v>0.1561</v>
      </c>
      <c r="AE17" s="30" t="n">
        <f aca="false">$F$17</f>
        <v>0.1561</v>
      </c>
      <c r="AF17" s="30" t="n">
        <f aca="false">$F$17</f>
        <v>0.1561</v>
      </c>
      <c r="AG17" s="30" t="n">
        <f aca="false">$F$17</f>
        <v>0.1561</v>
      </c>
      <c r="AH17" s="30" t="n">
        <f aca="false">$F$17</f>
        <v>0.1561</v>
      </c>
      <c r="AI17" s="30" t="n">
        <f aca="false">$F$17</f>
        <v>0.1561</v>
      </c>
      <c r="AJ17" s="30" t="n">
        <f aca="false">$F$17</f>
        <v>0.1561</v>
      </c>
    </row>
    <row r="18" customFormat="false" ht="15" hidden="false" customHeight="true" outlineLevel="0" collapsed="false">
      <c r="A18" s="26" t="s">
        <v>632</v>
      </c>
      <c r="C18" s="42" t="n">
        <f aca="false">INDEX(es_ni,MATCH(C$5,es_years,0))*0+INDEX(es_oiat,MATCH(C$5,es_years,0))-INDEX(es_ni,MATCH(C$5,es_years,0))</f>
        <v>0.00281244994565585</v>
      </c>
      <c r="D18" s="42" t="n">
        <f aca="false">INDEX(es_ni,MATCH(D$5,es_years,0))*0+INDEX(es_oiat,MATCH(D$5,es_years,0))-INDEX(es_ni,MATCH(D$5,es_years,0))</f>
        <v>0.00368896166741693</v>
      </c>
      <c r="E18" s="42" t="n">
        <f aca="false">INDEX(es_ni,MATCH(E$5,es_years,0))*0+INDEX(es_oiat,MATCH(E$5,es_years,0))-INDEX(es_ni,MATCH(E$5,es_years,0))</f>
        <v>0</v>
      </c>
      <c r="F18" s="42" t="n">
        <f aca="false">anchor_oi_at0-anchor_ni0</f>
        <v>0</v>
      </c>
      <c r="G18" s="42" t="n">
        <f aca="false">INDEX(finrate_cod,G4)*F25</f>
        <v>0.00116632699433592</v>
      </c>
      <c r="H18" s="42" t="n">
        <f aca="false">INDEX(finrate_cod,H4)*G25</f>
        <v>0.00145626362090641</v>
      </c>
      <c r="I18" s="42" t="n">
        <f aca="false">INDEX(finrate_cod,I4)*H25</f>
        <v>0.00166302103736428</v>
      </c>
      <c r="J18" s="42" t="n">
        <f aca="false">INDEX(finrate_cod,J4)*I25</f>
        <v>0.00181004563814546</v>
      </c>
      <c r="K18" s="42" t="n">
        <f aca="false">INDEX(finrate_cod,K4)*J25</f>
        <v>0.00191402054787004</v>
      </c>
      <c r="L18" s="42" t="n">
        <f aca="false">INDEX(finrate_cod,L4)*K25</f>
        <v>0.00198827995321608</v>
      </c>
      <c r="M18" s="42" t="n">
        <f aca="false">INDEX(finrate_cod,M4)*L25</f>
        <v>0.00204218044205419</v>
      </c>
      <c r="N18" s="42" t="n">
        <f aca="false">INDEX(finrate_cod,N4)*M25</f>
        <v>0.00208182808843303</v>
      </c>
      <c r="O18" s="42" t="n">
        <f aca="false">INDEX(finrate_cod,O4)*N25</f>
        <v>0.00211353098828205</v>
      </c>
      <c r="P18" s="42" t="n">
        <f aca="false">INDEX(finrate_cod,P4)*O25</f>
        <v>0.00213938461345596</v>
      </c>
      <c r="Q18" s="42" t="n">
        <f aca="false">INDEX(finrate_cod,Q4)*P25</f>
        <v>0.00216295937774125</v>
      </c>
      <c r="R18" s="42" t="n">
        <f aca="false">INDEX(finrate_cod,R4)*Q25</f>
        <v>0.00218566411893304</v>
      </c>
      <c r="S18" s="42" t="n">
        <f aca="false">INDEX(finrate_cod,S4)*R25</f>
        <v>0.00220913406310754</v>
      </c>
      <c r="T18" s="26" t="n">
        <f aca="false">INDEX(finrate_cod,T4)*S25</f>
        <v>0.00223624819952376</v>
      </c>
      <c r="U18" s="26" t="n">
        <f aca="false">INDEX(finrate_cod,U4)*T25</f>
        <v>0.00226462649266592</v>
      </c>
      <c r="V18" s="26" t="n">
        <f aca="false">INDEX(finrate_cod,V4)*U25</f>
        <v>0.00229644288238557</v>
      </c>
      <c r="W18" s="26" t="n">
        <f aca="false">INDEX(finrate_cod,W4)*V25</f>
        <v>0.00233103943855708</v>
      </c>
      <c r="X18" s="26" t="n">
        <f aca="false">INDEX(finrate_cod,X4)*W25</f>
        <v>0.00237336568750959</v>
      </c>
      <c r="Y18" s="26" t="n">
        <f aca="false">INDEX(finrate_cod,Y4)*X25</f>
        <v>0.00241729561272132</v>
      </c>
      <c r="Z18" s="26" t="n">
        <f aca="false">INDEX(finrate_cod,Z4)*Y25</f>
        <v>0.00246714246755558</v>
      </c>
      <c r="AA18" s="26" t="n">
        <f aca="false">INDEX(finrate_cod,AA4)*Z25</f>
        <v>0.00252034120026911</v>
      </c>
      <c r="AB18" s="26" t="n">
        <f aca="false">INDEX(finrate_cod,AB4)*AA25</f>
        <v>0.00258194099804053</v>
      </c>
      <c r="AC18" s="26" t="n">
        <f aca="false">INDEX(finrate_cod,AC4)*AB25</f>
        <v>0.00264659980417055</v>
      </c>
      <c r="AD18" s="26" t="n">
        <f aca="false">INDEX(finrate_cod,AD4)*AC25</f>
        <v>0.00271702087248635</v>
      </c>
      <c r="AE18" s="26" t="n">
        <f aca="false">INDEX(finrate_cod,AE4)*AD25</f>
        <v>0.00279399109906163</v>
      </c>
      <c r="AF18" s="26" t="n">
        <f aca="false">INDEX(finrate_cod,AF4)*AE25</f>
        <v>0.00287545546445065</v>
      </c>
      <c r="AG18" s="26" t="n">
        <f aca="false">INDEX(finrate_cod,AG4)*AF25</f>
        <v>0.00296474017099905</v>
      </c>
      <c r="AH18" s="26" t="n">
        <f aca="false">INDEX(finrate_cod,AH4)*AG25</f>
        <v>0.0030595090979827</v>
      </c>
      <c r="AI18" s="26" t="n">
        <f aca="false">INDEX(finrate_cod,AI4)*AH25</f>
        <v>0.0571206529922879</v>
      </c>
      <c r="AJ18" s="26" t="n">
        <f aca="false">INDEX(finrate_cod,AJ4)*AI25</f>
        <v>0.00558490154466279</v>
      </c>
    </row>
    <row r="19" customFormat="false" ht="15" hidden="false" customHeight="true" outlineLevel="0" collapsed="false">
      <c r="A19" s="26" t="s">
        <v>633</v>
      </c>
      <c r="C19" s="42" t="n">
        <f aca="false">INDEX(es_ni,MATCH(C$5,es_years,0))</f>
        <v>0.111347029662309</v>
      </c>
      <c r="D19" s="42" t="n">
        <f aca="false">INDEX(es_ni,MATCH(D$5,es_years,0))</f>
        <v>0.102917905143242</v>
      </c>
      <c r="E19" s="42" t="n">
        <f aca="false">INDEX(es_ni,MATCH(E$5,es_years,0))</f>
        <v>0.0988879685618165</v>
      </c>
      <c r="F19" s="42" t="n">
        <f aca="false">anchor_ni0</f>
        <v>0.115710470488936</v>
      </c>
      <c r="G19" s="42" t="n">
        <f aca="false">G16-G18</f>
        <v>0.118256624216436</v>
      </c>
      <c r="H19" s="42" t="n">
        <f aca="false">H16-H18</f>
        <v>0.12172787257755</v>
      </c>
      <c r="I19" s="42" t="n">
        <f aca="false">I16-I18</f>
        <v>0.125367034383302</v>
      </c>
      <c r="J19" s="42" t="n">
        <f aca="false">J16-J18</f>
        <v>0.12914386078948</v>
      </c>
      <c r="K19" s="42" t="n">
        <f aca="false">K16-K18</f>
        <v>0.00659705331691815</v>
      </c>
      <c r="L19" s="42" t="n">
        <f aca="false">L16-L18</f>
        <v>0.00690784400861886</v>
      </c>
      <c r="M19" s="42" t="n">
        <f aca="false">M16-M18</f>
        <v>0.00718656333184181</v>
      </c>
      <c r="N19" s="42" t="n">
        <f aca="false">N16-N18</f>
        <v>0.00744311246718197</v>
      </c>
      <c r="O19" s="42" t="n">
        <f aca="false">O16-O18</f>
        <v>0.00768365915955932</v>
      </c>
      <c r="P19" s="42" t="n">
        <f aca="false">P16-P18</f>
        <v>0.00791566757837571</v>
      </c>
      <c r="Q19" s="42" t="n">
        <f aca="false">Q16-Q18</f>
        <v>0.00814183343083086</v>
      </c>
      <c r="R19" s="42" t="n">
        <f aca="false">R16-R18</f>
        <v>0.00836675084799838</v>
      </c>
      <c r="S19" s="42" t="n">
        <f aca="false">S16-S18</f>
        <v>0.00859038965944721</v>
      </c>
      <c r="T19" s="26" t="n">
        <f aca="false">T16-T18</f>
        <v>0.00881669931669217</v>
      </c>
      <c r="U19" s="26" t="n">
        <f aca="false">U16-U18</f>
        <v>0.00904348728544685</v>
      </c>
      <c r="V19" s="26" t="n">
        <f aca="false">V16-V18</f>
        <v>0.00927640245047425</v>
      </c>
      <c r="W19" s="26" t="n">
        <f aca="false">W16-W18</f>
        <v>0.00951299554244931</v>
      </c>
      <c r="X19" s="26" t="n">
        <f aca="false">X16-X18</f>
        <v>0.00975098766444325</v>
      </c>
      <c r="Y19" s="26" t="n">
        <f aca="false">Y16-Y18</f>
        <v>0.0100001537708186</v>
      </c>
      <c r="Z19" s="26" t="n">
        <f aca="false">Z16-Z18</f>
        <v>0.0102497732895588</v>
      </c>
      <c r="AA19" s="26" t="n">
        <f aca="false">AA16-AA18</f>
        <v>0.0105065473006846</v>
      </c>
      <c r="AB19" s="26" t="n">
        <f aca="false">AB16-AB18</f>
        <v>0.0107691423639355</v>
      </c>
      <c r="AC19" s="26" t="n">
        <f aca="false">AC16-AC18</f>
        <v>0.0110426135745266</v>
      </c>
      <c r="AD19" s="26" t="n">
        <f aca="false">AD16-AD18</f>
        <v>0.0113176428709575</v>
      </c>
      <c r="AE19" s="26" t="n">
        <f aca="false">AE16-AE18</f>
        <v>0.0115981897478912</v>
      </c>
      <c r="AF19" s="26" t="n">
        <f aca="false">AF16-AF18</f>
        <v>0.0118894723136171</v>
      </c>
      <c r="AG19" s="26" t="n">
        <f aca="false">AG16-AG18</f>
        <v>0.012188602532402</v>
      </c>
      <c r="AH19" s="26" t="n">
        <f aca="false">AH16-AH18</f>
        <v>0.0124914769481411</v>
      </c>
      <c r="AI19" s="26" t="n">
        <f aca="false">AI16-AI18</f>
        <v>0.0128033596899296</v>
      </c>
      <c r="AJ19" s="26" t="n">
        <f aca="false">AJ16-AJ18</f>
        <v>0.0131253052993543</v>
      </c>
    </row>
    <row r="20" customFormat="false" ht="15" hidden="false" customHeight="true" outlineLevel="0" collapsed="false">
      <c r="A20" s="26" t="s">
        <v>634</v>
      </c>
      <c r="C20" s="43" t="n">
        <f aca="false">anchor_shares0</f>
        <v>0.015005</v>
      </c>
      <c r="D20" s="43" t="n">
        <f aca="false">anchor_shares0</f>
        <v>0.015005</v>
      </c>
      <c r="E20" s="43" t="n">
        <f aca="false">anchor_shares0</f>
        <v>0.015005</v>
      </c>
      <c r="F20" s="43" t="n">
        <f aca="false">anchor_shares0</f>
        <v>0.015005</v>
      </c>
      <c r="G20" s="43" t="n">
        <f aca="false">IF(cfg_mode="Enterprise",F20*(1-G21),F20)</f>
        <v>0.01455485</v>
      </c>
      <c r="H20" s="43" t="n">
        <f aca="false">IF(cfg_mode="Enterprise",G20*(1-H21),G20)</f>
        <v>0.0141182045</v>
      </c>
      <c r="I20" s="43" t="n">
        <f aca="false">IF(cfg_mode="Enterprise",H20*(1-I21),H20)</f>
        <v>0.013694658365</v>
      </c>
      <c r="J20" s="43" t="n">
        <f aca="false">IF(cfg_mode="Enterprise",I20*(1-J21),I20)</f>
        <v>0.01328381861405</v>
      </c>
      <c r="K20" s="43" t="n">
        <f aca="false">IF(cfg_mode="Enterprise",J20*(1-K21),J20)</f>
        <v>0.0128853040556285</v>
      </c>
      <c r="L20" s="43" t="n">
        <f aca="false">IF(cfg_mode="Enterprise",K20*(1-L21),K20)</f>
        <v>0.0124987449339596</v>
      </c>
      <c r="M20" s="43" t="n">
        <f aca="false">IF(cfg_mode="Enterprise",L20*(1-M21),L20)</f>
        <v>0.0121237825859409</v>
      </c>
      <c r="N20" s="43" t="n">
        <f aca="false">IF(cfg_mode="Enterprise",M20*(1-N21),M20)</f>
        <v>0.0117600691083626</v>
      </c>
      <c r="O20" s="43" t="n">
        <f aca="false">IF(cfg_mode="Enterprise",N20*(1-O21),N20)</f>
        <v>0.0114072670351117</v>
      </c>
      <c r="P20" s="43" t="n">
        <f aca="false">IF(cfg_mode="Enterprise",O20*(1-P21),O20)</f>
        <v>0.0110650490240584</v>
      </c>
      <c r="Q20" s="43" t="n">
        <f aca="false">IF(cfg_mode="Enterprise",P20*(1-Q21),P20)</f>
        <v>0.0107330975533366</v>
      </c>
      <c r="R20" s="43" t="n">
        <f aca="false">IF(cfg_mode="Enterprise",Q20*(1-R21),Q20)</f>
        <v>0.0104111046267365</v>
      </c>
      <c r="S20" s="43" t="n">
        <f aca="false">IF(cfg_mode="Enterprise",R20*(1-S21),R20)</f>
        <v>0.0100987714879344</v>
      </c>
      <c r="T20" s="43" t="n">
        <f aca="false">IF(cfg_mode="Enterprise",S20*(1-T21),S20)</f>
        <v>0.00979580834329641</v>
      </c>
      <c r="U20" s="43" t="n">
        <f aca="false">IF(cfg_mode="Enterprise",T20*(1-U21),T20)</f>
        <v>0.00950193409299752</v>
      </c>
      <c r="V20" s="43" t="n">
        <f aca="false">IF(cfg_mode="Enterprise",U20*(1-V21),U20)</f>
        <v>0.0092168760702076</v>
      </c>
      <c r="W20" s="43" t="n">
        <f aca="false">IF(cfg_mode="Enterprise",V20*(1-W21),V20)</f>
        <v>0.00894036978810137</v>
      </c>
      <c r="X20" s="43" t="n">
        <f aca="false">IF(cfg_mode="Enterprise",W20*(1-X21),W20)</f>
        <v>0.00867215869445833</v>
      </c>
      <c r="Y20" s="43" t="n">
        <f aca="false">IF(cfg_mode="Enterprise",X20*(1-Y21),X20)</f>
        <v>0.00841199393362458</v>
      </c>
      <c r="Z20" s="43" t="n">
        <f aca="false">IF(cfg_mode="Enterprise",Y20*(1-Z21),Y20)</f>
        <v>0.00815963411561584</v>
      </c>
      <c r="AA20" s="43" t="n">
        <f aca="false">IF(cfg_mode="Enterprise",Z20*(1-AA21),Z20)</f>
        <v>0.00791484509214736</v>
      </c>
      <c r="AB20" s="43" t="n">
        <f aca="false">IF(cfg_mode="Enterprise",AA20*(1-AB21),AA20)</f>
        <v>0.00767739973938294</v>
      </c>
      <c r="AC20" s="43" t="n">
        <f aca="false">IF(cfg_mode="Enterprise",AB20*(1-AC21),AB20)</f>
        <v>0.00744707774720145</v>
      </c>
      <c r="AD20" s="43" t="n">
        <f aca="false">IF(cfg_mode="Enterprise",AC20*(1-AD21),AC20)</f>
        <v>0.00722366541478541</v>
      </c>
      <c r="AE20" s="43" t="n">
        <f aca="false">IF(cfg_mode="Enterprise",AD20*(1-AE21),AD20)</f>
        <v>0.00700695545234185</v>
      </c>
      <c r="AF20" s="43" t="n">
        <f aca="false">IF(cfg_mode="Enterprise",AE20*(1-AF21),AE20)</f>
        <v>0.00679674678877159</v>
      </c>
      <c r="AG20" s="43" t="n">
        <f aca="false">IF(cfg_mode="Enterprise",AF20*(1-AG21),AF20)</f>
        <v>0.00659284438510844</v>
      </c>
      <c r="AH20" s="43" t="n">
        <f aca="false">IF(cfg_mode="Enterprise",AG20*(1-AH21),AG20)</f>
        <v>0.00639505905355519</v>
      </c>
      <c r="AI20" s="43" t="n">
        <f aca="false">IF(cfg_mode="Enterprise",AH20*(1-AI21),AH20)</f>
        <v>0.00620320728194853</v>
      </c>
      <c r="AJ20" s="43" t="n">
        <f aca="false">IF(cfg_mode="Enterprise",AI20*(1-AJ21),AI20)</f>
        <v>0.00601711106349008</v>
      </c>
    </row>
    <row r="21" customFormat="false" ht="15" hidden="false" customHeight="true" outlineLevel="0" collapsed="false">
      <c r="A21" s="26" t="s">
        <v>635</v>
      </c>
      <c r="G21" s="30" t="n">
        <f aca="false">INDEX(scen_buyback,MATCH(cfg_scenario,scen_cols,0))</f>
        <v>0.03</v>
      </c>
      <c r="H21" s="30" t="n">
        <f aca="false">INDEX(scen_buyback,MATCH(cfg_scenario,scen_cols,0))</f>
        <v>0.03</v>
      </c>
      <c r="I21" s="30" t="n">
        <f aca="false">INDEX(scen_buyback,MATCH(cfg_scenario,scen_cols,0))</f>
        <v>0.03</v>
      </c>
      <c r="J21" s="30" t="n">
        <f aca="false">INDEX(scen_buyback,MATCH(cfg_scenario,scen_cols,0))</f>
        <v>0.03</v>
      </c>
      <c r="K21" s="30" t="n">
        <f aca="false">INDEX(scen_buyback,MATCH(cfg_scenario,scen_cols,0))</f>
        <v>0.03</v>
      </c>
      <c r="L21" s="30" t="n">
        <f aca="false">INDEX(scen_buyback,MATCH(cfg_scenario,scen_cols,0))</f>
        <v>0.03</v>
      </c>
      <c r="M21" s="30" t="n">
        <f aca="false">INDEX(scen_buyback,MATCH(cfg_scenario,scen_cols,0))</f>
        <v>0.03</v>
      </c>
      <c r="N21" s="30" t="n">
        <f aca="false">INDEX(scen_buyback,MATCH(cfg_scenario,scen_cols,0))</f>
        <v>0.03</v>
      </c>
      <c r="O21" s="30" t="n">
        <f aca="false">INDEX(scen_buyback,MATCH(cfg_scenario,scen_cols,0))</f>
        <v>0.03</v>
      </c>
      <c r="P21" s="30" t="n">
        <f aca="false">INDEX(scen_buyback,MATCH(cfg_scenario,scen_cols,0))</f>
        <v>0.03</v>
      </c>
      <c r="Q21" s="30" t="n">
        <f aca="false">INDEX(scen_buyback,MATCH(cfg_scenario,scen_cols,0))</f>
        <v>0.03</v>
      </c>
      <c r="R21" s="30" t="n">
        <f aca="false">INDEX(scen_buyback,MATCH(cfg_scenario,scen_cols,0))</f>
        <v>0.03</v>
      </c>
      <c r="S21" s="30" t="n">
        <f aca="false">INDEX(scen_buyback,MATCH(cfg_scenario,scen_cols,0))</f>
        <v>0.03</v>
      </c>
      <c r="T21" s="30" t="n">
        <f aca="false">INDEX(scen_buyback,MATCH(cfg_scenario,scen_cols,0))</f>
        <v>0.03</v>
      </c>
      <c r="U21" s="30" t="n">
        <f aca="false">INDEX(scen_buyback,MATCH(cfg_scenario,scen_cols,0))</f>
        <v>0.03</v>
      </c>
      <c r="V21" s="30" t="n">
        <f aca="false">INDEX(scen_buyback,MATCH(cfg_scenario,scen_cols,0))</f>
        <v>0.03</v>
      </c>
      <c r="W21" s="30" t="n">
        <f aca="false">INDEX(scen_buyback,MATCH(cfg_scenario,scen_cols,0))</f>
        <v>0.03</v>
      </c>
      <c r="X21" s="30" t="n">
        <f aca="false">INDEX(scen_buyback,MATCH(cfg_scenario,scen_cols,0))</f>
        <v>0.03</v>
      </c>
      <c r="Y21" s="30" t="n">
        <f aca="false">INDEX(scen_buyback,MATCH(cfg_scenario,scen_cols,0))</f>
        <v>0.03</v>
      </c>
      <c r="Z21" s="30" t="n">
        <f aca="false">INDEX(scen_buyback,MATCH(cfg_scenario,scen_cols,0))</f>
        <v>0.03</v>
      </c>
      <c r="AA21" s="30" t="n">
        <f aca="false">INDEX(scen_buyback,MATCH(cfg_scenario,scen_cols,0))</f>
        <v>0.03</v>
      </c>
      <c r="AB21" s="30" t="n">
        <f aca="false">INDEX(scen_buyback,MATCH(cfg_scenario,scen_cols,0))</f>
        <v>0.03</v>
      </c>
      <c r="AC21" s="30" t="n">
        <f aca="false">INDEX(scen_buyback,MATCH(cfg_scenario,scen_cols,0))</f>
        <v>0.03</v>
      </c>
      <c r="AD21" s="30" t="n">
        <f aca="false">INDEX(scen_buyback,MATCH(cfg_scenario,scen_cols,0))</f>
        <v>0.03</v>
      </c>
      <c r="AE21" s="30" t="n">
        <f aca="false">INDEX(scen_buyback,MATCH(cfg_scenario,scen_cols,0))</f>
        <v>0.03</v>
      </c>
      <c r="AF21" s="30" t="n">
        <f aca="false">INDEX(scen_buyback,MATCH(cfg_scenario,scen_cols,0))</f>
        <v>0.03</v>
      </c>
      <c r="AG21" s="30" t="n">
        <f aca="false">INDEX(scen_buyback,MATCH(cfg_scenario,scen_cols,0))</f>
        <v>0.03</v>
      </c>
      <c r="AH21" s="30" t="n">
        <f aca="false">INDEX(scen_buyback,MATCH(cfg_scenario,scen_cols,0))</f>
        <v>0.03</v>
      </c>
      <c r="AI21" s="30" t="n">
        <f aca="false">INDEX(scen_buyback,MATCH(cfg_scenario,scen_cols,0))</f>
        <v>0.03</v>
      </c>
      <c r="AJ21" s="30" t="n">
        <f aca="false">INDEX(scen_buyback,MATCH(cfg_scenario,scen_cols,0))</f>
        <v>0.03</v>
      </c>
    </row>
    <row r="22" customFormat="false" ht="15" hidden="false" customHeight="true" outlineLevel="0" collapsed="false">
      <c r="A22" s="26" t="s">
        <v>636</v>
      </c>
      <c r="C22" s="42" t="n">
        <f aca="false">INDEX(es_ppe,MATCH(C$5,es_years,0))</f>
        <v>0.0706448344505657</v>
      </c>
      <c r="D22" s="42" t="n">
        <f aca="false">INDEX(es_ppe,MATCH(D$5,es_years,0))</f>
        <v>0.0697441970906348</v>
      </c>
      <c r="E22" s="42" t="n">
        <f aca="false">INDEX(es_ppe,MATCH(E$5,es_years,0))</f>
        <v>0.0669653657510156</v>
      </c>
      <c r="F22" s="42" t="n">
        <f aca="false">anchor_real_net_ppe</f>
        <v>0.0674578731365555</v>
      </c>
      <c r="G22" s="42" t="n">
        <f aca="false">F22+G23-G13</f>
        <v>0.068266035624863</v>
      </c>
      <c r="H22" s="42" t="n">
        <f aca="false">G22+H23-H13</f>
        <v>0.0693396252273072</v>
      </c>
      <c r="I22" s="42" t="n">
        <f aca="false">H22+I23-I13</f>
        <v>0.0706387517374855</v>
      </c>
      <c r="J22" s="42" t="n">
        <f aca="false">I22+J23-J13</f>
        <v>0.0721318227707225</v>
      </c>
      <c r="K22" s="42" t="n">
        <f aca="false">J22+K23-K13</f>
        <v>0.0737939088874031</v>
      </c>
      <c r="L22" s="42" t="n">
        <f aca="false">K22+L23-L13</f>
        <v>0.0756054334374123</v>
      </c>
      <c r="M22" s="42" t="n">
        <f aca="false">L22+M23-M13</f>
        <v>0.0775511227080443</v>
      </c>
      <c r="N22" s="42" t="n">
        <f aca="false">M22+N23-N13</f>
        <v>0.0796191647391714</v>
      </c>
      <c r="O22" s="42" t="n">
        <f aca="false">N22+O23-O13</f>
        <v>0.0818005354149313</v>
      </c>
      <c r="P22" s="42" t="n">
        <f aca="false">O22+P23-P13</f>
        <v>0.0840884586538716</v>
      </c>
      <c r="Q22" s="42" t="n">
        <f aca="false">P22+Q23-Q13</f>
        <v>0.0864779741026893</v>
      </c>
      <c r="R22" s="42" t="n">
        <f aca="false">Q22+R23-R13</f>
        <v>0.0889655910157512</v>
      </c>
      <c r="S22" s="42" t="n">
        <f aca="false">R22+S23-S13</f>
        <v>0.0915490112326086</v>
      </c>
      <c r="T22" s="26" t="n">
        <f aca="false">S22+T23-T13</f>
        <v>0.0942269075564827</v>
      </c>
      <c r="U22" s="26" t="n">
        <f aca="false">T22+U23-U13</f>
        <v>0.0969987465547097</v>
      </c>
      <c r="V22" s="26" t="n">
        <f aca="false">U22+V23-V13</f>
        <v>0.0998646469808746</v>
      </c>
      <c r="W22" s="26" t="n">
        <f aca="false">V22+W23-W13</f>
        <v>0.10282526676483</v>
      </c>
      <c r="X22" s="26" t="n">
        <f aca="false">W22+X23-X13</f>
        <v>0.105881712916764</v>
      </c>
      <c r="Y22" s="26" t="n">
        <f aca="false">X22+Y23-Y13</f>
        <v>0.109035469813682</v>
      </c>
      <c r="Z22" s="26" t="n">
        <f aca="false">Y22+Z23-Z13</f>
        <v>0.112288342236249</v>
      </c>
      <c r="AA22" s="26" t="n">
        <f aca="false">Z22+AA23-AA13</f>
        <v>0.115642410245002</v>
      </c>
      <c r="AB22" s="26" t="n">
        <f aca="false">AA22+AB23-AB13</f>
        <v>0.119099993563019</v>
      </c>
      <c r="AC22" s="26" t="n">
        <f aca="false">AB22+AC23-AC13</f>
        <v>0.122663623595455</v>
      </c>
      <c r="AD22" s="26" t="n">
        <f aca="false">AC22+AD23-AD13</f>
        <v>0.126336021587822</v>
      </c>
      <c r="AE22" s="26" t="n">
        <f aca="false">AD22+AE23-AE13</f>
        <v>0.130120081722632</v>
      </c>
      <c r="AF22" s="26" t="n">
        <f aca="false">AE22+AF23-AF13</f>
        <v>0.134018858192725</v>
      </c>
      <c r="AG22" s="26" t="n">
        <f aca="false">AF22+AG23-AG13</f>
        <v>0.138035555480963</v>
      </c>
      <c r="AH22" s="26" t="n">
        <f aca="false">AG22+AH23-AH13</f>
        <v>0.142173521229337</v>
      </c>
      <c r="AI22" s="26" t="n">
        <f aca="false">AH22+AI23-AI13</f>
        <v>0.146436241203582</v>
      </c>
      <c r="AJ22" s="26" t="n">
        <f aca="false">AI22+AJ23-AJ13</f>
        <v>0.150827335957911</v>
      </c>
    </row>
    <row r="23" customFormat="false" ht="15" hidden="false" customHeight="true" outlineLevel="0" collapsed="false">
      <c r="A23" s="26" t="s">
        <v>637</v>
      </c>
      <c r="G23" s="42" t="n">
        <f aca="false">G36*G7</f>
        <v>0.0141924935549132</v>
      </c>
      <c r="H23" s="42" t="n">
        <f aca="false">H36*H7</f>
        <v>0.0146182683615606</v>
      </c>
      <c r="I23" s="42" t="n">
        <f aca="false">I36*I7</f>
        <v>0.0150568164124074</v>
      </c>
      <c r="J23" s="42" t="n">
        <f aca="false">J36*J7</f>
        <v>0.0155085209047796</v>
      </c>
      <c r="K23" s="42" t="n">
        <f aca="false">K36*K7</f>
        <v>0.015973776531923</v>
      </c>
      <c r="L23" s="42" t="n">
        <f aca="false">L36*L7</f>
        <v>0.0164529898278807</v>
      </c>
      <c r="M23" s="42" t="n">
        <f aca="false">M36*M7</f>
        <v>0.0169465795227171</v>
      </c>
      <c r="N23" s="42" t="n">
        <f aca="false">N36*N7</f>
        <v>0.0174549769083986</v>
      </c>
      <c r="O23" s="42" t="n">
        <f aca="false">O36*O7</f>
        <v>0.0179786262156506</v>
      </c>
      <c r="P23" s="42" t="n">
        <f aca="false">P36*P7</f>
        <v>0.0185179850021201</v>
      </c>
      <c r="Q23" s="42" t="n">
        <f aca="false">Q36*Q7</f>
        <v>0.0190735245521837</v>
      </c>
      <c r="R23" s="42" t="n">
        <f aca="false">R36*R7</f>
        <v>0.0196457302887492</v>
      </c>
      <c r="S23" s="42" t="n">
        <f aca="false">S36*S7</f>
        <v>0.0202351021974117</v>
      </c>
      <c r="T23" s="26" t="n">
        <f aca="false">T36*T7</f>
        <v>0.0208421552633341</v>
      </c>
      <c r="U23" s="26" t="n">
        <f aca="false">U36*U7</f>
        <v>0.0214674199212341</v>
      </c>
      <c r="V23" s="26" t="n">
        <f aca="false">V36*V7</f>
        <v>0.0221114425188711</v>
      </c>
      <c r="W23" s="26" t="n">
        <f aca="false">W36*W7</f>
        <v>0.0227747857944372</v>
      </c>
      <c r="X23" s="26" t="n">
        <f aca="false">X36*X7</f>
        <v>0.0234580293682703</v>
      </c>
      <c r="Y23" s="26" t="n">
        <f aca="false">Y36*Y7</f>
        <v>0.0241617702493185</v>
      </c>
      <c r="Z23" s="26" t="n">
        <f aca="false">Z36*Z7</f>
        <v>0.024886623356798</v>
      </c>
      <c r="AA23" s="26" t="n">
        <f aca="false">AA36*AA7</f>
        <v>0.025633222057502</v>
      </c>
      <c r="AB23" s="26" t="n">
        <f aca="false">AB36*AB7</f>
        <v>0.026402218719227</v>
      </c>
      <c r="AC23" s="26" t="n">
        <f aca="false">AC36*AC7</f>
        <v>0.0271942852808038</v>
      </c>
      <c r="AD23" s="26" t="n">
        <f aca="false">AD36*AD7</f>
        <v>0.0280101138392279</v>
      </c>
      <c r="AE23" s="26" t="n">
        <f aca="false">AE36*AE7</f>
        <v>0.0288504172544048</v>
      </c>
      <c r="AF23" s="26" t="n">
        <f aca="false">AF36*AF7</f>
        <v>0.0297159297720369</v>
      </c>
      <c r="AG23" s="26" t="n">
        <f aca="false">AG36*AG7</f>
        <v>0.030607407665198</v>
      </c>
      <c r="AH23" s="26" t="n">
        <f aca="false">AH36*AH7</f>
        <v>0.031525629895154</v>
      </c>
      <c r="AI23" s="26" t="n">
        <f aca="false">AI36*AI7</f>
        <v>0.0324713987920086</v>
      </c>
      <c r="AJ23" s="26" t="n">
        <f aca="false">AJ36*AJ7</f>
        <v>0.0334455407557689</v>
      </c>
    </row>
    <row r="24" customFormat="false" ht="15" hidden="false" customHeight="true" outlineLevel="0" collapsed="false">
      <c r="A24" s="26" t="s">
        <v>638</v>
      </c>
      <c r="C24" s="42" t="n">
        <f aca="false">INDEX(es_noa,MATCH(C$5,es_years,0))</f>
        <v>0.163550129887172</v>
      </c>
      <c r="D24" s="42" t="n">
        <f aca="false">INDEX(es_noa,MATCH(D$5,es_years,0))</f>
        <v>0.145438384293213</v>
      </c>
      <c r="E24" s="42" t="n">
        <f aca="false">INDEX(es_noa,MATCH(E$5,es_years,0))</f>
        <v>0.136575535167221</v>
      </c>
      <c r="F24" s="42" t="n">
        <f aca="false">anchor_real_noa0</f>
        <v>0.152376629615187</v>
      </c>
      <c r="G24" s="42" t="n">
        <f aca="false">IF(cfg_mode="Enterprise",F24*(1+G50),G27+G25)</f>
        <v>0.156186045355567</v>
      </c>
      <c r="H24" s="42" t="n">
        <f aca="false">IF(cfg_mode="Enterprise",G24*(1+H50),H27+H25)</f>
        <v>0.160090696489456</v>
      </c>
      <c r="I24" s="42" t="n">
        <f aca="false">IF(cfg_mode="Enterprise",H24*(1+I50),I27+I25)</f>
        <v>0.164092963901692</v>
      </c>
      <c r="J24" s="42" t="n">
        <f aca="false">IF(cfg_mode="Enterprise",I24*(1+J50),J27+J25)</f>
        <v>0.168195287999234</v>
      </c>
      <c r="K24" s="42" t="n">
        <f aca="false">IF(cfg_mode="Enterprise",J24*(1+K50),K27+K25)</f>
        <v>0.172400170199215</v>
      </c>
      <c r="L24" s="42" t="n">
        <f aca="false">IF(cfg_mode="Enterprise",K24*(1+L50),L27+L25)</f>
        <v>0.176710174454196</v>
      </c>
      <c r="M24" s="42" t="n">
        <f aca="false">IF(cfg_mode="Enterprise",L24*(1+M50),M27+M25)</f>
        <v>0.18112792881555</v>
      </c>
      <c r="N24" s="42" t="n">
        <f aca="false">IF(cfg_mode="Enterprise",M24*(1+N50),N27+N25)</f>
        <v>0.185656127035939</v>
      </c>
      <c r="O24" s="42" t="n">
        <f aca="false">IF(cfg_mode="Enterprise",N24*(1+O50),O27+O25)</f>
        <v>0.190297530211838</v>
      </c>
      <c r="P24" s="42" t="n">
        <f aca="false">IF(cfg_mode="Enterprise",O24*(1+P50),P27+P25)</f>
        <v>0.195054968467134</v>
      </c>
      <c r="Q24" s="42" t="n">
        <f aca="false">IF(cfg_mode="Enterprise",P24*(1+Q50),Q27+Q25)</f>
        <v>0.199931342678812</v>
      </c>
      <c r="R24" s="42" t="n">
        <f aca="false">IF(cfg_mode="Enterprise",Q24*(1+R50),R27+R25)</f>
        <v>0.204929626245782</v>
      </c>
      <c r="S24" s="42" t="n">
        <f aca="false">IF(cfg_mode="Enterprise",R24*(1+S50),S27+S25)</f>
        <v>0.210052866901927</v>
      </c>
      <c r="T24" s="26" t="n">
        <f aca="false">IF(cfg_mode="Enterprise",S24*(1+T50),T27+T25)</f>
        <v>0.215304188574475</v>
      </c>
      <c r="U24" s="26" t="n">
        <f aca="false">IF(cfg_mode="Enterprise",T24*(1+U50),U27+U25)</f>
        <v>0.220686793288837</v>
      </c>
      <c r="V24" s="26" t="n">
        <f aca="false">IF(cfg_mode="Enterprise",U24*(1+V50),V27+V25)</f>
        <v>0.226203963121058</v>
      </c>
      <c r="W24" s="26" t="n">
        <f aca="false">IF(cfg_mode="Enterprise",V24*(1+W50),W27+W25)</f>
        <v>0.231859062199084</v>
      </c>
      <c r="X24" s="26" t="n">
        <f aca="false">IF(cfg_mode="Enterprise",W24*(1+X50),X27+X25)</f>
        <v>0.237655538754061</v>
      </c>
      <c r="Y24" s="26" t="n">
        <f aca="false">IF(cfg_mode="Enterprise",X24*(1+Y50),Y27+Y25)</f>
        <v>0.243596927222913</v>
      </c>
      <c r="Z24" s="26" t="n">
        <f aca="false">IF(cfg_mode="Enterprise",Y24*(1+Z50),Z27+Z25)</f>
        <v>0.249686850403485</v>
      </c>
      <c r="AA24" s="26" t="n">
        <f aca="false">IF(cfg_mode="Enterprise",Z24*(1+AA50),AA27+AA25)</f>
        <v>0.255929021663573</v>
      </c>
      <c r="AB24" s="26" t="n">
        <f aca="false">IF(cfg_mode="Enterprise",AA24*(1+AB50),AB27+AB25)</f>
        <v>0.262327247205162</v>
      </c>
      <c r="AC24" s="26" t="n">
        <f aca="false">IF(cfg_mode="Enterprise",AB24*(1+AC50),AC27+AC25)</f>
        <v>0.268885428385291</v>
      </c>
      <c r="AD24" s="26" t="n">
        <f aca="false">IF(cfg_mode="Enterprise",AC24*(1+AD50),AD27+AD25)</f>
        <v>0.275607564094923</v>
      </c>
      <c r="AE24" s="26" t="n">
        <f aca="false">IF(cfg_mode="Enterprise",AD24*(1+AE50),AE27+AE25)</f>
        <v>0.282497753197296</v>
      </c>
      <c r="AF24" s="26" t="n">
        <f aca="false">IF(cfg_mode="Enterprise",AE24*(1+AF50),AF27+AF25)</f>
        <v>0.289560197027229</v>
      </c>
      <c r="AG24" s="26" t="n">
        <f aca="false">IF(cfg_mode="Enterprise",AF24*(1+AG50),AG27+AG25)</f>
        <v>0.296799201952909</v>
      </c>
      <c r="AH24" s="26" t="n">
        <f aca="false">IF(cfg_mode="Enterprise",AG24*(1+AH50),AH27+AH25)</f>
        <v>0.304219182001732</v>
      </c>
      <c r="AI24" s="26" t="n">
        <f aca="false">IF(cfg_mode="Enterprise",AH24*(1+AI50),AI27+AI25)</f>
        <v>0.311824661551775</v>
      </c>
      <c r="AJ24" s="26" t="n">
        <f aca="false">IF(cfg_mode="Enterprise",AI24*(1+AJ50),AJ27+AJ25)</f>
        <v>0.31962027809057</v>
      </c>
    </row>
    <row r="25" customFormat="false" ht="15" hidden="false" customHeight="true" outlineLevel="0" collapsed="false">
      <c r="A25" s="23" t="s">
        <v>639</v>
      </c>
      <c r="C25" s="42" t="n">
        <f aca="false">INDEX(es_nfo,MATCH(C$5,es_years,0))</f>
        <v>0.0831088550375015</v>
      </c>
      <c r="D25" s="42" t="n">
        <f aca="false">INDEX(es_nfo,MATCH(D$5,es_years,0))</f>
        <v>0.0554230632421185</v>
      </c>
      <c r="E25" s="42" t="n">
        <f aca="false">INDEX(es_nfo,MATCH(E$5,es_years,0))</f>
        <v>0.0575701035866734</v>
      </c>
      <c r="F25" s="42" t="n">
        <f aca="false">anchor_real_nfo0</f>
        <v>0.0600413571346481</v>
      </c>
      <c r="G25" s="42" t="n">
        <f aca="false">IF(cfg_mode="Enterprise",IF(cfg_funding="Target FLEV",G24*G51/(1+G51),F25+G51*(G24-F24)),G51*G27)</f>
        <v>0.0615423910630143</v>
      </c>
      <c r="H25" s="42" t="n">
        <f aca="false">IF(cfg_mode="Enterprise",IF(cfg_funding="Target FLEV",H24*H51/(1+H51),G25+H51*(H24-G24)),H51*H27)</f>
        <v>0.0630809508395896</v>
      </c>
      <c r="I25" s="42" t="n">
        <f aca="false">IF(cfg_mode="Enterprise",IF(cfg_funding="Target FLEV",I24*I51/(1+I51),H25+I51*(I24-H24)),I51*I27)</f>
        <v>0.0646579746105794</v>
      </c>
      <c r="J25" s="42" t="n">
        <f aca="false">IF(cfg_mode="Enterprise",IF(cfg_funding="Target FLEV",J24*J51/(1+J51),I25+J51*(J24-I24)),J51*J27)</f>
        <v>0.0662744239758439</v>
      </c>
      <c r="K25" s="42" t="n">
        <f aca="false">IF(cfg_mode="Enterprise",IF(cfg_funding="Target FLEV",K24*K51/(1+K51),J25+K51*(K24-J24)),K51*K27)</f>
        <v>0.0679312845752399</v>
      </c>
      <c r="L25" s="42" t="n">
        <f aca="false">IF(cfg_mode="Enterprise",IF(cfg_funding="Target FLEV",L24*L51/(1+L51),K25+L51*(L24-K24)),L51*L27)</f>
        <v>0.0696295666896209</v>
      </c>
      <c r="M25" s="42" t="n">
        <f aca="false">IF(cfg_mode="Enterprise",IF(cfg_funding="Target FLEV",M24*M51/(1+M51),L25+M51*(M24-L24)),M51*M27)</f>
        <v>0.0713703058568615</v>
      </c>
      <c r="N25" s="42" t="n">
        <f aca="false">IF(cfg_mode="Enterprise",IF(cfg_funding="Target FLEV",N24*N51/(1+N51),M25+N51*(N24-M24)),N51*N27)</f>
        <v>0.073154563503283</v>
      </c>
      <c r="O25" s="42" t="n">
        <f aca="false">IF(cfg_mode="Enterprise",IF(cfg_funding="Target FLEV",O24*O51/(1+O51),N25+O51*(O24-N24)),O51*O27)</f>
        <v>0.074983427590865</v>
      </c>
      <c r="P25" s="42" t="n">
        <f aca="false">IF(cfg_mode="Enterprise",IF(cfg_funding="Target FLEV",P24*P51/(1+P51),O25+P51*(P24-O24)),P51*P27)</f>
        <v>0.0768580132806367</v>
      </c>
      <c r="Q25" s="42" t="n">
        <f aca="false">IF(cfg_mode="Enterprise",IF(cfg_funding="Target FLEV",Q24*Q51/(1+Q51),P25+Q51*(Q24-P24)),Q51*Q27)</f>
        <v>0.0787794636126526</v>
      </c>
      <c r="R25" s="42" t="n">
        <f aca="false">IF(cfg_mode="Enterprise",IF(cfg_funding="Target FLEV",R24*R51/(1+R51),Q25+R51*(R24-Q24)),R51*R27)</f>
        <v>0.0807489502029689</v>
      </c>
      <c r="S25" s="42" t="n">
        <f aca="false">IF(cfg_mode="Enterprise",IF(cfg_funding="Target FLEV",S24*S51/(1+S51),R25+S51*(S24-R24)),S51*S27)</f>
        <v>0.0827676739580431</v>
      </c>
      <c r="T25" s="26" t="n">
        <f aca="false">IF(cfg_mode="Enterprise",IF(cfg_funding="Target FLEV",T24*T51/(1+T51),S25+T51*(T24-S24)),T51*T27)</f>
        <v>0.0848368658069942</v>
      </c>
      <c r="U25" s="26" t="n">
        <f aca="false">IF(cfg_mode="Enterprise",IF(cfg_funding="Target FLEV",U24*U51/(1+U51),T25+U51*(U24-T24)),U51*U27)</f>
        <v>0.086957787452169</v>
      </c>
      <c r="V25" s="26" t="n">
        <f aca="false">IF(cfg_mode="Enterprise",IF(cfg_funding="Target FLEV",V24*V51/(1+V51),U25+V51*(V24-U24)),V51*V27)</f>
        <v>0.0891317321384732</v>
      </c>
      <c r="W25" s="26" t="n">
        <f aca="false">IF(cfg_mode="Enterprise",IF(cfg_funding="Target FLEV",W24*W51/(1+W51),V25+W51*(W24-V24)),W51*W27)</f>
        <v>0.0913600254419351</v>
      </c>
      <c r="X25" s="26" t="n">
        <f aca="false">IF(cfg_mode="Enterprise",IF(cfg_funding="Target FLEV",X24*X51/(1+X51),W25+X51*(X24-W24)),X51*X27)</f>
        <v>0.0936440260779834</v>
      </c>
      <c r="Y25" s="26" t="n">
        <f aca="false">IF(cfg_mode="Enterprise",IF(cfg_funding="Target FLEV",Y24*Y51/(1+Y51),X25+Y51*(Y24-X24)),Y51*Y27)</f>
        <v>0.095985126729933</v>
      </c>
      <c r="Z25" s="26" t="n">
        <f aca="false">IF(cfg_mode="Enterprise",IF(cfg_funding="Target FLEV",Z24*Z51/(1+Z51),Y25+Z51*(Z24-Y24)),Z51*Z27)</f>
        <v>0.0983847548981813</v>
      </c>
      <c r="AA25" s="26" t="n">
        <f aca="false">IF(cfg_mode="Enterprise",IF(cfg_funding="Target FLEV",AA24*AA51/(1+AA51),Z25+AA51*(AA24-Z24)),AA51*AA27)</f>
        <v>0.100844373770636</v>
      </c>
      <c r="AB25" s="26" t="n">
        <f aca="false">IF(cfg_mode="Enterprise",IF(cfg_funding="Target FLEV",AB24*AB51/(1+AB51),AA25+AB51*(AB24-AA24)),AB51*AB27)</f>
        <v>0.103365483114902</v>
      </c>
      <c r="AC25" s="26" t="n">
        <f aca="false">IF(cfg_mode="Enterprise",IF(cfg_funding="Target FLEV",AC24*AC51/(1+AC51),AB25+AC51*(AC24-AB24)),AC51*AC27)</f>
        <v>0.105949620192774</v>
      </c>
      <c r="AD25" s="26" t="n">
        <f aca="false">IF(cfg_mode="Enterprise",IF(cfg_funding="Target FLEV",AD24*AD51/(1+AD51),AC25+AD51*(AD24-AC24)),AD51*AD27)</f>
        <v>0.108598360697594</v>
      </c>
      <c r="AE25" s="26" t="n">
        <f aca="false">IF(cfg_mode="Enterprise",IF(cfg_funding="Target FLEV",AE24*AE51/(1+AE51),AD25+AE51*(AE24-AD24)),AE51*AE27)</f>
        <v>0.111313319715033</v>
      </c>
      <c r="AF25" s="26" t="n">
        <f aca="false">IF(cfg_mode="Enterprise",IF(cfg_funding="Target FLEV",AF24*AF51/(1+AF51),AE25+AF51*(AF24-AE24)),AF51*AF27)</f>
        <v>0.114096152707909</v>
      </c>
      <c r="AG25" s="26" t="n">
        <f aca="false">IF(cfg_mode="Enterprise",IF(cfg_funding="Target FLEV",AG24*AG51/(1+AG51),AF25+AG51*(AG24-AF24)),AG51*AG27)</f>
        <v>0.116948556525607</v>
      </c>
      <c r="AH25" s="26" t="n">
        <f aca="false">IF(cfg_mode="Enterprise",IF(cfg_funding="Target FLEV",AH24*AH51/(1+AH51),AG25+AH51*(AH24-AG24)),AH51*AH27)</f>
        <v>0.119872270438747</v>
      </c>
      <c r="AI25" s="26" t="n">
        <f aca="false">IF(cfg_mode="Enterprise",IF(cfg_funding="Target FLEV",AI24*AI51/(1+AI51),AH25+AI51*(AI24-AH24)),AI51*AI27)</f>
        <v>0.122869077199716</v>
      </c>
      <c r="AJ25" s="26" t="n">
        <f aca="false">IF(cfg_mode="Enterprise",IF(cfg_funding="Target FLEV",AJ24*AJ51/(1+AJ51),AI25+AJ51*(AJ24-AI24)),AJ51*AJ27)</f>
        <v>0.125940804129709</v>
      </c>
    </row>
    <row r="27" customFormat="false" ht="15" hidden="false" customHeight="true" outlineLevel="0" collapsed="false">
      <c r="A27" s="26" t="s">
        <v>640</v>
      </c>
      <c r="C27" s="42" t="n">
        <f aca="false">INDEX(es_cse,MATCH(C$5,es_years,0))</f>
        <v>0.0804412748496705</v>
      </c>
      <c r="D27" s="42" t="n">
        <f aca="false">INDEX(es_cse,MATCH(D$5,es_years,0))</f>
        <v>0.0900153210510945</v>
      </c>
      <c r="E27" s="42" t="n">
        <f aca="false">INDEX(es_cse,MATCH(E$5,es_years,0))</f>
        <v>0.0790054315805474</v>
      </c>
      <c r="F27" s="42" t="n">
        <f aca="false">anchor_real_cse0</f>
        <v>0.0923352724805388</v>
      </c>
      <c r="G27" s="42" t="n">
        <f aca="false">IF(cfg_mode="Enterprise",G24-G25,F27+G19-G29*G20-G31)</f>
        <v>0.0946436542925522</v>
      </c>
      <c r="H27" s="42" t="n">
        <f aca="false">IF(cfg_mode="Enterprise",H24-H25,G27+H19-H29*H20-H31)</f>
        <v>0.097009745649866</v>
      </c>
      <c r="I27" s="42" t="n">
        <f aca="false">IF(cfg_mode="Enterprise",I24-I25,H27+I19-I29*I20-I31)</f>
        <v>0.0994349892911127</v>
      </c>
      <c r="J27" s="42" t="n">
        <f aca="false">IF(cfg_mode="Enterprise",J24-J25,I27+J19-J29*J20-J31)</f>
        <v>0.10192086402339</v>
      </c>
      <c r="K27" s="42" t="n">
        <f aca="false">IF(cfg_mode="Enterprise",K24-K25,J27+K19-K29*K20-K31)</f>
        <v>0.104468885623975</v>
      </c>
      <c r="L27" s="42" t="n">
        <f aca="false">IF(cfg_mode="Enterprise",L24-L25,K27+L19-L29*L20-L31)</f>
        <v>0.107080607764575</v>
      </c>
      <c r="M27" s="42" t="n">
        <f aca="false">IF(cfg_mode="Enterprise",M24-M25,L27+M19-M29*M20-M31)</f>
        <v>0.109757622958689</v>
      </c>
      <c r="N27" s="42" t="n">
        <f aca="false">IF(cfg_mode="Enterprise",N24-N25,M27+N19-N29*N20-N31)</f>
        <v>0.112501563532656</v>
      </c>
      <c r="O27" s="42" t="n">
        <f aca="false">IF(cfg_mode="Enterprise",O24-O25,N27+O19-O29*O20-O31)</f>
        <v>0.115314102620973</v>
      </c>
      <c r="P27" s="42" t="n">
        <f aca="false">IF(cfg_mode="Enterprise",P24-P25,O27+P19-P29*P20-P31)</f>
        <v>0.118196955186497</v>
      </c>
      <c r="Q27" s="42" t="n">
        <f aca="false">IF(cfg_mode="Enterprise",Q24-Q25,P27+Q19-Q29*Q20-Q31)</f>
        <v>0.121151879066159</v>
      </c>
      <c r="R27" s="42" t="n">
        <f aca="false">IF(cfg_mode="Enterprise",R24-R25,Q27+R19-R29*R20-R31)</f>
        <v>0.124180676042813</v>
      </c>
      <c r="S27" s="42" t="n">
        <f aca="false">IF(cfg_mode="Enterprise",S24-S25,R27+S19-S29*S20-S31)</f>
        <v>0.127285192943884</v>
      </c>
      <c r="T27" s="26" t="n">
        <f aca="false">IF(cfg_mode="Enterprise",T24-T25,S27+T19-T29*T20-T31)</f>
        <v>0.130467322767481</v>
      </c>
      <c r="U27" s="26" t="n">
        <f aca="false">IF(cfg_mode="Enterprise",U24-U25,T27+U19-U29*U20-U31)</f>
        <v>0.133729005836668</v>
      </c>
      <c r="V27" s="26" t="n">
        <f aca="false">IF(cfg_mode="Enterprise",V24-V25,U27+V19-V29*V20-V31)</f>
        <v>0.137072230982584</v>
      </c>
      <c r="W27" s="26" t="n">
        <f aca="false">IF(cfg_mode="Enterprise",W24-W25,V27+W19-W29*W20-W31)</f>
        <v>0.140499036757149</v>
      </c>
      <c r="X27" s="26" t="n">
        <f aca="false">IF(cfg_mode="Enterprise",X24-X25,W27+X19-X29*X20-X31)</f>
        <v>0.144011512676078</v>
      </c>
      <c r="Y27" s="26" t="n">
        <f aca="false">IF(cfg_mode="Enterprise",Y24-Y25,X27+Y19-Y29*Y20-Y31)</f>
        <v>0.14761180049298</v>
      </c>
      <c r="Z27" s="26" t="n">
        <f aca="false">IF(cfg_mode="Enterprise",Z24-Z25,Y27+Z19-Z29*Z20-Z31)</f>
        <v>0.151302095505304</v>
      </c>
      <c r="AA27" s="26" t="n">
        <f aca="false">IF(cfg_mode="Enterprise",AA24-AA25,Z27+AA19-AA29*AA20-AA31)</f>
        <v>0.155084647892937</v>
      </c>
      <c r="AB27" s="26" t="n">
        <f aca="false">IF(cfg_mode="Enterprise",AB24-AB25,AA27+AB19-AB29*AB20-AB31)</f>
        <v>0.15896176409026</v>
      </c>
      <c r="AC27" s="26" t="n">
        <f aca="false">IF(cfg_mode="Enterprise",AC24-AC25,AB27+AC19-AC29*AC20-AC31)</f>
        <v>0.162935808192517</v>
      </c>
      <c r="AD27" s="26" t="n">
        <f aca="false">IF(cfg_mode="Enterprise",AD24-AD25,AC27+AD19-AD29*AD20-AD31)</f>
        <v>0.167009203397329</v>
      </c>
      <c r="AE27" s="26" t="n">
        <f aca="false">IF(cfg_mode="Enterprise",AE24-AE25,AD27+AE19-AE29*AE20-AE31)</f>
        <v>0.171184433482263</v>
      </c>
      <c r="AF27" s="26" t="n">
        <f aca="false">IF(cfg_mode="Enterprise",AF24-AF25,AE27+AF19-AF29*AF20-AF31)</f>
        <v>0.175464044319319</v>
      </c>
      <c r="AG27" s="26" t="n">
        <f aca="false">IF(cfg_mode="Enterprise",AG24-AG25,AF27+AG19-AG29*AG20-AG31)</f>
        <v>0.179850645427302</v>
      </c>
      <c r="AH27" s="26" t="n">
        <f aca="false">IF(cfg_mode="Enterprise",AH24-AH25,AG27+AH19-AH29*AH20-AH31)</f>
        <v>0.184346911562985</v>
      </c>
      <c r="AI27" s="26" t="n">
        <f aca="false">IF(cfg_mode="Enterprise",AI24-AI25,AH27+AI19-AI29*AI20-AI31)</f>
        <v>0.188955584352059</v>
      </c>
      <c r="AJ27" s="26" t="n">
        <f aca="false">IF(cfg_mode="Enterprise",AJ24-AJ25,AI27+AJ19-AJ29*AJ20-AJ31)</f>
        <v>0.193679473960861</v>
      </c>
    </row>
    <row r="28" customFormat="false" ht="15" hidden="false" customHeight="true" outlineLevel="0" collapsed="false">
      <c r="A28" s="26" t="s">
        <v>641</v>
      </c>
      <c r="F28" s="46" t="n">
        <f aca="false">anchor_real_nfo0/anchor_real_cse0</f>
        <v>0.650253749424986</v>
      </c>
    </row>
    <row r="29" customFormat="false" ht="15" hidden="false" customHeight="true" outlineLevel="0" collapsed="false">
      <c r="A29" s="26" t="s">
        <v>642</v>
      </c>
      <c r="F29" s="47" t="n">
        <f aca="false">anchor_dps0*INDEX(md_deflator,MATCH(in_anchor_year&amp;"",md_years,0))</f>
        <v>0.999301367012173</v>
      </c>
      <c r="G29" s="47" t="n">
        <f aca="false">IF(cfg_mode="Enterprise",IF(G20=0,0,(G19-(G27-F27)-G31)/G20),in_payout_seed*G30)</f>
        <v>-2.1748100758597</v>
      </c>
      <c r="H29" s="47" t="n">
        <f aca="false">IF(cfg_mode="Enterprise",IF(H20=0,0,(H19-(H27-G27)-H31)/H20),in_payout_seed*H30)</f>
        <v>-2.26165816890806</v>
      </c>
      <c r="I29" s="47" t="n">
        <f aca="false">IF(cfg_mode="Enterprise",IF(I20=0,0,(I19-(I27-H27)-I31)/I20),in_payout_seed*I30)</f>
        <v>-2.34637845672677</v>
      </c>
      <c r="J29" s="47" t="n">
        <f aca="false">IF(cfg_mode="Enterprise",IF(J20=0,0,(J19-(J27-I27)-J31)/J20),in_payout_seed*J30)</f>
        <v>-2.43104208477479</v>
      </c>
      <c r="K29" s="47" t="n">
        <f aca="false">IF(cfg_mode="Enterprise",IF(K20=0,0,(K19-(K27-J27)-K31)/K20),in_payout_seed*K30)</f>
        <v>-12.330036098186</v>
      </c>
      <c r="L29" s="47" t="n">
        <f aca="false">IF(cfg_mode="Enterprise",IF(L20=0,0,(L19-(L27-K27)-L31)/L20),in_payout_seed*L30)</f>
        <v>-13.0174915358665</v>
      </c>
      <c r="M29" s="47" t="n">
        <f aca="false">IF(cfg_mode="Enterprise",IF(M20=0,0,(M19-(M27-L27)-M31)/M20),in_payout_seed*M30)</f>
        <v>-13.7468516646533</v>
      </c>
      <c r="N29" s="47" t="n">
        <f aca="false">IF(cfg_mode="Enterprise",IF(N20=0,0,(N19-(N27-M27)-N31)/N20),in_payout_seed*N30)</f>
        <v>-14.5197745199093</v>
      </c>
      <c r="O29" s="47" t="n">
        <f aca="false">IF(cfg_mode="Enterprise",IF(O20=0,0,(O19-(O27-N27)-O31)/O20),in_payout_seed*O30)</f>
        <v>-15.3382857758589</v>
      </c>
      <c r="P29" s="47" t="n">
        <f aca="false">IF(cfg_mode="Enterprise",IF(P20=0,0,(P19-(P27-O27)-P31)/P20),in_payout_seed*P30)</f>
        <v>-16.2043749123074</v>
      </c>
      <c r="Q29" s="47" t="n">
        <f aca="false">IF(cfg_mode="Enterprise",IF(Q20=0,0,(Q19-(Q27-P27)-Q31)/Q20),in_payout_seed*Q30)</f>
        <v>-17.1205453787201</v>
      </c>
      <c r="R29" s="47" t="n">
        <f aca="false">IF(cfg_mode="Enterprise",IF(R20=0,0,(R19-(R27-Q27)-R31)/R20),in_payout_seed*R30)</f>
        <v>-18.0892451838388</v>
      </c>
      <c r="S29" s="47" t="n">
        <f aca="false">IF(cfg_mode="Enterprise",IF(S20=0,0,(S19-(S27-R27)-S31)/S20),in_payout_seed*S30)</f>
        <v>-19.1134911829318</v>
      </c>
      <c r="T29" s="26" t="n">
        <f aca="false">IF(cfg_mode="Enterprise",IF(T20=0,0,(T19-(T27-S27)-T31)/T20),in_payout_seed*T30)</f>
        <v>-20.196066770491</v>
      </c>
      <c r="U29" s="26" t="n">
        <f aca="false">IF(cfg_mode="Enterprise",IF(U20=0,0,(U19-(U27-T27)-U31)/U20),in_payout_seed*U30)</f>
        <v>-21.3405341361028</v>
      </c>
      <c r="V29" s="26" t="n">
        <f aca="false">IF(cfg_mode="Enterprise",IF(V20=0,0,(V19-(V27-U27)-V31)/V20),in_payout_seed*V30)</f>
        <v>-22.5498236090317</v>
      </c>
      <c r="W29" s="26" t="n">
        <f aca="false">IF(cfg_mode="Enterprise",IF(W20=0,0,(W19-(W27-V27)-W31)/W20),in_payout_seed*W30)</f>
        <v>-23.8278980476323</v>
      </c>
      <c r="X29" s="26" t="n">
        <f aca="false">IF(cfg_mode="Enterprise",IF(X20=0,0,(X19-(X27-W27)-X31)/X20),in_payout_seed*X30)</f>
        <v>-25.1789451478312</v>
      </c>
      <c r="Y29" s="26" t="n">
        <f aca="false">IF(cfg_mode="Enterprise",IF(Y20=0,0,(Y19-(Y27-X27)-Y31)/Y20),in_payout_seed*Y30)</f>
        <v>-26.6059763754347</v>
      </c>
      <c r="Z29" s="26" t="n">
        <f aca="false">IF(cfg_mode="Enterprise",IF(Z20=0,0,(Z19-(Z27-Y27)-Z31)/Z20),in_payout_seed*Z30)</f>
        <v>-28.1146097655924</v>
      </c>
      <c r="AA29" s="26" t="n">
        <f aca="false">IF(cfg_mode="Enterprise",IF(AA20=0,0,(AA19-(AA27-Z27)-AA31)/AA20),in_payout_seed*AA30)</f>
        <v>-29.7086702012302</v>
      </c>
      <c r="AB29" s="26" t="n">
        <f aca="false">IF(cfg_mode="Enterprise",IF(AB20=0,0,(AB19-(AB27-AA27)-AB31)/AB20),in_payout_seed*AB30)</f>
        <v>-31.3931913669613</v>
      </c>
      <c r="AC29" s="26" t="n">
        <f aca="false">IF(cfg_mode="Enterprise",IF(AC20=0,0,(AC19-(AC27-AB27)-AC31)/AC20),in_payout_seed*AC30)</f>
        <v>-33.1726479746942</v>
      </c>
      <c r="AD29" s="26" t="n">
        <f aca="false">IF(cfg_mode="Enterprise",IF(AD20=0,0,(AD19-(AD27-AC27)-AD31)/AD20),in_payout_seed*AD30)</f>
        <v>-35.053714736904</v>
      </c>
      <c r="AE29" s="26" t="n">
        <f aca="false">IF(cfg_mode="Enterprise",IF(AE20=0,0,(AE19-(AE27-AD27)-AE31)/AE20),in_payout_seed*AE30)</f>
        <v>-37.0416381886571</v>
      </c>
      <c r="AF29" s="26" t="n">
        <f aca="false">IF(cfg_mode="Enterprise",IF(AF20=0,0,(AF19-(AF27-AE27)-AF31)/AF20),in_payout_seed*AF30)</f>
        <v>-39.1417418998011</v>
      </c>
      <c r="AG29" s="26" t="n">
        <f aca="false">IF(cfg_mode="Enterprise",IF(AG20=0,0,(AG19-(AG27-AF27)-AG31)/AG20),in_payout_seed*AG30)</f>
        <v>-41.360831826016</v>
      </c>
      <c r="AH29" s="26" t="n">
        <f aca="false">IF(cfg_mode="Enterprise",IF(AH20=0,0,(AH19-(AH27-AG27)-AH31)/AH20),in_payout_seed*AH30)</f>
        <v>-43.7063214539731</v>
      </c>
      <c r="AI29" s="26" t="n">
        <f aca="false">IF(cfg_mode="Enterprise",IF(AI20=0,0,(AI19-(AI27-AH27)-AI31)/AI20),in_payout_seed*AI30)</f>
        <v>-46.1845800954024</v>
      </c>
      <c r="AJ29" s="26" t="n">
        <f aca="false">IF(cfg_mode="Enterprise",IF(AJ20=0,0,(AJ19-(AJ27-AI27)-AJ31)/AJ20),in_payout_seed*AJ30)</f>
        <v>-48.8029840125755</v>
      </c>
    </row>
    <row r="30" customFormat="false" ht="15" hidden="false" customHeight="true" outlineLevel="0" collapsed="false">
      <c r="A30" s="26" t="s">
        <v>643</v>
      </c>
      <c r="C30" s="47" t="n">
        <f aca="false">IF(C20=0,"",C19/C20)</f>
        <v>7.42066175690164</v>
      </c>
      <c r="D30" s="47" t="n">
        <f aca="false">IF(D20=0,"",D19/D20)</f>
        <v>6.8589073737582</v>
      </c>
      <c r="E30" s="47" t="n">
        <f aca="false">IF(E20=0,"",E19/E20)</f>
        <v>6.59033445930134</v>
      </c>
      <c r="F30" s="47" t="n">
        <f aca="false">IF(F20=0,"",F19/F20)</f>
        <v>7.71146087896941</v>
      </c>
      <c r="G30" s="47" t="n">
        <f aca="false">G19/G20</f>
        <v>8.1248947406834</v>
      </c>
      <c r="H30" s="47" t="n">
        <f aca="false">H19/H20</f>
        <v>8.62205052898544</v>
      </c>
      <c r="I30" s="47" t="n">
        <f aca="false">I19/I20</f>
        <v>9.15444774465554</v>
      </c>
      <c r="J30" s="47" t="n">
        <f aca="false">J19/J20</f>
        <v>9.72189281874772</v>
      </c>
      <c r="K30" s="47" t="n">
        <f aca="false">K19/K20</f>
        <v>0.511982743165184</v>
      </c>
      <c r="L30" s="47" t="n">
        <f aca="false">L19/L20</f>
        <v>0.552683012983963</v>
      </c>
      <c r="M30" s="47" t="n">
        <f aca="false">M19/M20</f>
        <v>0.592765770987645</v>
      </c>
      <c r="N30" s="47" t="n">
        <f aca="false">N19/N20</f>
        <v>0.632914007443132</v>
      </c>
      <c r="O30" s="47" t="n">
        <f aca="false">O19/O20</f>
        <v>0.673575812322873</v>
      </c>
      <c r="P30" s="47" t="n">
        <f aca="false">P19/P20</f>
        <v>0.715375734998093</v>
      </c>
      <c r="Q30" s="47" t="n">
        <f aca="false">Q19/Q20</f>
        <v>0.758572573329474</v>
      </c>
      <c r="R30" s="47" t="n">
        <f aca="false">R19/R20</f>
        <v>0.80363718817232</v>
      </c>
      <c r="S30" s="47" t="n">
        <f aca="false">S19/S20</f>
        <v>0.850637096770693</v>
      </c>
      <c r="T30" s="26" t="n">
        <f aca="false">T19/T20</f>
        <v>0.900048164246263</v>
      </c>
      <c r="U30" s="26" t="n">
        <f aca="false">U19/U20</f>
        <v>0.95175226400607</v>
      </c>
      <c r="V30" s="26" t="n">
        <f aca="false">V19/V20</f>
        <v>1.00645841170189</v>
      </c>
      <c r="W30" s="26" t="n">
        <f aca="false">W19/W20</f>
        <v>1.0640494485038</v>
      </c>
      <c r="X30" s="26" t="n">
        <f aca="false">X19/X20</f>
        <v>1.12440143313732</v>
      </c>
      <c r="Y30" s="26" t="n">
        <f aca="false">Y19/Y20</f>
        <v>1.18879707352686</v>
      </c>
      <c r="Z30" s="26" t="n">
        <f aca="false">Z19/Z20</f>
        <v>1.25615599233095</v>
      </c>
      <c r="AA30" s="26" t="n">
        <f aca="false">AA19/AA20</f>
        <v>1.32744825430741</v>
      </c>
      <c r="AB30" s="26" t="n">
        <f aca="false">AB19/AB20</f>
        <v>1.40270700100358</v>
      </c>
      <c r="AC30" s="26" t="n">
        <f aca="false">AC19/AC20</f>
        <v>1.4828116409388</v>
      </c>
      <c r="AD30" s="26" t="n">
        <f aca="false">AD19/AD20</f>
        <v>1.56674516621334</v>
      </c>
      <c r="AE30" s="26" t="n">
        <f aca="false">AE19/AE20</f>
        <v>1.65523954401835</v>
      </c>
      <c r="AF30" s="26" t="n">
        <f aca="false">AF19/AF20</f>
        <v>1.74928869400561</v>
      </c>
      <c r="AG30" s="26" t="n">
        <f aca="false">AG19/AG20</f>
        <v>1.84876235816107</v>
      </c>
      <c r="AH30" s="26" t="n">
        <f aca="false">AH19/AH20</f>
        <v>1.95330126642017</v>
      </c>
      <c r="AI30" s="26" t="n">
        <f aca="false">AI19/AI20</f>
        <v>2.06399030501329</v>
      </c>
      <c r="AJ30" s="26" t="n">
        <f aca="false">AJ19/AJ20</f>
        <v>2.18133007033798</v>
      </c>
    </row>
    <row r="31" customFormat="false" ht="15" hidden="false" customHeight="true" outlineLevel="0" collapsed="false">
      <c r="A31" s="26" t="s">
        <v>644</v>
      </c>
      <c r="F31" s="42" t="n">
        <v>0</v>
      </c>
      <c r="G31" s="42" t="n">
        <f aca="false">(F20-G20)*G32</f>
        <v>0.147602276837049</v>
      </c>
      <c r="H31" s="42" t="n">
        <f aca="false">(G20-H20)*H32</f>
        <v>0.151292333757975</v>
      </c>
      <c r="I31" s="42" t="n">
        <f aca="false">(H20-I20)*I32</f>
        <v>0.155074642101925</v>
      </c>
      <c r="J31" s="42" t="n">
        <f aca="false">(I20-J20)*J32</f>
        <v>0.158951508154472</v>
      </c>
      <c r="K31" s="42" t="n">
        <f aca="false">(J20-K20)*K32</f>
        <v>0.162925295858335</v>
      </c>
      <c r="L31" s="42" t="n">
        <f aca="false">(K20-L20)*L32</f>
        <v>0.166998428254793</v>
      </c>
      <c r="M31" s="42" t="n">
        <f aca="false">(L20-M20)*M32</f>
        <v>0.171173388961163</v>
      </c>
      <c r="N31" s="42" t="n">
        <f aca="false">(M20-N20)*N32</f>
        <v>0.175452723685191</v>
      </c>
      <c r="O31" s="42" t="n">
        <f aca="false">(N20-O20)*O32</f>
        <v>0.179839041777321</v>
      </c>
      <c r="P31" s="42" t="n">
        <f aca="false">(O20-P20)*P32</f>
        <v>0.184335017821754</v>
      </c>
      <c r="Q31" s="42" t="n">
        <f aca="false">(P20-Q20)*Q32</f>
        <v>0.188943393267298</v>
      </c>
      <c r="R31" s="42" t="n">
        <f aca="false">(Q20-R20)*R32</f>
        <v>0.19366697809898</v>
      </c>
      <c r="S31" s="42" t="n">
        <f aca="false">(R20-S20)*S32</f>
        <v>0.198508652551455</v>
      </c>
      <c r="T31" s="26" t="n">
        <f aca="false">(S20-T20)*T32</f>
        <v>0.203471368865242</v>
      </c>
      <c r="U31" s="26" t="n">
        <f aca="false">(T20-U20)*U32</f>
        <v>0.208558153086872</v>
      </c>
      <c r="V31" s="26" t="n">
        <f aca="false">(U20-V20)*V32</f>
        <v>0.213772106914044</v>
      </c>
      <c r="W31" s="26" t="n">
        <f aca="false">(V20-W20)*W32</f>
        <v>0.219116409586896</v>
      </c>
      <c r="X31" s="26" t="n">
        <f aca="false">(W20-X20)*X32</f>
        <v>0.224594319826569</v>
      </c>
      <c r="Y31" s="26" t="n">
        <f aca="false">(X20-Y20)*Y32</f>
        <v>0.230209177822232</v>
      </c>
      <c r="Z31" s="26" t="n">
        <f aca="false">(Y20-Z20)*Z32</f>
        <v>0.235964407267788</v>
      </c>
      <c r="AA31" s="26" t="n">
        <f aca="false">(Z20-AA20)*AA32</f>
        <v>0.241863517449483</v>
      </c>
      <c r="AB31" s="26" t="n">
        <f aca="false">(AA20-AB20)*AB32</f>
        <v>0.24791010538572</v>
      </c>
      <c r="AC31" s="26" t="n">
        <f aca="false">(AB20-AC20)*AC32</f>
        <v>0.254107858020363</v>
      </c>
      <c r="AD31" s="26" t="n">
        <f aca="false">(AC20-AD20)*AD32</f>
        <v>0.260460554470871</v>
      </c>
      <c r="AE31" s="26" t="n">
        <f aca="false">(AD20-AE20)*AE32</f>
        <v>0.266972068332643</v>
      </c>
      <c r="AF31" s="26" t="n">
        <f aca="false">(AE20-AF20)*AF32</f>
        <v>0.27364637004096</v>
      </c>
      <c r="AG31" s="26" t="n">
        <f aca="false">(AF20-AG20)*AG32</f>
        <v>0.280487529291983</v>
      </c>
      <c r="AH31" s="26" t="n">
        <f aca="false">(AG20-AH20)*AH32</f>
        <v>0.287499717524283</v>
      </c>
      <c r="AI31" s="26" t="n">
        <f aca="false">(AH20-AI20)*AI32</f>
        <v>0.29468721046239</v>
      </c>
      <c r="AJ31" s="26" t="n">
        <f aca="false">(AI20-AJ20)*AJ32</f>
        <v>0.30205439072395</v>
      </c>
    </row>
    <row r="32" customFormat="false" ht="15" hidden="false" customHeight="true" outlineLevel="0" collapsed="false">
      <c r="A32" s="26" t="s">
        <v>645</v>
      </c>
      <c r="F32" s="33" t="n">
        <f aca="false">in_price*INDEX(md_deflator,MATCH(in_anchor_year&amp;"",md_years,0))</f>
        <v>327.895761050869</v>
      </c>
      <c r="G32" s="47" t="n">
        <f aca="false">$F$33*F27/F20</f>
        <v>327.895761050869</v>
      </c>
      <c r="H32" s="47" t="n">
        <f aca="false">$F$33*G27/G20</f>
        <v>346.487788739321</v>
      </c>
      <c r="I32" s="47" t="n">
        <f aca="false">$F$33*H27/H20</f>
        <v>366.134003564746</v>
      </c>
      <c r="J32" s="47" t="n">
        <f aca="false">$F$33*I27/I20</f>
        <v>386.894179024603</v>
      </c>
      <c r="K32" s="47" t="n">
        <f aca="false">$F$33*J27/J20</f>
        <v>408.831477835276</v>
      </c>
      <c r="L32" s="47" t="n">
        <f aca="false">$F$33*K27/K20</f>
        <v>432.012644104287</v>
      </c>
      <c r="M32" s="47" t="n">
        <f aca="false">$F$33*L27/L20</f>
        <v>456.50820639886</v>
      </c>
      <c r="N32" s="47" t="n">
        <f aca="false">$F$33*M27/M20</f>
        <v>482.392692328692</v>
      </c>
      <c r="O32" s="47" t="n">
        <f aca="false">$F$33*N27/N20</f>
        <v>509.744855295783</v>
      </c>
      <c r="P32" s="47" t="n">
        <f aca="false">$F$33*O27/O20</f>
        <v>538.647914101214</v>
      </c>
      <c r="Q32" s="47" t="n">
        <f aca="false">$F$33*P27/P20</f>
        <v>569.18980613788</v>
      </c>
      <c r="R32" s="47" t="n">
        <f aca="false">$F$33*Q27/Q20</f>
        <v>601.463454939513</v>
      </c>
      <c r="S32" s="47" t="n">
        <f aca="false">$F$33*R27/R20</f>
        <v>635.5670529</v>
      </c>
      <c r="T32" s="26" t="n">
        <f aca="false">$F$33*S27/S20</f>
        <v>671.604360023196</v>
      </c>
      <c r="U32" s="26" t="n">
        <f aca="false">$F$33*T27/T20</f>
        <v>709.68501961214</v>
      </c>
      <c r="V32" s="26" t="n">
        <f aca="false">$F$33*U27/U20</f>
        <v>749.924891858189</v>
      </c>
      <c r="W32" s="26" t="n">
        <f aca="false">$F$33*V27/V20</f>
        <v>792.446406344994</v>
      </c>
      <c r="X32" s="26" t="n">
        <f aca="false">$F$33*W27/W20</f>
        <v>837.378934539813</v>
      </c>
      <c r="Y32" s="26" t="n">
        <f aca="false">$F$33*X27/X20</f>
        <v>884.859183405472</v>
      </c>
      <c r="Z32" s="26" t="n">
        <f aca="false">$F$33*Y27/Y20</f>
        <v>935.031611330525</v>
      </c>
      <c r="AA32" s="26" t="n">
        <f aca="false">$F$33*Z27/Z20</f>
        <v>988.048867643081</v>
      </c>
      <c r="AB32" s="26" t="n">
        <f aca="false">$F$33*AA27/AA20</f>
        <v>1044.07225704552</v>
      </c>
      <c r="AC32" s="26" t="n">
        <f aca="false">$F$33*AB27/AB20</f>
        <v>1103.27223038316</v>
      </c>
      <c r="AD32" s="26" t="n">
        <f aca="false">$F$33*AC27/AC20</f>
        <v>1165.82890323993</v>
      </c>
      <c r="AE32" s="26" t="n">
        <f aca="false">$F$33*AD27/AD20</f>
        <v>1231.9326039391</v>
      </c>
      <c r="AF32" s="26" t="n">
        <f aca="false">$F$33*AE27/AE20</f>
        <v>1301.78445261606</v>
      </c>
      <c r="AG32" s="26" t="n">
        <f aca="false">$F$33*AF27/AF20</f>
        <v>1375.59697312522</v>
      </c>
      <c r="AH32" s="26" t="n">
        <f aca="false">$F$33*AG27/AG20</f>
        <v>1453.59473964263</v>
      </c>
      <c r="AI32" s="26" t="n">
        <f aca="false">$F$33*AH27/AH20</f>
        <v>1536.01505993165</v>
      </c>
      <c r="AJ32" s="26" t="n">
        <f aca="false">$F$33*AI27/AI20</f>
        <v>1623.10869735045</v>
      </c>
    </row>
    <row r="33" customFormat="false" ht="15" hidden="false" customHeight="true" outlineLevel="0" collapsed="false">
      <c r="A33" s="26" t="s">
        <v>646</v>
      </c>
      <c r="F33" s="46" t="n">
        <f aca="false">$F$32/($F$27/$F$20)</f>
        <v>53.2849014509085</v>
      </c>
    </row>
    <row r="34" customFormat="false" ht="15" hidden="false" customHeight="false" outlineLevel="0" collapsed="false">
      <c r="A34" s="1" t="s">
        <v>647</v>
      </c>
      <c r="G34" s="1" t="n">
        <f aca="false">MAX(0,in_tax0*(G52-G49))</f>
        <v>0.000257769922567649</v>
      </c>
      <c r="H34" s="1" t="n">
        <f aca="false">MAX(0,in_tax0*(H52-H49))</f>
        <v>0.000298785639861247</v>
      </c>
      <c r="I34" s="1" t="n">
        <f aca="false">MAX(0,in_tax0*(I52-I49))</f>
        <v>0.000328622860856253</v>
      </c>
      <c r="J34" s="1" t="n">
        <f aca="false">MAX(0,in_tax0*(J52-J49))</f>
        <v>0.0003654113746829</v>
      </c>
      <c r="K34" s="1" t="n">
        <f aca="false">MAX(0,in_tax0*(K52-K49))</f>
        <v>0.00035416909977208</v>
      </c>
      <c r="L34" s="1" t="n">
        <f aca="false">MAX(0,in_tax0*(L52-L49))</f>
        <v>0.000289403405562304</v>
      </c>
      <c r="M34" s="1" t="n">
        <f aca="false">MAX(0,in_tax0*(M52-M49))</f>
        <v>0.000275721184122954</v>
      </c>
      <c r="N34" s="1" t="n">
        <f aca="false">MAX(0,in_tax0*(N52-N49))</f>
        <v>0.000250273637039167</v>
      </c>
      <c r="O34" s="1" t="n">
        <f aca="false">MAX(0,in_tax0*(O52-O49))</f>
        <v>0.000222014993777409</v>
      </c>
      <c r="P34" s="1" t="n">
        <f aca="false">MAX(0,in_tax0*(P52-P49))</f>
        <v>0.000163877319358775</v>
      </c>
      <c r="Q34" s="1" t="n">
        <f aca="false">MAX(0,in_tax0*(Q52-Q49))</f>
        <v>0.000147184125466997</v>
      </c>
      <c r="R34" s="1" t="n">
        <f aca="false">MAX(0,in_tax0*(R52-R49))</f>
        <v>0.000150726922590174</v>
      </c>
      <c r="S34" s="1" t="n">
        <f aca="false">MAX(0,in_tax0*(S52-S49))</f>
        <v>0.00015757220413509</v>
      </c>
      <c r="T34" s="1" t="n">
        <f aca="false">MAX(0,in_tax0*(T52-T49))</f>
        <v>0.000166942044306799</v>
      </c>
      <c r="U34" s="1" t="n">
        <f aca="false">MAX(0,in_tax0*(U52-U49))</f>
        <v>0.000178352969971354</v>
      </c>
      <c r="V34" s="1" t="n">
        <f aca="false">MAX(0,in_tax0*(V52-V49))</f>
        <v>0.000191382646666562</v>
      </c>
      <c r="W34" s="1" t="n">
        <f aca="false">MAX(0,in_tax0*(W52-W49))</f>
        <v>0.000205751450670533</v>
      </c>
      <c r="X34" s="1" t="n">
        <f aca="false">MAX(0,in_tax0*(X52-X49))</f>
        <v>0.000221043339834614</v>
      </c>
      <c r="Y34" s="1" t="n">
        <f aca="false">MAX(0,in_tax0*(Y52-Y49))</f>
        <v>0.000237189925418829</v>
      </c>
      <c r="Z34" s="1" t="n">
        <f aca="false">MAX(0,in_tax0*(Z52-Z49))</f>
        <v>0.000253965146434429</v>
      </c>
      <c r="AA34" s="1" t="n">
        <f aca="false">MAX(0,in_tax0*(AA52-AA49))</f>
        <v>0.000271306706318239</v>
      </c>
      <c r="AB34" s="1" t="n">
        <f aca="false">MAX(0,in_tax0*(AB52-AB49))</f>
        <v>0.000288925806554697</v>
      </c>
      <c r="AC34" s="1" t="n">
        <f aca="false">MAX(0,in_tax0*(AC52-AC49))</f>
        <v>0.000306829250659778</v>
      </c>
      <c r="AD34" s="1" t="n">
        <f aca="false">MAX(0,in_tax0*(AD52-AD49))</f>
        <v>0.000324898303990539</v>
      </c>
      <c r="AE34" s="1" t="n">
        <f aca="false">MAX(0,in_tax0*(AE52-AE49))</f>
        <v>0.000342974177198476</v>
      </c>
      <c r="AF34" s="1" t="n">
        <f aca="false">MAX(0,in_tax0*(AF52-AF49))</f>
        <v>0.000361028938993827</v>
      </c>
      <c r="AG34" s="1" t="n">
        <f aca="false">MAX(0,in_tax0*(AG52-AG49))</f>
        <v>0.000378849888960384</v>
      </c>
      <c r="AH34" s="1" t="n">
        <f aca="false">MAX(0,in_tax0*(AH52-AH49))</f>
        <v>0.000396373078957421</v>
      </c>
      <c r="AI34" s="1" t="n">
        <f aca="false">MAX(0,in_tax0*(AI52-AI49))</f>
        <v>0.000413503188216859</v>
      </c>
      <c r="AJ34" s="1" t="n">
        <f aca="false">MAX(0,in_tax0*(AJ52-AJ49))</f>
        <v>0.000429913013117774</v>
      </c>
    </row>
    <row r="35" customFormat="false" ht="15" hidden="false" customHeight="false" outlineLevel="0" collapsed="false">
      <c r="A35" s="1" t="s">
        <v>648</v>
      </c>
      <c r="G35" s="1" t="n">
        <f aca="false">G34/G38</f>
        <v>0.000250264004543383</v>
      </c>
      <c r="H35" s="1" t="n">
        <f aca="false">H34/H38</f>
        <v>0.000282809165222116</v>
      </c>
      <c r="I35" s="1" t="n">
        <f aca="false">I34/I38</f>
        <v>0.000304048832393413</v>
      </c>
      <c r="J35" s="1" t="n">
        <f aca="false">J34/J38</f>
        <v>0.000331000750177578</v>
      </c>
      <c r="K35" s="1" t="n">
        <f aca="false">K34/K38</f>
        <v>0.000314364217306331</v>
      </c>
      <c r="L35" s="1" t="n">
        <f aca="false">L34/L38</f>
        <v>0.000251805762580907</v>
      </c>
      <c r="M35" s="1" t="n">
        <f aca="false">M34/M38</f>
        <v>0.000235178254139872</v>
      </c>
      <c r="N35" s="1" t="n">
        <f aca="false">N34/N38</f>
        <v>0.000209237581975692</v>
      </c>
      <c r="O35" s="1" t="n">
        <f aca="false">O34/O38</f>
        <v>0.000181880898996116</v>
      </c>
      <c r="P35" s="1" t="n">
        <f aca="false">P34/P38</f>
        <v>0.00013150791960327</v>
      </c>
      <c r="Q35" s="1" t="n">
        <f aca="false">Q34/Q38</f>
        <v>0.000115653277767131</v>
      </c>
      <c r="R35" s="1" t="n">
        <f aca="false">R34/R38</f>
        <v>0.000115926705266517</v>
      </c>
      <c r="S35" s="1" t="n">
        <f aca="false">S34/S38</f>
        <v>0.000118578185742386</v>
      </c>
      <c r="T35" s="1" t="n">
        <f aca="false">T34/T38</f>
        <v>0.000122879612817905</v>
      </c>
      <c r="U35" s="1" t="n">
        <f aca="false">U34/U38</f>
        <v>0.000128364854719422</v>
      </c>
      <c r="V35" s="1" t="n">
        <f aca="false">V34/V38</f>
        <v>0.000134647834540919</v>
      </c>
      <c r="W35" s="1" t="n">
        <f aca="false">W34/W38</f>
        <v>0.000141469375069062</v>
      </c>
      <c r="X35" s="1" t="n">
        <f aca="false">X34/X38</f>
        <v>0.000148506609003305</v>
      </c>
      <c r="Y35" s="1" t="n">
        <f aca="false">Y34/Y38</f>
        <v>0.0001556839233468</v>
      </c>
      <c r="Z35" s="1" t="n">
        <f aca="false">Z34/Z38</f>
        <v>0.000162837391603823</v>
      </c>
      <c r="AA35" s="1" t="n">
        <f aca="false">AA34/AA38</f>
        <v>0.000169916885938213</v>
      </c>
      <c r="AB35" s="1" t="n">
        <f aca="false">AB34/AB38</f>
        <v>0.000176747151517314</v>
      </c>
      <c r="AC35" s="1" t="n">
        <f aca="false">AC34/AC38</f>
        <v>0.00018333837520974</v>
      </c>
      <c r="AD35" s="1" t="n">
        <f aca="false">AD34/AD38</f>
        <v>0.000189631990112448</v>
      </c>
      <c r="AE35" s="1" t="n">
        <f aca="false">AE34/AE38</f>
        <v>0.000195554757468825</v>
      </c>
      <c r="AF35" s="1" t="n">
        <f aca="false">AF34/AF38</f>
        <v>0.000201111061676694</v>
      </c>
      <c r="AG35" s="1" t="n">
        <f aca="false">AG34/AG38</f>
        <v>0.000206211385806718</v>
      </c>
      <c r="AH35" s="1" t="n">
        <f aca="false">AH34/AH38</f>
        <v>0.000210851112825692</v>
      </c>
      <c r="AI35" s="1" t="n">
        <f aca="false">AI34/AI38</f>
        <v>0.000215011557402855</v>
      </c>
      <c r="AJ35" s="1" t="n">
        <f aca="false">AJ34/AJ38</f>
        <v>0.000218565987915671</v>
      </c>
    </row>
    <row r="36" customFormat="false" ht="15" hidden="false" customHeight="true" outlineLevel="0" collapsed="false">
      <c r="A36" s="26" t="s">
        <v>649</v>
      </c>
      <c r="F36" s="44" t="n">
        <f aca="false">IF($F$7=0,"",($F$22-$E$22+$F$13)/$F$7)</f>
        <v>0.0318078895060634</v>
      </c>
      <c r="G36" s="30" t="n">
        <f aca="false">$F$36</f>
        <v>0.0318078895060634</v>
      </c>
      <c r="H36" s="30" t="n">
        <f aca="false">$F$36</f>
        <v>0.0318078895060634</v>
      </c>
      <c r="I36" s="30" t="n">
        <f aca="false">$F$36</f>
        <v>0.0318078895060634</v>
      </c>
      <c r="J36" s="30" t="n">
        <f aca="false">$F$36</f>
        <v>0.0318078895060634</v>
      </c>
      <c r="K36" s="30" t="n">
        <f aca="false">$F$36</f>
        <v>0.0318078895060634</v>
      </c>
      <c r="L36" s="30" t="n">
        <f aca="false">$F$36</f>
        <v>0.0318078895060634</v>
      </c>
      <c r="M36" s="30" t="n">
        <f aca="false">$F$36</f>
        <v>0.0318078895060634</v>
      </c>
      <c r="N36" s="30" t="n">
        <f aca="false">$F$36</f>
        <v>0.0318078895060634</v>
      </c>
      <c r="O36" s="30" t="n">
        <f aca="false">$F$36</f>
        <v>0.0318078895060634</v>
      </c>
      <c r="P36" s="30" t="n">
        <f aca="false">$F$36</f>
        <v>0.0318078895060634</v>
      </c>
      <c r="Q36" s="30" t="n">
        <f aca="false">$F$36</f>
        <v>0.0318078895060634</v>
      </c>
      <c r="R36" s="30" t="n">
        <f aca="false">$F$36</f>
        <v>0.0318078895060634</v>
      </c>
      <c r="S36" s="30" t="n">
        <f aca="false">$F$36</f>
        <v>0.0318078895060634</v>
      </c>
      <c r="T36" s="30" t="n">
        <f aca="false">$F$36</f>
        <v>0.0318078895060634</v>
      </c>
      <c r="U36" s="30" t="n">
        <f aca="false">$F$36</f>
        <v>0.0318078895060634</v>
      </c>
      <c r="V36" s="30" t="n">
        <f aca="false">$F$36</f>
        <v>0.0318078895060634</v>
      </c>
      <c r="W36" s="30" t="n">
        <f aca="false">$F$36</f>
        <v>0.0318078895060634</v>
      </c>
      <c r="X36" s="30" t="n">
        <f aca="false">$F$36</f>
        <v>0.0318078895060634</v>
      </c>
      <c r="Y36" s="30" t="n">
        <f aca="false">$F$36</f>
        <v>0.0318078895060634</v>
      </c>
      <c r="Z36" s="30" t="n">
        <f aca="false">$F$36</f>
        <v>0.0318078895060634</v>
      </c>
      <c r="AA36" s="30" t="n">
        <f aca="false">$F$36</f>
        <v>0.0318078895060634</v>
      </c>
      <c r="AB36" s="30" t="n">
        <f aca="false">$F$36</f>
        <v>0.0318078895060634</v>
      </c>
      <c r="AC36" s="30" t="n">
        <f aca="false">$F$36</f>
        <v>0.0318078895060634</v>
      </c>
      <c r="AD36" s="30" t="n">
        <f aca="false">$F$36</f>
        <v>0.0318078895060634</v>
      </c>
      <c r="AE36" s="30" t="n">
        <f aca="false">$F$36</f>
        <v>0.0318078895060634</v>
      </c>
      <c r="AF36" s="30" t="n">
        <f aca="false">$F$36</f>
        <v>0.0318078895060634</v>
      </c>
      <c r="AG36" s="30" t="n">
        <f aca="false">$F$36</f>
        <v>0.0318078895060634</v>
      </c>
      <c r="AH36" s="30" t="n">
        <f aca="false">$F$36</f>
        <v>0.0318078895060634</v>
      </c>
      <c r="AI36" s="30" t="n">
        <f aca="false">$F$36</f>
        <v>0.0318078895060634</v>
      </c>
      <c r="AJ36" s="30" t="n">
        <f aca="false">$F$36</f>
        <v>0.0318078895060634</v>
      </c>
    </row>
    <row r="37" customFormat="false" ht="15" hidden="false" customHeight="false" outlineLevel="0" collapsed="false">
      <c r="A37" s="1" t="s">
        <v>650</v>
      </c>
      <c r="G37" s="52" t="n">
        <f aca="false">INDEX(finrate_infl,G4)</f>
        <v>0.029992</v>
      </c>
      <c r="H37" s="52" t="n">
        <f aca="false">INDEX(finrate_infl,H4)</f>
        <v>0.0257284213508453</v>
      </c>
      <c r="I37" s="52" t="n">
        <f aca="false">INDEX(finrate_infl,I4)</f>
        <v>0.0230295803823852</v>
      </c>
      <c r="J37" s="52" t="n">
        <f aca="false">INDEX(finrate_infl,J4)</f>
        <v>0.0214065814967732</v>
      </c>
      <c r="K37" s="52" t="n">
        <f aca="false">INDEX(finrate_infl,K4)</f>
        <v>0.0205269479410897</v>
      </c>
      <c r="L37" s="52" t="n">
        <f aca="false">INDEX(finrate_infl,L4)</f>
        <v>0.0201414909409623</v>
      </c>
      <c r="M37" s="52" t="n">
        <f aca="false">INDEX(finrate_infl,M4)</f>
        <v>0.0200818028027501</v>
      </c>
      <c r="N37" s="52" t="n">
        <f aca="false">INDEX(finrate_infl,N4)</f>
        <v>0.0202402180107837</v>
      </c>
      <c r="O37" s="52" t="n">
        <f aca="false">INDEX(finrate_infl,O4)</f>
        <v>0.0205159596149356</v>
      </c>
      <c r="P37" s="52" t="n">
        <f aca="false">INDEX(finrate_infl,P4)</f>
        <v>0.0208730299126345</v>
      </c>
      <c r="Q37" s="52" t="n">
        <f aca="false">INDEX(finrate_infl,Q4)</f>
        <v>0.0212594356887161</v>
      </c>
      <c r="R37" s="52" t="n">
        <f aca="false">INDEX(finrate_infl,R4)</f>
        <v>0.0216551138844878</v>
      </c>
      <c r="S37" s="52" t="n">
        <f aca="false">INDEX(finrate_infl,S4)</f>
        <v>0.0220390027471808</v>
      </c>
      <c r="T37" s="52" t="n">
        <f aca="false">INDEX(finrate_infl,T4)</f>
        <v>0.0223770321427348</v>
      </c>
      <c r="U37" s="52" t="n">
        <f aca="false">INDEX(finrate_infl,U4)</f>
        <v>0.0227001483611953</v>
      </c>
      <c r="V37" s="52" t="n">
        <f aca="false">INDEX(finrate_infl,V4)</f>
        <v>0.0229843054220888</v>
      </c>
      <c r="W37" s="52" t="n">
        <f aca="false">INDEX(finrate_infl,W4)</f>
        <v>0.0232394790986237</v>
      </c>
      <c r="X37" s="52" t="n">
        <f aca="false">INDEX(finrate_infl,X4)</f>
        <v>0.0234135942180562</v>
      </c>
      <c r="Y37" s="52" t="n">
        <f aca="false">INDEX(finrate_infl,Y4)</f>
        <v>0.0235777069408887</v>
      </c>
      <c r="Z37" s="52" t="n">
        <f aca="false">INDEX(finrate_infl,Z4)</f>
        <v>0.0236877614701088</v>
      </c>
      <c r="AA37" s="52" t="n">
        <f aca="false">INDEX(finrate_infl,AA4)</f>
        <v>0.0237737898024439</v>
      </c>
      <c r="AB37" s="52" t="n">
        <f aca="false">INDEX(finrate_infl,AB4)</f>
        <v>0.0237877342530664</v>
      </c>
      <c r="AC37" s="52" t="n">
        <f aca="false">INDEX(finrate_infl,AC4)</f>
        <v>0.0237866692375013</v>
      </c>
      <c r="AD37" s="52" t="n">
        <f aca="false">INDEX(finrate_infl,AD4)</f>
        <v>0.0237465712739078</v>
      </c>
      <c r="AE37" s="52" t="n">
        <f aca="false">INDEX(finrate_infl,AE4)</f>
        <v>0.0236634463076055</v>
      </c>
      <c r="AF37" s="52" t="n">
        <f aca="false">INDEX(finrate_infl,AF4)</f>
        <v>0.0235593254859989</v>
      </c>
      <c r="AG37" s="52" t="n">
        <f aca="false">INDEX(finrate_infl,AG4)</f>
        <v>0.0234071977157293</v>
      </c>
      <c r="AH37" s="52" t="n">
        <f aca="false">INDEX(finrate_infl,AH4)</f>
        <v>0.0232310946252736</v>
      </c>
      <c r="AI37" s="52" t="n">
        <f aca="false">INDEX(finrate_infl,AI4)</f>
        <v>0.0230310254065849</v>
      </c>
      <c r="AJ37" s="52" t="n">
        <f aca="false">INDEX(finrate_infl,AJ4)</f>
        <v>0.0227770004252987</v>
      </c>
    </row>
    <row r="38" customFormat="false" ht="15" hidden="false" customHeight="false" outlineLevel="0" collapsed="false">
      <c r="A38" s="1" t="s">
        <v>651</v>
      </c>
      <c r="F38" s="1" t="n">
        <v>1</v>
      </c>
      <c r="G38" s="1" t="n">
        <f aca="false">F38*(1+G37)</f>
        <v>1.029992</v>
      </c>
      <c r="H38" s="1" t="n">
        <f aca="false">G38*(1+H37)</f>
        <v>1.056492068164</v>
      </c>
      <c r="I38" s="1" t="n">
        <f aca="false">H38*(1+I37)</f>
        <v>1.08082263717114</v>
      </c>
      <c r="J38" s="1" t="n">
        <f aca="false">I38*(1+J37)</f>
        <v>1.1039593550373</v>
      </c>
      <c r="K38" s="1" t="n">
        <f aca="false">J38*(1+K37)</f>
        <v>1.12662027124723</v>
      </c>
      <c r="L38" s="1" t="n">
        <f aca="false">K38*(1+L37)</f>
        <v>1.14931208323446</v>
      </c>
      <c r="M38" s="1" t="n">
        <f aca="false">L38*(1+M37)</f>
        <v>1.17239234184879</v>
      </c>
      <c r="N38" s="1" t="n">
        <f aca="false">M38*(1+N37)</f>
        <v>1.19612181844198</v>
      </c>
      <c r="O38" s="1" t="n">
        <f aca="false">N38*(1+O37)</f>
        <v>1.22066140536368</v>
      </c>
      <c r="P38" s="1" t="n">
        <f aca="false">O38*(1+P37)</f>
        <v>1.24614030739103</v>
      </c>
      <c r="Q38" s="1" t="n">
        <f aca="false">P38*(1+Q37)</f>
        <v>1.27263254711513</v>
      </c>
      <c r="R38" s="1" t="n">
        <f aca="false">Q38*(1+R37)</f>
        <v>1.30019154985602</v>
      </c>
      <c r="S38" s="1" t="n">
        <f aca="false">R38*(1+S37)</f>
        <v>1.32884647499515</v>
      </c>
      <c r="T38" s="1" t="n">
        <f aca="false">S38*(1+T37)</f>
        <v>1.35858211527888</v>
      </c>
      <c r="U38" s="1" t="n">
        <f aca="false">T38*(1+U37)</f>
        <v>1.38942213085658</v>
      </c>
      <c r="V38" s="1" t="n">
        <f aca="false">U38*(1+V37)</f>
        <v>1.42135703347239</v>
      </c>
      <c r="W38" s="1" t="n">
        <f aca="false">V38*(1+W37)</f>
        <v>1.45438863054346</v>
      </c>
      <c r="X38" s="1" t="n">
        <f aca="false">W38*(1+X37)</f>
        <v>1.48844109577436</v>
      </c>
      <c r="Y38" s="1" t="n">
        <f aca="false">X38*(1+Y37)</f>
        <v>1.5235351237293</v>
      </c>
      <c r="Z38" s="1" t="n">
        <f aca="false">Y38*(1+Z37)</f>
        <v>1.55962426033153</v>
      </c>
      <c r="AA38" s="1" t="n">
        <f aca="false">Z38*(1+AA37)</f>
        <v>1.59670243966745</v>
      </c>
      <c r="AB38" s="1" t="n">
        <f aca="false">AA38*(1+AB37)</f>
        <v>1.63468437298348</v>
      </c>
      <c r="AC38" s="1" t="n">
        <f aca="false">AB38*(1+AC37)</f>
        <v>1.67356806947135</v>
      </c>
      <c r="AD38" s="1" t="n">
        <f aca="false">AC38*(1+AD37)</f>
        <v>1.71330957291479</v>
      </c>
      <c r="AE38" s="1" t="n">
        <f aca="false">AD38*(1+AE37)</f>
        <v>1.75385238200176</v>
      </c>
      <c r="AF38" s="1" t="n">
        <f aca="false">AE38*(1+AF37)</f>
        <v>1.79517196112374</v>
      </c>
      <c r="AG38" s="1" t="n">
        <f aca="false">AF38*(1+AG37)</f>
        <v>1.83719190615149</v>
      </c>
      <c r="AH38" s="1" t="n">
        <f aca="false">AG38*(1+AH37)</f>
        <v>1.87987188516808</v>
      </c>
      <c r="AI38" s="1" t="n">
        <f aca="false">AH38*(1+AI37)</f>
        <v>1.92316726231651</v>
      </c>
      <c r="AJ38" s="1" t="n">
        <f aca="false">AI38*(1+AJ37)</f>
        <v>1.96697124386822</v>
      </c>
    </row>
    <row r="39" customFormat="false" ht="15" hidden="false" customHeight="false" outlineLevel="0" collapsed="false">
      <c r="A39" s="1" t="s">
        <v>652</v>
      </c>
      <c r="G39" s="1" t="n">
        <f aca="false">G13*G38</f>
        <v>0.0137857539239553</v>
      </c>
      <c r="H39" s="1" t="n">
        <f aca="false">H13*H38</f>
        <v>0.0143098456748358</v>
      </c>
      <c r="I39" s="1" t="n">
        <f aca="false">I13*I38</f>
        <v>0.01486962268151</v>
      </c>
      <c r="J39" s="1" t="n">
        <f aca="false">J13*J38</f>
        <v>0.0154724870007457</v>
      </c>
      <c r="K39" s="1" t="n">
        <f aca="false">K13*K38</f>
        <v>0.0161238405376267</v>
      </c>
      <c r="L39" s="1" t="n">
        <f aca="false">L13*L38</f>
        <v>0.0168276129601155</v>
      </c>
      <c r="M39" s="1" t="n">
        <f aca="false">M13*M38</f>
        <v>0.0175869288524587</v>
      </c>
      <c r="N39" s="1" t="n">
        <f aca="false">N13*N38</f>
        <v>0.0184046485256504</v>
      </c>
      <c r="O39" s="1" t="n">
        <f aca="false">O13*O38</f>
        <v>0.019283100148212</v>
      </c>
      <c r="P39" s="1" t="n">
        <f aca="false">P13*P38</f>
        <v>0.0202249341545444</v>
      </c>
      <c r="Q39" s="1" t="n">
        <f aca="false">Q13*Q38</f>
        <v>0.0212326130013088</v>
      </c>
      <c r="R39" s="1" t="n">
        <f aca="false">R13*R38</f>
        <v>0.0223088340225401</v>
      </c>
      <c r="S39" s="1" t="n">
        <f aca="false">S13*S38</f>
        <v>0.0234563753775951</v>
      </c>
      <c r="T39" s="1" t="n">
        <f aca="false">T13*T38</f>
        <v>0.0246776373324449</v>
      </c>
      <c r="U39" s="1" t="n">
        <f aca="false">U13*U38</f>
        <v>0.025976053883646</v>
      </c>
      <c r="V39" s="1" t="n">
        <f aca="false">V13*V38</f>
        <v>0.027354786616457</v>
      </c>
      <c r="W39" s="1" t="n">
        <f aca="false">W13*W38</f>
        <v>0.0288174977693454</v>
      </c>
      <c r="X39" s="1" t="n">
        <f aca="false">X13*X38</f>
        <v>0.0303665548780562</v>
      </c>
      <c r="Y39" s="1" t="n">
        <f aca="false">Y13*Y38</f>
        <v>0.0320064462221555</v>
      </c>
      <c r="Z39" s="1" t="n">
        <f aca="false">Z13*Z38</f>
        <v>0.033740522798997</v>
      </c>
      <c r="AA39" s="1" t="n">
        <f aca="false">AA13*AA38</f>
        <v>0.0355731796233641</v>
      </c>
      <c r="AB39" s="1" t="n">
        <f aca="false">AB13*AB38</f>
        <v>0.0375072369341613</v>
      </c>
      <c r="AC39" s="1" t="n">
        <f aca="false">AC13*AC38</f>
        <v>0.0395475100843533</v>
      </c>
      <c r="AD39" s="1" t="n">
        <f aca="false">AD13*AD38</f>
        <v>0.0416980415433067</v>
      </c>
      <c r="AE39" s="1" t="n">
        <f aca="false">AE13*AE38</f>
        <v>0.0439626901423091</v>
      </c>
      <c r="AF39" s="1" t="n">
        <f aca="false">AF13*AF38</f>
        <v>0.0463462297236816</v>
      </c>
      <c r="AG39" s="1" t="n">
        <f aca="false">AG13*AG38</f>
        <v>0.0488522378833711</v>
      </c>
      <c r="AH39" s="1" t="n">
        <f aca="false">AH13*AH38</f>
        <v>0.0514852998299562</v>
      </c>
      <c r="AI39" s="1" t="n">
        <f aca="false">AI13*AI38</f>
        <v>0.0542500076155245</v>
      </c>
      <c r="AJ39" s="1" t="n">
        <f aca="false">AJ13*AJ38</f>
        <v>0.0571492597913553</v>
      </c>
    </row>
    <row r="40" customFormat="false" ht="15" hidden="false" customHeight="false" outlineLevel="0" collapsed="false">
      <c r="A40" s="1" t="s">
        <v>653</v>
      </c>
      <c r="G40" s="1" t="n">
        <f aca="false">G16*G38</f>
        <v>0.123004684363485</v>
      </c>
      <c r="H40" s="1" t="n">
        <f aca="false">H16*H38</f>
        <v>0.130143062817303</v>
      </c>
      <c r="I40" s="1" t="n">
        <f aca="false">I16*I38</f>
        <v>0.13729695949976</v>
      </c>
      <c r="J40" s="1" t="n">
        <f aca="false">J16*J38</f>
        <v>0.144567790079456</v>
      </c>
      <c r="K40" s="1" t="n">
        <f aca="false">K16*K38</f>
        <v>0.00958874834615285</v>
      </c>
      <c r="L40" s="1" t="n">
        <f aca="false">L16*L38</f>
        <v>0.0102244227632885</v>
      </c>
      <c r="M40" s="1" t="n">
        <f aca="false">M16*M38</f>
        <v>0.0108197085254004</v>
      </c>
      <c r="N40" s="1" t="n">
        <f aca="false">N16*N38</f>
        <v>0.011392989217934</v>
      </c>
      <c r="O40" s="1" t="n">
        <f aca="false">O16*O38</f>
        <v>0.0119590518944793</v>
      </c>
      <c r="P40" s="1" t="n">
        <f aca="false">P16*P38</f>
        <v>0.012530005829162</v>
      </c>
      <c r="Q40" s="1" t="n">
        <f aca="false">Q16*Q38</f>
        <v>0.0131142147194668</v>
      </c>
      <c r="R40" s="1" t="n">
        <f aca="false">R16*R38</f>
        <v>0.0137201607705784</v>
      </c>
      <c r="S40" s="1" t="n">
        <f aca="false">S16*S38</f>
        <v>0.0143509090303434</v>
      </c>
      <c r="T40" s="1" t="n">
        <f aca="false">T16*T38</f>
        <v>0.0150163368166471</v>
      </c>
      <c r="U40" s="1" t="n">
        <f aca="false">U16*U38</f>
        <v>0.0157117435415541</v>
      </c>
      <c r="V40" s="1" t="n">
        <f aca="false">V16*V38</f>
        <v>0.0164491451111485</v>
      </c>
      <c r="W40" s="1" t="n">
        <f aca="false">W16*W38</f>
        <v>0.0172258298161347</v>
      </c>
      <c r="X40" s="1" t="n">
        <f aca="false">X16*X38</f>
        <v>0.0180463857887362</v>
      </c>
      <c r="Y40" s="1" t="n">
        <f aca="false">Y16*Y38</f>
        <v>0.0189184202829538</v>
      </c>
      <c r="Z40" s="1" t="n">
        <f aca="false">Z16*Z38</f>
        <v>0.019833610331388</v>
      </c>
      <c r="AA40" s="1" t="n">
        <f aca="false">AA16*AA38</f>
        <v>0.0208000646507485</v>
      </c>
      <c r="AB40" s="1" t="n">
        <f aca="false">AB16*AB38</f>
        <v>0.0218248073342219</v>
      </c>
      <c r="AC40" s="1" t="n">
        <f aca="false">AC16*AC38</f>
        <v>0.0229098304067676</v>
      </c>
      <c r="AD40" s="1" t="n">
        <f aca="false">AD16*AD38</f>
        <v>0.0240457237442825</v>
      </c>
      <c r="AE40" s="1" t="n">
        <f aca="false">AE16*AE38</f>
        <v>0.0252417606606284</v>
      </c>
      <c r="AF40" s="1" t="n">
        <f aca="false">AF16*AF38</f>
        <v>0.0265055843552041</v>
      </c>
      <c r="AG40" s="1" t="n">
        <f aca="false">AG16*AG38</f>
        <v>0.0278395985658282</v>
      </c>
      <c r="AH40" s="1" t="n">
        <f aca="false">AH16*AH38</f>
        <v>0.0292338614547494</v>
      </c>
      <c r="AI40" s="1" t="n">
        <f aca="false">AI16*AI38</f>
        <v>0.134475572040246</v>
      </c>
      <c r="AJ40" s="1" t="n">
        <f aca="false">AJ16*AJ38</f>
        <v>0.0368024388290079</v>
      </c>
    </row>
    <row r="41" customFormat="false" ht="15" hidden="false" customHeight="false" outlineLevel="0" collapsed="false">
      <c r="A41" s="1" t="s">
        <v>654</v>
      </c>
      <c r="G41" s="1" t="n">
        <f aca="false">G19*G38</f>
        <v>0.121803376889935</v>
      </c>
      <c r="H41" s="1" t="n">
        <f aca="false">H19*H38</f>
        <v>0.128604531852659</v>
      </c>
      <c r="I41" s="1" t="n">
        <f aca="false">I19*I38</f>
        <v>0.135499528716485</v>
      </c>
      <c r="J41" s="1" t="n">
        <f aca="false">J19*J38</f>
        <v>0.142569573264181</v>
      </c>
      <c r="K41" s="1" t="n">
        <f aca="false">K19*K38</f>
        <v>0.00743237399733874</v>
      </c>
      <c r="L41" s="1" t="n">
        <f aca="false">L19*L38</f>
        <v>0.0079392685882044</v>
      </c>
      <c r="M41" s="1" t="n">
        <f aca="false">M19*M38</f>
        <v>0.00842547181446266</v>
      </c>
      <c r="N41" s="1" t="n">
        <f aca="false">N19*N38</f>
        <v>0.00890286921911388</v>
      </c>
      <c r="O41" s="1" t="n">
        <f aca="false">O19*O38</f>
        <v>0.0093791461880432</v>
      </c>
      <c r="P41" s="1" t="n">
        <f aca="false">P19*P38</f>
        <v>0.00986403242932235</v>
      </c>
      <c r="Q41" s="1" t="n">
        <f aca="false">Q19*Q38</f>
        <v>0.0103615622172654</v>
      </c>
      <c r="R41" s="1" t="n">
        <f aca="false">R19*R38</f>
        <v>0.0108783787523182</v>
      </c>
      <c r="S41" s="1" t="n">
        <f aca="false">S19*S38</f>
        <v>0.0114153090177913</v>
      </c>
      <c r="T41" s="1" t="n">
        <f aca="false">T19*T38</f>
        <v>0.0119782100074495</v>
      </c>
      <c r="U41" s="1" t="n">
        <f aca="false">U19*U38</f>
        <v>0.0125652213745199</v>
      </c>
      <c r="V41" s="1" t="n">
        <f aca="false">V19*V38</f>
        <v>0.0131850798683021</v>
      </c>
      <c r="W41" s="1" t="n">
        <f aca="false">W19*W38</f>
        <v>0.0138355925593489</v>
      </c>
      <c r="X41" s="1" t="n">
        <f aca="false">X19*X38</f>
        <v>0.0145137707641461</v>
      </c>
      <c r="Y41" s="1" t="n">
        <f aca="false">Y19*Y38</f>
        <v>0.0152355855125362</v>
      </c>
      <c r="Z41" s="1" t="n">
        <f aca="false">Z19*Z38</f>
        <v>0.0159857950852941</v>
      </c>
      <c r="AA41" s="1" t="n">
        <f aca="false">AA19*AA38</f>
        <v>0.0167758297074845</v>
      </c>
      <c r="AB41" s="1" t="n">
        <f aca="false">AB19*AB38</f>
        <v>0.0176041487327597</v>
      </c>
      <c r="AC41" s="1" t="n">
        <f aca="false">AC19*AC38</f>
        <v>0.0184805654818387</v>
      </c>
      <c r="AD41" s="1" t="n">
        <f aca="false">AD19*AD38</f>
        <v>0.0193906258736423</v>
      </c>
      <c r="AE41" s="1" t="n">
        <f aca="false">AE19*AE38</f>
        <v>0.0203415127162474</v>
      </c>
      <c r="AF41" s="1" t="n">
        <f aca="false">AF19*AF38</f>
        <v>0.0213436473299623</v>
      </c>
      <c r="AG41" s="1" t="n">
        <f aca="false">AG19*AG38</f>
        <v>0.0223928019198266</v>
      </c>
      <c r="AH41" s="1" t="n">
        <f aca="false">AH19*AH38</f>
        <v>0.0234823763190357</v>
      </c>
      <c r="AI41" s="1" t="n">
        <f aca="false">AI19*AI38</f>
        <v>0.0246230022033356</v>
      </c>
      <c r="AJ41" s="1" t="n">
        <f aca="false">AJ19*AJ38</f>
        <v>0.025817098090821</v>
      </c>
    </row>
    <row r="42" customFormat="false" ht="15" hidden="false" customHeight="false" outlineLevel="0" collapsed="false">
      <c r="A42" s="1" t="s">
        <v>655</v>
      </c>
      <c r="G42" s="1" t="n">
        <f aca="false">G23*G38</f>
        <v>0.0146181548216121</v>
      </c>
      <c r="H42" s="1" t="n">
        <f aca="false">H23*H38</f>
        <v>0.0154440845742815</v>
      </c>
      <c r="I42" s="1" t="n">
        <f aca="false">I23*I38</f>
        <v>0.0162737480222598</v>
      </c>
      <c r="J42" s="1" t="n">
        <f aca="false">J23*J38</f>
        <v>0.0171207767356229</v>
      </c>
      <c r="K42" s="1" t="n">
        <f aca="false">K23*K38</f>
        <v>0.0179963804492377</v>
      </c>
      <c r="L42" s="1" t="n">
        <f aca="false">L23*L38</f>
        <v>0.0189096200145169</v>
      </c>
      <c r="M42" s="1" t="n">
        <f aca="false">M23*M38</f>
        <v>0.019868040052965</v>
      </c>
      <c r="N42" s="1" t="n">
        <f aca="false">N23*N38</f>
        <v>0.0208782787205366</v>
      </c>
      <c r="O42" s="1" t="n">
        <f aca="false">O23*O38</f>
        <v>0.0219458151429043</v>
      </c>
      <c r="P42" s="1" t="n">
        <f aca="false">P23*P38</f>
        <v>0.0230760075228045</v>
      </c>
      <c r="Q42" s="1" t="n">
        <f aca="false">Q23*Q38</f>
        <v>0.0242735881333085</v>
      </c>
      <c r="R42" s="1" t="n">
        <f aca="false">R23*R38</f>
        <v>0.0255432125121821</v>
      </c>
      <c r="S42" s="1" t="n">
        <f aca="false">S23*S38</f>
        <v>0.0268893442261972</v>
      </c>
      <c r="T42" s="1" t="n">
        <f aca="false">T23*T38</f>
        <v>0.0283157793846312</v>
      </c>
      <c r="U42" s="1" t="n">
        <f aca="false">U23*U38</f>
        <v>0.029827308330954</v>
      </c>
      <c r="V42" s="1" t="n">
        <f aca="false">V23*V38</f>
        <v>0.031428254344418</v>
      </c>
      <c r="W42" s="1" t="n">
        <f aca="false">W23*W38</f>
        <v>0.0331233895224922</v>
      </c>
      <c r="X42" s="1" t="n">
        <f aca="false">X23*X38</f>
        <v>0.0349158949376154</v>
      </c>
      <c r="Y42" s="1" t="n">
        <f aca="false">Y23*Y38</f>
        <v>0.0368113056263143</v>
      </c>
      <c r="Z42" s="1" t="n">
        <f aca="false">Z23*Z38</f>
        <v>0.0388137815449955</v>
      </c>
      <c r="AA42" s="1" t="n">
        <f aca="false">AA23*AA38</f>
        <v>0.0409286281957508</v>
      </c>
      <c r="AB42" s="1" t="n">
        <f aca="false">AB23*AB38</f>
        <v>0.0431592943524123</v>
      </c>
      <c r="AC42" s="1" t="n">
        <f aca="false">AC23*AC38</f>
        <v>0.045511487518048</v>
      </c>
      <c r="AD42" s="1" t="n">
        <f aca="false">AD23*AD38</f>
        <v>0.0479899961791822</v>
      </c>
      <c r="AE42" s="1" t="n">
        <f aca="false">AE23*AE38</f>
        <v>0.0505993730233825</v>
      </c>
      <c r="AF42" s="1" t="n">
        <f aca="false">AF23*AF38</f>
        <v>0.0533452039254827</v>
      </c>
      <c r="AG42" s="1" t="n">
        <f aca="false">AG23*AG38</f>
        <v>0.056231681630781</v>
      </c>
      <c r="AH42" s="1" t="n">
        <f aca="false">AH23*AH38</f>
        <v>0.0592641453021144</v>
      </c>
      <c r="AI42" s="1" t="n">
        <f aca="false">AI23*AI38</f>
        <v>0.062447931118415</v>
      </c>
      <c r="AJ42" s="1" t="n">
        <f aca="false">AJ23*AJ38</f>
        <v>0.0657864169022199</v>
      </c>
    </row>
    <row r="43" customFormat="false" ht="15" hidden="false" customHeight="false" outlineLevel="0" collapsed="false">
      <c r="A43" s="1" t="s">
        <v>656</v>
      </c>
      <c r="G43" s="1" t="n">
        <f aca="false">G24*G38</f>
        <v>0.160870377227871</v>
      </c>
      <c r="H43" s="1" t="n">
        <f aca="false">H24*H38</f>
        <v>0.16913455102796</v>
      </c>
      <c r="I43" s="1" t="n">
        <f aca="false">I24*I38</f>
        <v>0.177355389985455</v>
      </c>
      <c r="J43" s="1" t="n">
        <f aca="false">J24*J38</f>
        <v>0.185680761659947</v>
      </c>
      <c r="K43" s="1" t="n">
        <f aca="false">K24*K38</f>
        <v>0.194229526512908</v>
      </c>
      <c r="L43" s="1" t="n">
        <f aca="false">L24*L38</f>
        <v>0.203095138730676</v>
      </c>
      <c r="M43" s="1" t="n">
        <f aca="false">M24*M38</f>
        <v>0.212352996638284</v>
      </c>
      <c r="N43" s="1" t="n">
        <f aca="false">N24*N38</f>
        <v>0.222067344275123</v>
      </c>
      <c r="O43" s="1" t="n">
        <f aca="false">O24*O38</f>
        <v>0.232288850665619</v>
      </c>
      <c r="P43" s="1" t="n">
        <f aca="false">P24*P38</f>
        <v>0.243065858363782</v>
      </c>
      <c r="Q43" s="1" t="n">
        <f aca="false">Q24*Q38</f>
        <v>0.254439133881485</v>
      </c>
      <c r="R43" s="1" t="n">
        <f aca="false">R24*R38</f>
        <v>0.266447768359917</v>
      </c>
      <c r="S43" s="1" t="n">
        <f aca="false">S24*S38</f>
        <v>0.279128011745251</v>
      </c>
      <c r="T43" s="1" t="n">
        <f aca="false">T24*T38</f>
        <v>0.292508419941913</v>
      </c>
      <c r="U43" s="1" t="n">
        <f aca="false">U24*U38</f>
        <v>0.30662711458328</v>
      </c>
      <c r="V43" s="1" t="n">
        <f aca="false">V24*V38</f>
        <v>0.321516593981445</v>
      </c>
      <c r="W43" s="1" t="n">
        <f aca="false">W24*W38</f>
        <v>0.337213183950816</v>
      </c>
      <c r="X43" s="1" t="n">
        <f aca="false">X24*X38</f>
        <v>0.35373627051994</v>
      </c>
      <c r="Y43" s="1" t="n">
        <f aca="false">Y24*Y38</f>
        <v>0.371128474656637</v>
      </c>
      <c r="Z43" s="1" t="n">
        <f aca="false">Z24*Z38</f>
        <v>0.389417669375046</v>
      </c>
      <c r="AA43" s="1" t="n">
        <f aca="false">AA24*AA38</f>
        <v>0.408642493271929</v>
      </c>
      <c r="AB43" s="1" t="n">
        <f aca="false">AB24*AB38</f>
        <v>0.428822251614052</v>
      </c>
      <c r="AC43" s="1" t="n">
        <f aca="false">AC24*AC38</f>
        <v>0.449998067291748</v>
      </c>
      <c r="AD43" s="1" t="n">
        <f aca="false">AD24*AD38</f>
        <v>0.472201077931557</v>
      </c>
      <c r="AE43" s="1" t="n">
        <f aca="false">AE24*AE38</f>
        <v>0.495459357355223</v>
      </c>
      <c r="AF43" s="1" t="n">
        <f aca="false">AF24*AF38</f>
        <v>0.519810346760745</v>
      </c>
      <c r="AG43" s="1" t="n">
        <f aca="false">AG24*AG38</f>
        <v>0.545277091580107</v>
      </c>
      <c r="AH43" s="1" t="n">
        <f aca="false">AH24*AH38</f>
        <v>0.571893087173888</v>
      </c>
      <c r="AI43" s="1" t="n">
        <f aca="false">AI24*AI38</f>
        <v>0.599690980679301</v>
      </c>
      <c r="AJ43" s="1" t="n">
        <f aca="false">AJ24*AJ38</f>
        <v>0.628683895961314</v>
      </c>
    </row>
    <row r="44" customFormat="false" ht="15" hidden="false" customHeight="false" outlineLevel="0" collapsed="false">
      <c r="A44" s="1" t="s">
        <v>657</v>
      </c>
      <c r="G44" s="1" t="n">
        <f aca="false">G25*G38</f>
        <v>0.0633881704557762</v>
      </c>
      <c r="H44" s="1" t="n">
        <f aca="false">H25*H38</f>
        <v>0.0666445242142696</v>
      </c>
      <c r="I44" s="1" t="n">
        <f aca="false">I25*I38</f>
        <v>0.0698838026327507</v>
      </c>
      <c r="J44" s="1" t="n">
        <f aca="false">J25*J38</f>
        <v>0.0731642703478409</v>
      </c>
      <c r="K44" s="1" t="n">
        <f aca="false">K25*K38</f>
        <v>0.0765327622543293</v>
      </c>
      <c r="L44" s="1" t="n">
        <f aca="false">L25*L38</f>
        <v>0.0800261023467608</v>
      </c>
      <c r="M44" s="1" t="n">
        <f aca="false">M25*M38</f>
        <v>0.0836740000219901</v>
      </c>
      <c r="N44" s="1" t="n">
        <f aca="false">N25*N38</f>
        <v>0.0875017695248763</v>
      </c>
      <c r="O44" s="1" t="n">
        <f aca="false">O25*O38</f>
        <v>0.0915293761020511</v>
      </c>
      <c r="P44" s="1" t="n">
        <f aca="false">P25*P38</f>
        <v>0.0957758682949968</v>
      </c>
      <c r="Q44" s="1" t="n">
        <f aca="false">Q25*Q38</f>
        <v>0.100257309437734</v>
      </c>
      <c r="R44" s="1" t="n">
        <f aca="false">R25*R38</f>
        <v>0.104989102713644</v>
      </c>
      <c r="S44" s="1" t="n">
        <f aca="false">S25*S38</f>
        <v>0.109985531782694</v>
      </c>
      <c r="T44" s="1" t="n">
        <f aca="false">T25*T38</f>
        <v>0.115257848601697</v>
      </c>
      <c r="U44" s="1" t="n">
        <f aca="false">U25*U38</f>
        <v>0.120821074336366</v>
      </c>
      <c r="V44" s="1" t="n">
        <f aca="false">V25*V38</f>
        <v>0.126688014380596</v>
      </c>
      <c r="W44" s="1" t="n">
        <f aca="false">W25*W38</f>
        <v>0.132872982288911</v>
      </c>
      <c r="X44" s="1" t="n">
        <f aca="false">X25*X38</f>
        <v>0.139383616788236</v>
      </c>
      <c r="Y44" s="1" t="n">
        <f aca="false">Y25*Y38</f>
        <v>0.146236711928661</v>
      </c>
      <c r="Z44" s="1" t="n">
        <f aca="false">Z25*Z38</f>
        <v>0.153443250585975</v>
      </c>
      <c r="AA44" s="1" t="n">
        <f aca="false">AA25*AA38</f>
        <v>0.16101845762631</v>
      </c>
      <c r="AB44" s="1" t="n">
        <f aca="false">AB25*AB38</f>
        <v>0.168969939953817</v>
      </c>
      <c r="AC44" s="1" t="n">
        <f aca="false">AC25*AC38</f>
        <v>0.177313901327244</v>
      </c>
      <c r="AD44" s="1" t="n">
        <f aca="false">AD25*AD38</f>
        <v>0.18606261098604</v>
      </c>
      <c r="AE44" s="1" t="n">
        <f aca="false">AE25*AE38</f>
        <v>0.195227130930735</v>
      </c>
      <c r="AF44" s="1" t="n">
        <f aca="false">AF25*AF38</f>
        <v>0.204822214213331</v>
      </c>
      <c r="AG44" s="1" t="n">
        <f aca="false">AG25*AG38</f>
        <v>0.214856941484945</v>
      </c>
      <c r="AH44" s="1" t="n">
        <f aca="false">AH25*AH38</f>
        <v>0.225344511009066</v>
      </c>
      <c r="AI44" s="1" t="n">
        <f aca="false">AI25*AI38</f>
        <v>0.236297786821534</v>
      </c>
      <c r="AJ44" s="1" t="n">
        <f aca="false">AJ25*AJ38</f>
        <v>0.247721940152777</v>
      </c>
    </row>
    <row r="45" customFormat="false" ht="15" hidden="false" customHeight="false" outlineLevel="0" collapsed="false">
      <c r="A45" s="1" t="s">
        <v>658</v>
      </c>
      <c r="G45" s="1" t="n">
        <f aca="false">G27*G38</f>
        <v>0.0974822067720945</v>
      </c>
      <c r="H45" s="1" t="n">
        <f aca="false">H27*H38</f>
        <v>0.102490026813691</v>
      </c>
      <c r="I45" s="1" t="n">
        <f aca="false">I27*I38</f>
        <v>0.107471587352704</v>
      </c>
      <c r="J45" s="1" t="n">
        <f aca="false">J27*J38</f>
        <v>0.112516491312106</v>
      </c>
      <c r="K45" s="1" t="n">
        <f aca="false">K27*K38</f>
        <v>0.117696764258578</v>
      </c>
      <c r="L45" s="1" t="n">
        <f aca="false">L27*L38</f>
        <v>0.123069036383915</v>
      </c>
      <c r="M45" s="1" t="n">
        <f aca="false">M27*M38</f>
        <v>0.128678996616294</v>
      </c>
      <c r="N45" s="1" t="n">
        <f aca="false">N27*N38</f>
        <v>0.134565574750247</v>
      </c>
      <c r="O45" s="1" t="n">
        <f aca="false">O27*O38</f>
        <v>0.140759474563568</v>
      </c>
      <c r="P45" s="1" t="n">
        <f aca="false">P27*P38</f>
        <v>0.147289990068786</v>
      </c>
      <c r="Q45" s="1" t="n">
        <f aca="false">Q27*Q38</f>
        <v>0.154181824443751</v>
      </c>
      <c r="R45" s="1" t="n">
        <f aca="false">R27*R38</f>
        <v>0.161458665646273</v>
      </c>
      <c r="S45" s="1" t="n">
        <f aca="false">S27*S38</f>
        <v>0.169142479962558</v>
      </c>
      <c r="T45" s="1" t="n">
        <f aca="false">T27*T38</f>
        <v>0.177250571340216</v>
      </c>
      <c r="U45" s="1" t="n">
        <f aca="false">U27*U38</f>
        <v>0.185806040246914</v>
      </c>
      <c r="V45" s="1" t="n">
        <f aca="false">V27*V38</f>
        <v>0.194828579600849</v>
      </c>
      <c r="W45" s="1" t="n">
        <f aca="false">W27*W38</f>
        <v>0.204340201661905</v>
      </c>
      <c r="X45" s="1" t="n">
        <f aca="false">X27*X38</f>
        <v>0.214352653731704</v>
      </c>
      <c r="Y45" s="1" t="n">
        <f aca="false">Y27*Y38</f>
        <v>0.224891762727976</v>
      </c>
      <c r="Z45" s="1" t="n">
        <f aca="false">Z27*Z38</f>
        <v>0.235974418789071</v>
      </c>
      <c r="AA45" s="1" t="n">
        <f aca="false">AA27*AA38</f>
        <v>0.247624035645619</v>
      </c>
      <c r="AB45" s="1" t="n">
        <f aca="false">AB27*AB38</f>
        <v>0.259852311660234</v>
      </c>
      <c r="AC45" s="1" t="n">
        <f aca="false">AC27*AC38</f>
        <v>0.272684165964504</v>
      </c>
      <c r="AD45" s="1" t="n">
        <f aca="false">AD27*AD38</f>
        <v>0.286138466945517</v>
      </c>
      <c r="AE45" s="1" t="n">
        <f aca="false">AE27*AE38</f>
        <v>0.300232226424488</v>
      </c>
      <c r="AF45" s="1" t="n">
        <f aca="false">AF27*AF38</f>
        <v>0.314988132547414</v>
      </c>
      <c r="AG45" s="1" t="n">
        <f aca="false">AG27*AG38</f>
        <v>0.330420150095161</v>
      </c>
      <c r="AH45" s="1" t="n">
        <f aca="false">AH27*AH38</f>
        <v>0.346548576164822</v>
      </c>
      <c r="AI45" s="1" t="n">
        <f aca="false">AI27*AI38</f>
        <v>0.363393193857767</v>
      </c>
      <c r="AJ45" s="1" t="n">
        <f aca="false">AJ27*AJ38</f>
        <v>0.380961955808537</v>
      </c>
    </row>
    <row r="46" customFormat="false" ht="15" hidden="false" customHeight="false" outlineLevel="0" collapsed="false">
      <c r="A46" s="1" t="s">
        <v>659</v>
      </c>
      <c r="G46" s="1" t="n">
        <f aca="false">G29*G38</f>
        <v>-2.24003697965488</v>
      </c>
      <c r="H46" s="1" t="n">
        <f aca="false">H29*H38</f>
        <v>-2.38942391634968</v>
      </c>
      <c r="I46" s="1" t="n">
        <f aca="false">I29*I38</f>
        <v>-2.53601895140097</v>
      </c>
      <c r="J46" s="1" t="n">
        <f aca="false">J29*J38</f>
        <v>-2.68377165197651</v>
      </c>
      <c r="K46" s="1" t="n">
        <f aca="false">K29*K38</f>
        <v>-13.8912686134264</v>
      </c>
      <c r="L46" s="1" t="n">
        <f aca="false">L29*L38</f>
        <v>-14.9611603155736</v>
      </c>
      <c r="M46" s="1" t="n">
        <f aca="false">M29*M38</f>
        <v>-16.1167036161708</v>
      </c>
      <c r="N46" s="1" t="n">
        <f aca="false">N29*N38</f>
        <v>-17.3674191021215</v>
      </c>
      <c r="O46" s="1" t="n">
        <f aca="false">O29*O38</f>
        <v>-18.7228534710296</v>
      </c>
      <c r="P46" s="1" t="n">
        <f aca="false">P29*P38</f>
        <v>-20.1929247343023</v>
      </c>
      <c r="Q46" s="1" t="n">
        <f aca="false">Q29*Q38</f>
        <v>-21.7881632733208</v>
      </c>
      <c r="R46" s="1" t="n">
        <f aca="false">R29*R38</f>
        <v>-23.5194837313008</v>
      </c>
      <c r="S46" s="1" t="n">
        <f aca="false">S29*S38</f>
        <v>-25.3988953832899</v>
      </c>
      <c r="T46" s="1" t="n">
        <f aca="false">T29*T38</f>
        <v>-27.4380151133671</v>
      </c>
      <c r="U46" s="1" t="n">
        <f aca="false">U29*U38</f>
        <v>-29.6510104130015</v>
      </c>
      <c r="V46" s="1" t="n">
        <f aca="false">V29*V38</f>
        <v>-32.0513503902591</v>
      </c>
      <c r="W46" s="1" t="n">
        <f aca="false">W29*W38</f>
        <v>-34.655024010225</v>
      </c>
      <c r="X46" s="1" t="n">
        <f aca="false">X29*X38</f>
        <v>-37.4773767062804</v>
      </c>
      <c r="Y46" s="1" t="n">
        <f aca="false">Y29*Y38</f>
        <v>-40.5351395090868</v>
      </c>
      <c r="Z46" s="1" t="n">
        <f aca="false">Z29*Z38</f>
        <v>-43.8482274601717</v>
      </c>
      <c r="AA46" s="1" t="n">
        <f aca="false">AA29*AA38</f>
        <v>-47.4359061895798</v>
      </c>
      <c r="AB46" s="1" t="n">
        <f aca="false">AB29*AB38</f>
        <v>-51.3179593456515</v>
      </c>
      <c r="AC46" s="1" t="n">
        <f aca="false">AC29*AC38</f>
        <v>-55.5166844302616</v>
      </c>
      <c r="AD46" s="1" t="n">
        <f aca="false">AD29*AD38</f>
        <v>-60.0578650249617</v>
      </c>
      <c r="AE46" s="1" t="n">
        <f aca="false">AE29*AE38</f>
        <v>-64.9655653704237</v>
      </c>
      <c r="AF46" s="1" t="n">
        <f aca="false">AF29*AF38</f>
        <v>-70.266157568065</v>
      </c>
      <c r="AG46" s="1" t="n">
        <f aca="false">AG29*AG38</f>
        <v>-75.9877854624496</v>
      </c>
      <c r="AH46" s="1" t="n">
        <f aca="false">AH29*AH38</f>
        <v>-82.1622849054427</v>
      </c>
      <c r="AI46" s="1" t="n">
        <f aca="false">AI29*AI38</f>
        <v>-88.8206724633128</v>
      </c>
      <c r="AJ46" s="1" t="n">
        <f aca="false">AJ29*AJ38</f>
        <v>-95.9940661676964</v>
      </c>
    </row>
    <row r="47" customFormat="false" ht="15" hidden="false" customHeight="false" outlineLevel="0" collapsed="false">
      <c r="A47" s="1" t="s">
        <v>660</v>
      </c>
      <c r="G47" s="1" t="n">
        <f aca="false">G30*G38</f>
        <v>8.36857658374598</v>
      </c>
      <c r="H47" s="1" t="n">
        <f aca="false">H30*H38</f>
        <v>9.10912799518233</v>
      </c>
      <c r="I47" s="1" t="n">
        <f aca="false">I30*I38</f>
        <v>9.89433435322395</v>
      </c>
      <c r="J47" s="1" t="n">
        <f aca="false">J30*J38</f>
        <v>10.7325745259265</v>
      </c>
      <c r="K47" s="1" t="n">
        <f aca="false">K30*K38</f>
        <v>0.576810136978659</v>
      </c>
      <c r="L47" s="1" t="n">
        <f aca="false">L30*L38</f>
        <v>0.635205265020895</v>
      </c>
      <c r="M47" s="1" t="n">
        <f aca="false">M30*M38</f>
        <v>0.694954050416008</v>
      </c>
      <c r="N47" s="1" t="n">
        <f aca="false">N30*N38</f>
        <v>0.757042253500281</v>
      </c>
      <c r="O47" s="1" t="n">
        <f aca="false">O30*O38</f>
        <v>0.82220799768902</v>
      </c>
      <c r="P47" s="1" t="n">
        <f aca="false">P30*P38</f>
        <v>0.891458538310611</v>
      </c>
      <c r="Q47" s="1" t="n">
        <f aca="false">Q30*Q38</f>
        <v>0.965384146167968</v>
      </c>
      <c r="R47" s="1" t="n">
        <f aca="false">R30*R38</f>
        <v>1.0448822812117</v>
      </c>
      <c r="S47" s="1" t="n">
        <f aca="false">S30*S38</f>
        <v>1.13036610754385</v>
      </c>
      <c r="T47" s="1" t="n">
        <f aca="false">T30*T38</f>
        <v>1.22278933883456</v>
      </c>
      <c r="U47" s="1" t="n">
        <f aca="false">U30*U38</f>
        <v>1.32238565870288</v>
      </c>
      <c r="V47" s="1" t="n">
        <f aca="false">V30*V38</f>
        <v>1.43053674236993</v>
      </c>
      <c r="W47" s="1" t="n">
        <f aca="false">W30*W38</f>
        <v>1.54754142023996</v>
      </c>
      <c r="X47" s="1" t="n">
        <f aca="false">X30*X38</f>
        <v>1.67360530122918</v>
      </c>
      <c r="Y47" s="1" t="n">
        <f aca="false">Y30*Y38</f>
        <v>1.81117409650478</v>
      </c>
      <c r="Z47" s="1" t="n">
        <f aca="false">Z30*Z38</f>
        <v>1.95913136040017</v>
      </c>
      <c r="AA47" s="1" t="n">
        <f aca="false">AA30*AA38</f>
        <v>2.11953986618493</v>
      </c>
      <c r="AB47" s="1" t="n">
        <f aca="false">AB30*AB38</f>
        <v>2.29298321441507</v>
      </c>
      <c r="AC47" s="1" t="n">
        <f aca="false">AC30*AC38</f>
        <v>2.4815862153156</v>
      </c>
      <c r="AD47" s="1" t="n">
        <f aca="false">AD30*AD38</f>
        <v>2.68431949159128</v>
      </c>
      <c r="AE47" s="1" t="n">
        <f aca="false">AE30*AE38</f>
        <v>2.9030458170601</v>
      </c>
      <c r="AF47" s="1" t="n">
        <f aca="false">AF30*AF38</f>
        <v>3.14027401538962</v>
      </c>
      <c r="AG47" s="1" t="n">
        <f aca="false">AG30*AG38</f>
        <v>3.39653124081106</v>
      </c>
      <c r="AH47" s="1" t="n">
        <f aca="false">AH30*AH38</f>
        <v>3.67195613400649</v>
      </c>
      <c r="AI47" s="1" t="n">
        <f aca="false">AI30*AI38</f>
        <v>3.96939858434024</v>
      </c>
      <c r="AJ47" s="1" t="n">
        <f aca="false">AJ30*AJ38</f>
        <v>4.29061352173985</v>
      </c>
    </row>
    <row r="48" customFormat="false" ht="15" hidden="false" customHeight="false" outlineLevel="0" collapsed="false">
      <c r="A48" s="1" t="s">
        <v>661</v>
      </c>
      <c r="G48" s="1" t="n">
        <f aca="false">SUMPRODUCT('Cap Engine'!$B$7:$B$43*('Cap Engine'!$J$7:$J$43&lt;=(in_anchor_year+G4))*(((in_anchor_year+G4)-'Cap Engine'!$J$7:$J$43)&lt;in_ppe_life))</f>
        <v>0.111216</v>
      </c>
      <c r="H48" s="1" t="n">
        <f aca="false">SUMPRODUCT('Cap Engine'!$B$7:$B$43*('Cap Engine'!$J$7:$J$43&lt;=(in_anchor_year+H4))*(((in_anchor_year+H4)-'Cap Engine'!$J$7:$J$43)&lt;in_ppe_life))</f>
        <v>0.098482</v>
      </c>
      <c r="I48" s="1" t="n">
        <f aca="false">SUMPRODUCT('Cap Engine'!$B$7:$B$43*('Cap Engine'!$J$7:$J$43&lt;=(in_anchor_year+I4))*(((in_anchor_year+I4)-'Cap Engine'!$J$7:$J$43)&lt;in_ppe_life))</f>
        <v>0.086031</v>
      </c>
      <c r="J48" s="1" t="n">
        <f aca="false">SUMPRODUCT('Cap Engine'!$B$7:$B$43*('Cap Engine'!$J$7:$J$43&lt;=(in_anchor_year+J4))*(((in_anchor_year+J4)-'Cap Engine'!$J$7:$J$43)&lt;in_ppe_life))</f>
        <v>0.072718</v>
      </c>
      <c r="K48" s="1" t="n">
        <f aca="false">SUMPRODUCT('Cap Engine'!$B$7:$B$43*('Cap Engine'!$J$7:$J$43&lt;=(in_anchor_year+K4))*(((in_anchor_year+K4)-'Cap Engine'!$J$7:$J$43)&lt;in_ppe_life))</f>
        <v>0.062223</v>
      </c>
      <c r="L48" s="1" t="n">
        <f aca="false">SUMPRODUCT('Cap Engine'!$B$7:$B$43*('Cap Engine'!$J$7:$J$43&lt;=(in_anchor_year+L4))*(((in_anchor_year+L4)-'Cap Engine'!$J$7:$J$43)&lt;in_ppe_life))</f>
        <v>0.054914</v>
      </c>
      <c r="M48" s="1" t="n">
        <f aca="false">SUMPRODUCT('Cap Engine'!$B$7:$B$43*('Cap Engine'!$J$7:$J$43&lt;=(in_anchor_year+M4))*(((in_anchor_year+M4)-'Cap Engine'!$J$7:$J$43)&lt;in_ppe_life))</f>
        <v>0.043829</v>
      </c>
      <c r="N48" s="1" t="n">
        <f aca="false">SUMPRODUCT('Cap Engine'!$B$7:$B$43*('Cap Engine'!$J$7:$J$43&lt;=(in_anchor_year+N4))*(((in_anchor_year+N4)-'Cap Engine'!$J$7:$J$43)&lt;in_ppe_life))</f>
        <v>0.033121</v>
      </c>
      <c r="O48" s="1" t="n">
        <f aca="false">SUMPRODUCT('Cap Engine'!$B$7:$B$43*('Cap Engine'!$J$7:$J$43&lt;=(in_anchor_year+O4))*(((in_anchor_year+O4)-'Cap Engine'!$J$7:$J$43)&lt;in_ppe_life))</f>
        <v>0.022162</v>
      </c>
      <c r="P48" s="1" t="n">
        <f aca="false">SUMPRODUCT('Cap Engine'!$B$7:$B$43*('Cap Engine'!$J$7:$J$43&lt;=(in_anchor_year+P4))*(((in_anchor_year+P4)-'Cap Engine'!$J$7:$J$43)&lt;in_ppe_life))</f>
        <v>0.012715</v>
      </c>
      <c r="Q48" s="1" t="n">
        <f aca="false">SUMPRODUCT('Cap Engine'!$B$7:$B$43*('Cap Engine'!$J$7:$J$43&lt;=(in_anchor_year+Q4))*(((in_anchor_year+Q4)-'Cap Engine'!$J$7:$J$43)&lt;in_ppe_life))</f>
        <v>0</v>
      </c>
      <c r="R48" s="1" t="n">
        <f aca="false">SUMPRODUCT('Cap Engine'!$B$7:$B$43*('Cap Engine'!$J$7:$J$43&lt;=(in_anchor_year+R4))*(((in_anchor_year+R4)-'Cap Engine'!$J$7:$J$43)&lt;in_ppe_life))</f>
        <v>0</v>
      </c>
      <c r="S48" s="1" t="n">
        <f aca="false">SUMPRODUCT('Cap Engine'!$B$7:$B$43*('Cap Engine'!$J$7:$J$43&lt;=(in_anchor_year+S4))*(((in_anchor_year+S4)-'Cap Engine'!$J$7:$J$43)&lt;in_ppe_life))</f>
        <v>0</v>
      </c>
      <c r="T48" s="1" t="n">
        <f aca="false">SUMPRODUCT('Cap Engine'!$B$7:$B$43*('Cap Engine'!$J$7:$J$43&lt;=(in_anchor_year+T4))*(((in_anchor_year+T4)-'Cap Engine'!$J$7:$J$43)&lt;in_ppe_life))</f>
        <v>0</v>
      </c>
      <c r="U48" s="1" t="n">
        <f aca="false">SUMPRODUCT('Cap Engine'!$B$7:$B$43*('Cap Engine'!$J$7:$J$43&lt;=(in_anchor_year+U4))*(((in_anchor_year+U4)-'Cap Engine'!$J$7:$J$43)&lt;in_ppe_life))</f>
        <v>0</v>
      </c>
      <c r="V48" s="1" t="n">
        <f aca="false">SUMPRODUCT('Cap Engine'!$B$7:$B$43*('Cap Engine'!$J$7:$J$43&lt;=(in_anchor_year+V4))*(((in_anchor_year+V4)-'Cap Engine'!$J$7:$J$43)&lt;in_ppe_life))</f>
        <v>0</v>
      </c>
      <c r="W48" s="1" t="n">
        <f aca="false">SUMPRODUCT('Cap Engine'!$B$7:$B$43*('Cap Engine'!$J$7:$J$43&lt;=(in_anchor_year+W4))*(((in_anchor_year+W4)-'Cap Engine'!$J$7:$J$43)&lt;in_ppe_life))</f>
        <v>0</v>
      </c>
      <c r="X48" s="1" t="n">
        <f aca="false">SUMPRODUCT('Cap Engine'!$B$7:$B$43*('Cap Engine'!$J$7:$J$43&lt;=(in_anchor_year+X4))*(((in_anchor_year+X4)-'Cap Engine'!$J$7:$J$43)&lt;in_ppe_life))</f>
        <v>0</v>
      </c>
      <c r="Y48" s="1" t="n">
        <f aca="false">SUMPRODUCT('Cap Engine'!$B$7:$B$43*('Cap Engine'!$J$7:$J$43&lt;=(in_anchor_year+Y4))*(((in_anchor_year+Y4)-'Cap Engine'!$J$7:$J$43)&lt;in_ppe_life))</f>
        <v>0</v>
      </c>
      <c r="Z48" s="1" t="n">
        <f aca="false">SUMPRODUCT('Cap Engine'!$B$7:$B$43*('Cap Engine'!$J$7:$J$43&lt;=(in_anchor_year+Z4))*(((in_anchor_year+Z4)-'Cap Engine'!$J$7:$J$43)&lt;in_ppe_life))</f>
        <v>0</v>
      </c>
      <c r="AA48" s="1" t="n">
        <f aca="false">SUMPRODUCT('Cap Engine'!$B$7:$B$43*('Cap Engine'!$J$7:$J$43&lt;=(in_anchor_year+AA4))*(((in_anchor_year+AA4)-'Cap Engine'!$J$7:$J$43)&lt;in_ppe_life))</f>
        <v>0</v>
      </c>
      <c r="AB48" s="1" t="n">
        <f aca="false">SUMPRODUCT('Cap Engine'!$B$7:$B$43*('Cap Engine'!$J$7:$J$43&lt;=(in_anchor_year+AB4))*(((in_anchor_year+AB4)-'Cap Engine'!$J$7:$J$43)&lt;in_ppe_life))</f>
        <v>0</v>
      </c>
      <c r="AC48" s="1" t="n">
        <f aca="false">SUMPRODUCT('Cap Engine'!$B$7:$B$43*('Cap Engine'!$J$7:$J$43&lt;=(in_anchor_year+AC4))*(((in_anchor_year+AC4)-'Cap Engine'!$J$7:$J$43)&lt;in_ppe_life))</f>
        <v>0</v>
      </c>
      <c r="AD48" s="1" t="n">
        <f aca="false">SUMPRODUCT('Cap Engine'!$B$7:$B$43*('Cap Engine'!$J$7:$J$43&lt;=(in_anchor_year+AD4))*(((in_anchor_year+AD4)-'Cap Engine'!$J$7:$J$43)&lt;in_ppe_life))</f>
        <v>0</v>
      </c>
      <c r="AE48" s="1" t="n">
        <f aca="false">SUMPRODUCT('Cap Engine'!$B$7:$B$43*('Cap Engine'!$J$7:$J$43&lt;=(in_anchor_year+AE4))*(((in_anchor_year+AE4)-'Cap Engine'!$J$7:$J$43)&lt;in_ppe_life))</f>
        <v>0</v>
      </c>
      <c r="AF48" s="1" t="n">
        <f aca="false">SUMPRODUCT('Cap Engine'!$B$7:$B$43*('Cap Engine'!$J$7:$J$43&lt;=(in_anchor_year+AF4))*(((in_anchor_year+AF4)-'Cap Engine'!$J$7:$J$43)&lt;in_ppe_life))</f>
        <v>0</v>
      </c>
      <c r="AG48" s="1" t="n">
        <f aca="false">SUMPRODUCT('Cap Engine'!$B$7:$B$43*('Cap Engine'!$J$7:$J$43&lt;=(in_anchor_year+AG4))*(((in_anchor_year+AG4)-'Cap Engine'!$J$7:$J$43)&lt;in_ppe_life))</f>
        <v>0</v>
      </c>
      <c r="AH48" s="1" t="n">
        <f aca="false">SUMPRODUCT('Cap Engine'!$B$7:$B$43*('Cap Engine'!$J$7:$J$43&lt;=(in_anchor_year+AH4))*(((in_anchor_year+AH4)-'Cap Engine'!$J$7:$J$43)&lt;in_ppe_life))</f>
        <v>0</v>
      </c>
      <c r="AI48" s="1" t="n">
        <f aca="false">SUMPRODUCT('Cap Engine'!$B$7:$B$43*('Cap Engine'!$J$7:$J$43&lt;=(in_anchor_year+AI4))*(((in_anchor_year+AI4)-'Cap Engine'!$J$7:$J$43)&lt;in_ppe_life))</f>
        <v>0</v>
      </c>
      <c r="AJ48" s="1" t="n">
        <f aca="false">SUMPRODUCT('Cap Engine'!$B$7:$B$43*('Cap Engine'!$J$7:$J$43&lt;=(in_anchor_year+AJ4))*(((in_anchor_year+AJ4)-'Cap Engine'!$J$7:$J$43)&lt;in_ppe_life))</f>
        <v>0</v>
      </c>
    </row>
    <row r="49" customFormat="false" ht="15" hidden="false" customHeight="false" outlineLevel="0" collapsed="false">
      <c r="A49" s="1" t="s">
        <v>662</v>
      </c>
      <c r="G49" s="1" t="n">
        <f aca="false">G48/in_ppe_life+SUMPRODUCT(($G$4:G4&gt;G4-in_ppe_life)*$G$23:G23*$G$38:G38)/in_ppe_life</f>
        <v>0.0121344411592683</v>
      </c>
      <c r="H49" s="1" t="n">
        <f aca="false">H48/in_ppe_life+SUMPRODUCT(($G$4:H4&gt;H4-in_ppe_life)*$G$23:H23*$G$38:H38)/in_ppe_life</f>
        <v>0.0123957800767496</v>
      </c>
      <c r="I49" s="1" t="n">
        <f aca="false">I48/in_ppe_life+SUMPRODUCT(($G$4:I4&gt;I4-in_ppe_life)*$G$23:I23*$G$38:I38)/in_ppe_life</f>
        <v>0.0127644153730138</v>
      </c>
      <c r="J49" s="1" t="n">
        <f aca="false">J48/in_ppe_life+SUMPRODUCT(($G$4:J4&gt;J4-in_ppe_life)*$G$23:J23*$G$38:J38)/in_ppe_life</f>
        <v>0.0131316069579341</v>
      </c>
      <c r="K49" s="1" t="n">
        <f aca="false">K48/in_ppe_life+SUMPRODUCT(($G$4:K4&gt;K4-in_ppe_life)*$G$23:K23*$G$38:K38)/in_ppe_life</f>
        <v>0.0138549801931547</v>
      </c>
      <c r="L49" s="1" t="n">
        <f aca="false">L48/in_ppe_life+SUMPRODUCT(($G$4:L4&gt;L4-in_ppe_life)*$G$23:L23*$G$38:L38)/in_ppe_life</f>
        <v>0.014973651361382</v>
      </c>
      <c r="M49" s="1" t="n">
        <f aca="false">M48/in_ppe_life+SUMPRODUCT(($G$4:M4&gt;M4-in_ppe_life)*$G$23:M23*$G$38:M38)/in_ppe_life</f>
        <v>0.0158206176152841</v>
      </c>
      <c r="N49" s="1" t="n">
        <f aca="false">N48/in_ppe_life+SUMPRODUCT(($G$4:N4&gt;N4-in_ppe_life)*$G$23:N23*$G$38:N38)/in_ppe_life</f>
        <v>0.0168013580897813</v>
      </c>
      <c r="O49" s="1" t="n">
        <f aca="false">O48/in_ppe_life+SUMPRODUCT(($G$4:O4&gt;O4-in_ppe_life)*$G$23:O23*$G$38:O38)/in_ppe_life</f>
        <v>0.0178608388171588</v>
      </c>
      <c r="P49" s="1" t="n">
        <f aca="false">P48/in_ppe_life+SUMPRODUCT(($G$4:P4&gt;P4-in_ppe_life)*$G$23:P23*$G$38:P38)/in_ppe_life</f>
        <v>0.0191751114808815</v>
      </c>
      <c r="Q49" s="1" t="n">
        <f aca="false">Q48/in_ppe_life+SUMPRODUCT(($G$4:Q4&gt;Q4-in_ppe_life)*$G$23:Q23*$G$38:Q38)/in_ppe_life</f>
        <v>0.0202897294300916</v>
      </c>
      <c r="R49" s="1" t="n">
        <f aca="false">R48/in_ppe_life+SUMPRODUCT(($G$4:R4&gt;R4-in_ppe_life)*$G$23:R23*$G$38:R38)/in_ppe_life</f>
        <v>0.0213432547618727</v>
      </c>
      <c r="S49" s="1" t="n">
        <f aca="false">S48/in_ppe_life+SUMPRODUCT(($G$4:S4&gt;S4-in_ppe_life)*$G$23:S23*$G$38:S38)/in_ppe_life</f>
        <v>0.0224469442172166</v>
      </c>
      <c r="T49" s="1" t="n">
        <f aca="false">T48/in_ppe_life+SUMPRODUCT(($G$4:T4&gt;T4-in_ppe_life)*$G$23:T23*$G$38:T38)/in_ppe_life</f>
        <v>0.0236081815713507</v>
      </c>
      <c r="U49" s="1" t="n">
        <f aca="false">U48/in_ppe_life+SUMPRODUCT(($G$4:U4&gt;U4-in_ppe_life)*$G$23:U23*$G$38:U38)/in_ppe_life</f>
        <v>0.0248334980222023</v>
      </c>
      <c r="V49" s="1" t="n">
        <f aca="false">V48/in_ppe_life+SUMPRODUCT(($G$4:V4&gt;V4-in_ppe_life)*$G$23:V23*$G$38:V38)/in_ppe_life</f>
        <v>0.0261287606929044</v>
      </c>
      <c r="W49" s="1" t="n">
        <f aca="false">W48/in_ppe_life+SUMPRODUCT(($G$4:W4&gt;W4-in_ppe_life)*$G$23:W23*$G$38:W38)/in_ppe_life</f>
        <v>0.0274994231334034</v>
      </c>
      <c r="X49" s="1" t="n">
        <f aca="false">X48/in_ppe_life+SUMPRODUCT(($G$4:X4&gt;X4-in_ppe_life)*$G$23:X23*$G$38:X38)/in_ppe_life</f>
        <v>0.0289505181078152</v>
      </c>
      <c r="Y49" s="1" t="n">
        <f aca="false">Y48/in_ppe_life+SUMPRODUCT(($G$4:Y4&gt;Y4-in_ppe_life)*$G$23:Y23*$G$38:Y38)/in_ppe_life</f>
        <v>0.0304869720042258</v>
      </c>
      <c r="Z49" s="1" t="n">
        <f aca="false">Z48/in_ppe_life+SUMPRODUCT(($G$4:Z4&gt;Z4-in_ppe_life)*$G$23:Z23*$G$38:Z38)/in_ppe_life</f>
        <v>0.0321135840005702</v>
      </c>
      <c r="AA49" s="1" t="n">
        <f aca="false">AA48/in_ppe_life+SUMPRODUCT(($G$4:AA4&gt;AA4-in_ppe_life)*$G$23:AA23*$G$38:AA38)/in_ppe_life</f>
        <v>0.033835148192754</v>
      </c>
      <c r="AB49" s="1" t="n">
        <f aca="false">AB48/in_ppe_life+SUMPRODUCT(($G$4:AB4&gt;AB4-in_ppe_life)*$G$23:AB23*$G$38:AB38)/in_ppe_life</f>
        <v>0.0356563349062645</v>
      </c>
      <c r="AC49" s="1" t="n">
        <f aca="false">AC48/in_ppe_life+SUMPRODUCT(($G$4:AC4&gt;AC4-in_ppe_life)*$G$23:AC23*$G$38:AC38)/in_ppe_life</f>
        <v>0.0375819159097231</v>
      </c>
      <c r="AD49" s="1" t="n">
        <f aca="false">AD48/in_ppe_life+SUMPRODUCT(($G$4:AD4&gt;AD4-in_ppe_life)*$G$23:AD23*$G$38:AD38)/in_ppe_life</f>
        <v>0.0396166943044179</v>
      </c>
      <c r="AE49" s="1" t="n">
        <f aca="false">AE48/in_ppe_life+SUMPRODUCT(($G$4:AE4&gt;AE4-in_ppe_life)*$G$23:AE23*$G$38:AE38)/in_ppe_life</f>
        <v>0.0417655461500063</v>
      </c>
      <c r="AF49" s="1" t="n">
        <f aca="false">AF48/in_ppe_life+SUMPRODUCT(($G$4:AF4&gt;AF4-in_ppe_life)*$G$23:AF23*$G$38:AF38)/in_ppe_life</f>
        <v>0.0440334242208384</v>
      </c>
      <c r="AG49" s="1" t="n">
        <f aca="false">AG48/in_ppe_life+SUMPRODUCT(($G$4:AG4&gt;AG4-in_ppe_life)*$G$23:AG23*$G$38:AG38)/in_ppe_life</f>
        <v>0.046425268703612</v>
      </c>
      <c r="AH49" s="1" t="n">
        <f aca="false">AH48/in_ppe_life+SUMPRODUCT(($G$4:AH4&gt;AH4-in_ppe_life)*$G$23:AH23*$G$38:AH38)/in_ppe_life</f>
        <v>0.0489460744682815</v>
      </c>
      <c r="AI49" s="1" t="n">
        <f aca="false">AI48/in_ppe_life+SUMPRODUCT(($G$4:AI4&gt;AI4-in_ppe_life)*$G$23:AI23*$G$38:AI38)/in_ppe_life</f>
        <v>0.0516010442060635</v>
      </c>
      <c r="AJ49" s="1" t="n">
        <f aca="false">AJ48/in_ppe_life+SUMPRODUCT(($G$4:AJ4&gt;AJ4-in_ppe_life)*$G$23:AJ23*$G$38:AJ38)/in_ppe_life</f>
        <v>0.0543951725836822</v>
      </c>
    </row>
    <row r="50" customFormat="false" ht="15" hidden="false" customHeight="true" outlineLevel="0" collapsed="false">
      <c r="A50" s="26" t="s">
        <v>663</v>
      </c>
      <c r="G50" s="30" t="n">
        <f aca="false">INDEX(scen_noagrowth,MATCH(cfg_scenario,scen_cols,0))</f>
        <v>0.025</v>
      </c>
      <c r="H50" s="30" t="n">
        <f aca="false">INDEX(scen_noagrowth,MATCH(cfg_scenario,scen_cols,0))</f>
        <v>0.025</v>
      </c>
      <c r="I50" s="30" t="n">
        <f aca="false">INDEX(scen_noagrowth,MATCH(cfg_scenario,scen_cols,0))</f>
        <v>0.025</v>
      </c>
      <c r="J50" s="30" t="n">
        <f aca="false">INDEX(scen_noagrowth,MATCH(cfg_scenario,scen_cols,0))</f>
        <v>0.025</v>
      </c>
      <c r="K50" s="30" t="n">
        <f aca="false">INDEX(scen_noagrowth,MATCH(cfg_scenario,scen_cols,0))</f>
        <v>0.025</v>
      </c>
      <c r="L50" s="30" t="n">
        <f aca="false">INDEX(scen_noagrowth,MATCH(cfg_scenario,scen_cols,0))</f>
        <v>0.025</v>
      </c>
      <c r="M50" s="30" t="n">
        <f aca="false">INDEX(scen_noagrowth,MATCH(cfg_scenario,scen_cols,0))</f>
        <v>0.025</v>
      </c>
      <c r="N50" s="30" t="n">
        <f aca="false">INDEX(scen_noagrowth,MATCH(cfg_scenario,scen_cols,0))</f>
        <v>0.025</v>
      </c>
      <c r="O50" s="30" t="n">
        <f aca="false">INDEX(scen_noagrowth,MATCH(cfg_scenario,scen_cols,0))</f>
        <v>0.025</v>
      </c>
      <c r="P50" s="30" t="n">
        <f aca="false">INDEX(scen_noagrowth,MATCH(cfg_scenario,scen_cols,0))</f>
        <v>0.025</v>
      </c>
      <c r="Q50" s="30" t="n">
        <f aca="false">INDEX(scen_noagrowth,MATCH(cfg_scenario,scen_cols,0))</f>
        <v>0.025</v>
      </c>
      <c r="R50" s="30" t="n">
        <f aca="false">INDEX(scen_noagrowth,MATCH(cfg_scenario,scen_cols,0))</f>
        <v>0.025</v>
      </c>
      <c r="S50" s="30" t="n">
        <f aca="false">INDEX(scen_noagrowth,MATCH(cfg_scenario,scen_cols,0))</f>
        <v>0.025</v>
      </c>
      <c r="T50" s="30" t="n">
        <f aca="false">INDEX(scen_noagrowth,MATCH(cfg_scenario,scen_cols,0))</f>
        <v>0.025</v>
      </c>
      <c r="U50" s="30" t="n">
        <f aca="false">INDEX(scen_noagrowth,MATCH(cfg_scenario,scen_cols,0))</f>
        <v>0.025</v>
      </c>
      <c r="V50" s="30" t="n">
        <f aca="false">INDEX(scen_noagrowth,MATCH(cfg_scenario,scen_cols,0))</f>
        <v>0.025</v>
      </c>
      <c r="W50" s="30" t="n">
        <f aca="false">INDEX(scen_noagrowth,MATCH(cfg_scenario,scen_cols,0))</f>
        <v>0.025</v>
      </c>
      <c r="X50" s="30" t="n">
        <f aca="false">INDEX(scen_noagrowth,MATCH(cfg_scenario,scen_cols,0))</f>
        <v>0.025</v>
      </c>
      <c r="Y50" s="30" t="n">
        <f aca="false">INDEX(scen_noagrowth,MATCH(cfg_scenario,scen_cols,0))</f>
        <v>0.025</v>
      </c>
      <c r="Z50" s="30" t="n">
        <f aca="false">INDEX(scen_noagrowth,MATCH(cfg_scenario,scen_cols,0))</f>
        <v>0.025</v>
      </c>
      <c r="AA50" s="30" t="n">
        <f aca="false">INDEX(scen_noagrowth,MATCH(cfg_scenario,scen_cols,0))</f>
        <v>0.025</v>
      </c>
      <c r="AB50" s="30" t="n">
        <f aca="false">INDEX(scen_noagrowth,MATCH(cfg_scenario,scen_cols,0))</f>
        <v>0.025</v>
      </c>
      <c r="AC50" s="30" t="n">
        <f aca="false">INDEX(scen_noagrowth,MATCH(cfg_scenario,scen_cols,0))</f>
        <v>0.025</v>
      </c>
      <c r="AD50" s="30" t="n">
        <f aca="false">INDEX(scen_noagrowth,MATCH(cfg_scenario,scen_cols,0))</f>
        <v>0.025</v>
      </c>
      <c r="AE50" s="30" t="n">
        <f aca="false">INDEX(scen_noagrowth,MATCH(cfg_scenario,scen_cols,0))</f>
        <v>0.025</v>
      </c>
      <c r="AF50" s="30" t="n">
        <f aca="false">INDEX(scen_noagrowth,MATCH(cfg_scenario,scen_cols,0))</f>
        <v>0.025</v>
      </c>
      <c r="AG50" s="30" t="n">
        <f aca="false">INDEX(scen_noagrowth,MATCH(cfg_scenario,scen_cols,0))</f>
        <v>0.025</v>
      </c>
      <c r="AH50" s="30" t="n">
        <f aca="false">INDEX(scen_noagrowth,MATCH(cfg_scenario,scen_cols,0))</f>
        <v>0.025</v>
      </c>
      <c r="AI50" s="30" t="n">
        <f aca="false">INDEX(scen_noagrowth,MATCH(cfg_scenario,scen_cols,0))</f>
        <v>0.025</v>
      </c>
      <c r="AJ50" s="30" t="n">
        <f aca="false">INDEX(scen_noagrowth,MATCH(cfg_scenario,scen_cols,0))</f>
        <v>0.025</v>
      </c>
    </row>
    <row r="51" customFormat="false" ht="15" hidden="false" customHeight="true" outlineLevel="0" collapsed="false">
      <c r="A51" s="26" t="s">
        <v>664</v>
      </c>
      <c r="F51" s="53" t="n">
        <f aca="false">anchor_real_nfo0/anchor_real_cse0</f>
        <v>0.650253749424986</v>
      </c>
      <c r="G51" s="53" t="n">
        <f aca="false">$F$51</f>
        <v>0.650253749424986</v>
      </c>
      <c r="H51" s="53" t="n">
        <f aca="false">$F$51</f>
        <v>0.650253749424986</v>
      </c>
      <c r="I51" s="53" t="n">
        <f aca="false">$F$51</f>
        <v>0.650253749424986</v>
      </c>
      <c r="J51" s="53" t="n">
        <f aca="false">$F$51</f>
        <v>0.650253749424986</v>
      </c>
      <c r="K51" s="53" t="n">
        <f aca="false">$F$51</f>
        <v>0.650253749424986</v>
      </c>
      <c r="L51" s="53" t="n">
        <f aca="false">$F$51</f>
        <v>0.650253749424986</v>
      </c>
      <c r="M51" s="53" t="n">
        <f aca="false">$F$51</f>
        <v>0.650253749424986</v>
      </c>
      <c r="N51" s="53" t="n">
        <f aca="false">$F$51</f>
        <v>0.650253749424986</v>
      </c>
      <c r="O51" s="53" t="n">
        <f aca="false">$F$51</f>
        <v>0.650253749424986</v>
      </c>
      <c r="P51" s="53" t="n">
        <f aca="false">$F$51</f>
        <v>0.650253749424986</v>
      </c>
      <c r="Q51" s="53" t="n">
        <f aca="false">$F$51</f>
        <v>0.650253749424986</v>
      </c>
      <c r="R51" s="53" t="n">
        <f aca="false">$F$51</f>
        <v>0.650253749424986</v>
      </c>
      <c r="S51" s="53" t="n">
        <f aca="false">$F$51</f>
        <v>0.650253749424986</v>
      </c>
      <c r="T51" s="53" t="n">
        <f aca="false">$F$51</f>
        <v>0.650253749424986</v>
      </c>
      <c r="U51" s="53" t="n">
        <f aca="false">$F$51</f>
        <v>0.650253749424986</v>
      </c>
      <c r="V51" s="53" t="n">
        <f aca="false">$F$51</f>
        <v>0.650253749424986</v>
      </c>
      <c r="W51" s="53" t="n">
        <f aca="false">$F$51</f>
        <v>0.650253749424986</v>
      </c>
      <c r="X51" s="53" t="n">
        <f aca="false">$F$51</f>
        <v>0.650253749424986</v>
      </c>
      <c r="Y51" s="53" t="n">
        <f aca="false">$F$51</f>
        <v>0.650253749424986</v>
      </c>
      <c r="Z51" s="53" t="n">
        <f aca="false">$F$51</f>
        <v>0.650253749424986</v>
      </c>
      <c r="AA51" s="53" t="n">
        <f aca="false">$F$51</f>
        <v>0.650253749424986</v>
      </c>
      <c r="AB51" s="53" t="n">
        <f aca="false">$F$51</f>
        <v>0.650253749424986</v>
      </c>
      <c r="AC51" s="53" t="n">
        <f aca="false">$F$51</f>
        <v>0.650253749424986</v>
      </c>
      <c r="AD51" s="53" t="n">
        <f aca="false">$F$51</f>
        <v>0.650253749424986</v>
      </c>
      <c r="AE51" s="53" t="n">
        <f aca="false">$F$51</f>
        <v>0.650253749424986</v>
      </c>
      <c r="AF51" s="53" t="n">
        <f aca="false">$F$51</f>
        <v>0.650253749424986</v>
      </c>
      <c r="AG51" s="53" t="n">
        <f aca="false">$F$51</f>
        <v>0.650253749424986</v>
      </c>
      <c r="AH51" s="53" t="n">
        <f aca="false">$F$51</f>
        <v>0.650253749424986</v>
      </c>
      <c r="AI51" s="53" t="n">
        <f aca="false">$F$51</f>
        <v>0.650253749424986</v>
      </c>
      <c r="AJ51" s="53" t="n">
        <f aca="false">$F$51</f>
        <v>0.650253749424986</v>
      </c>
    </row>
    <row r="52" customFormat="false" ht="15" hidden="false" customHeight="false" outlineLevel="0" collapsed="false">
      <c r="A52" s="1" t="s">
        <v>665</v>
      </c>
      <c r="G52" s="1" t="n">
        <f aca="false">G13*G38</f>
        <v>0.0137857539239553</v>
      </c>
      <c r="H52" s="1" t="n">
        <f aca="false">H13*H38</f>
        <v>0.0143098456748358</v>
      </c>
      <c r="I52" s="1" t="n">
        <f aca="false">I13*I38</f>
        <v>0.01486962268151</v>
      </c>
      <c r="J52" s="1" t="n">
        <f aca="false">J13*J38</f>
        <v>0.0154724870007457</v>
      </c>
      <c r="K52" s="1" t="n">
        <f aca="false">K13*K38</f>
        <v>0.0161238405376267</v>
      </c>
      <c r="L52" s="1" t="n">
        <f aca="false">L13*L38</f>
        <v>0.0168276129601155</v>
      </c>
      <c r="M52" s="1" t="n">
        <f aca="false">M13*M38</f>
        <v>0.0175869288524587</v>
      </c>
      <c r="N52" s="1" t="n">
        <f aca="false">N13*N38</f>
        <v>0.0184046485256504</v>
      </c>
      <c r="O52" s="1" t="n">
        <f aca="false">O13*O38</f>
        <v>0.019283100148212</v>
      </c>
      <c r="P52" s="1" t="n">
        <f aca="false">P13*P38</f>
        <v>0.0202249341545444</v>
      </c>
      <c r="Q52" s="1" t="n">
        <f aca="false">Q13*Q38</f>
        <v>0.0212326130013088</v>
      </c>
      <c r="R52" s="1" t="n">
        <f aca="false">R13*R38</f>
        <v>0.0223088340225401</v>
      </c>
      <c r="S52" s="1" t="n">
        <f aca="false">S13*S38</f>
        <v>0.0234563753775951</v>
      </c>
      <c r="T52" s="1" t="n">
        <f aca="false">T13*T38</f>
        <v>0.0246776373324449</v>
      </c>
      <c r="U52" s="1" t="n">
        <f aca="false">U13*U38</f>
        <v>0.025976053883646</v>
      </c>
      <c r="V52" s="1" t="n">
        <f aca="false">V13*V38</f>
        <v>0.027354786616457</v>
      </c>
      <c r="W52" s="1" t="n">
        <f aca="false">W13*W38</f>
        <v>0.0288174977693454</v>
      </c>
      <c r="X52" s="1" t="n">
        <f aca="false">X13*X38</f>
        <v>0.0303665548780562</v>
      </c>
      <c r="Y52" s="1" t="n">
        <f aca="false">Y13*Y38</f>
        <v>0.0320064462221555</v>
      </c>
      <c r="Z52" s="1" t="n">
        <f aca="false">Z13*Z38</f>
        <v>0.033740522798997</v>
      </c>
      <c r="AA52" s="1" t="n">
        <f aca="false">AA13*AA38</f>
        <v>0.0355731796233641</v>
      </c>
      <c r="AB52" s="1" t="n">
        <f aca="false">AB13*AB38</f>
        <v>0.0375072369341613</v>
      </c>
      <c r="AC52" s="1" t="n">
        <f aca="false">AC13*AC38</f>
        <v>0.0395475100843533</v>
      </c>
      <c r="AD52" s="1" t="n">
        <f aca="false">AD13*AD38</f>
        <v>0.0416980415433067</v>
      </c>
      <c r="AE52" s="1" t="n">
        <f aca="false">AE13*AE38</f>
        <v>0.0439626901423091</v>
      </c>
      <c r="AF52" s="1" t="n">
        <f aca="false">AF13*AF38</f>
        <v>0.0463462297236816</v>
      </c>
      <c r="AG52" s="1" t="n">
        <f aca="false">AG13*AG38</f>
        <v>0.0488522378833711</v>
      </c>
      <c r="AH52" s="1" t="n">
        <f aca="false">AH13*AH38</f>
        <v>0.0514852998299562</v>
      </c>
      <c r="AI52" s="1" t="n">
        <f aca="false">AI13*AI38</f>
        <v>0.0542500076155245</v>
      </c>
      <c r="AJ52" s="1" t="n">
        <f aca="false">AJ13*AJ38</f>
        <v>0.0571492597913553</v>
      </c>
    </row>
    <row r="53" customFormat="false" ht="15" hidden="false" customHeight="true" outlineLevel="0" collapsed="false">
      <c r="A53" s="23" t="s">
        <v>666</v>
      </c>
    </row>
    <row r="54" customFormat="false" ht="15" hidden="false" customHeight="true" outlineLevel="0" collapsed="false">
      <c r="A54" s="26" t="s">
        <v>667</v>
      </c>
      <c r="G54" s="44" t="n">
        <f aca="false">IF(F24=0,"",G16/F24)</f>
        <v>0.783735350442935</v>
      </c>
      <c r="H54" s="44" t="n">
        <f aca="false">IF(G24=0,"",H16/G24)</f>
        <v>0.788701294779698</v>
      </c>
      <c r="I54" s="44" t="n">
        <f aca="false">IF(H24=0,"",I16/H24)</f>
        <v>0.793488055247692</v>
      </c>
      <c r="J54" s="44" t="n">
        <f aca="false">IF(I24=0,"",J16/I24)</f>
        <v>0.798047054022863</v>
      </c>
      <c r="K54" s="44" t="n">
        <f aca="false">IF(J24=0,"",K16/J24)</f>
        <v>0.0506023323603866</v>
      </c>
      <c r="L54" s="44" t="n">
        <f aca="false">IF(K24=0,"",L16/K24)</f>
        <v>0.0516015961675393</v>
      </c>
      <c r="M54" s="44" t="n">
        <f aca="false">IF(L24=0,"",M16/L24)</f>
        <v>0.052225310751918</v>
      </c>
      <c r="N54" s="44" t="n">
        <f aca="false">IF(M24=0,"",N16/M24)</f>
        <v>0.0525868131872397</v>
      </c>
      <c r="O54" s="44" t="n">
        <f aca="false">IF(N24=0,"",O16/N24)</f>
        <v>0.0527706265570478</v>
      </c>
      <c r="P54" s="44" t="n">
        <f aca="false">IF(O24=0,"",P16/O24)</f>
        <v>0.0528385848236626</v>
      </c>
      <c r="Q54" s="44" t="n">
        <f aca="false">IF(P24=0,"",Q16/P24)</f>
        <v>0.0528301990436529</v>
      </c>
      <c r="R54" s="44" t="n">
        <f aca="false">IF(Q24=0,"",R16/Q24)</f>
        <v>0.052780193568168</v>
      </c>
      <c r="S54" s="44" t="n">
        <f aca="false">IF(R24=0,"",S16/R24)</f>
        <v>0.0526986942805544</v>
      </c>
      <c r="T54" s="26" t="n">
        <f aca="false">IF(S24=0,"",T16/S24)</f>
        <v>0.0526198365165686</v>
      </c>
      <c r="U54" s="26" t="n">
        <f aca="false">IF(T24=0,"",U16/T24)</f>
        <v>0.0525215689159769</v>
      </c>
      <c r="V54" s="26" t="n">
        <f aca="false">IF(U24=0,"",V16/U24)</f>
        <v>0.0524401354534759</v>
      </c>
      <c r="W54" s="26" t="n">
        <f aca="false">IF(V24=0,"",W16/V24)</f>
        <v>0.0523599799826133</v>
      </c>
      <c r="X54" s="26" t="n">
        <f aca="false">IF(W24=0,"",X16/W24)</f>
        <v>0.0522919105984408</v>
      </c>
      <c r="Y54" s="26" t="n">
        <f aca="false">IF(X24=0,"",Y16/X24)</f>
        <v>0.052249779023203</v>
      </c>
      <c r="Z54" s="26" t="n">
        <f aca="false">IF(Y24=0,"",Z16/Y24)</f>
        <v>0.0522047461849851</v>
      </c>
      <c r="AA54" s="26" t="n">
        <f aca="false">IF(Z24=0,"",AA16/Z24)</f>
        <v>0.0521729057012921</v>
      </c>
      <c r="AB54" s="26" t="n">
        <f aca="false">IF(AA24=0,"",AB16/AA24)</f>
        <v>0.0521671331965098</v>
      </c>
      <c r="AC54" s="26" t="n">
        <f aca="false">IF(AB24=0,"",AC16/AB24)</f>
        <v>0.0521837267174579</v>
      </c>
      <c r="AD54" s="26" t="n">
        <f aca="false">IF(AC24=0,"",AD16/AC24)</f>
        <v>0.0521957021907983</v>
      </c>
      <c r="AE54" s="26" t="n">
        <f aca="false">IF(AD24=0,"",AE16/AD24)</f>
        <v>0.0522198325514607</v>
      </c>
      <c r="AF54" s="26" t="n">
        <f aca="false">IF(AE24=0,"",AF16/AE24)</f>
        <v>0.0522656467563333</v>
      </c>
      <c r="AG54" s="26" t="n">
        <f aca="false">IF(AF24=0,"",AG16/AF24)</f>
        <v>0.0523322710060739</v>
      </c>
      <c r="AH54" s="26" t="n">
        <f aca="false">IF(AG24=0,"",AH16/AG24)</f>
        <v>0.0523956464296396</v>
      </c>
      <c r="AI54" s="26" t="n">
        <f aca="false">IF(AH24=0,"",AI16/AH24)</f>
        <v>0.229847481089537</v>
      </c>
      <c r="AJ54" s="26" t="n">
        <f aca="false">IF(AI24=0,"",AJ16/AI24)</f>
        <v>0.0600023319223917</v>
      </c>
    </row>
    <row r="55" customFormat="false" ht="15" hidden="false" customHeight="true" outlineLevel="0" collapsed="false">
      <c r="A55" s="26" t="s">
        <v>668</v>
      </c>
      <c r="F55" s="46" t="n">
        <f aca="false">IF(F27=0,"",F25/F27)</f>
        <v>0.650253749424986</v>
      </c>
      <c r="G55" s="46" t="n">
        <f aca="false">IF(G27=0,"",G25/G27)</f>
        <v>0.650253749424986</v>
      </c>
      <c r="H55" s="46" t="n">
        <f aca="false">IF(H27=0,"",H25/H27)</f>
        <v>0.650253749424986</v>
      </c>
      <c r="I55" s="46" t="n">
        <f aca="false">IF(I27=0,"",I25/I27)</f>
        <v>0.650253749424986</v>
      </c>
      <c r="J55" s="46" t="n">
        <f aca="false">IF(J27=0,"",J25/J27)</f>
        <v>0.650253749424986</v>
      </c>
      <c r="K55" s="46" t="n">
        <f aca="false">IF(K27=0,"",K25/K27)</f>
        <v>0.650253749424986</v>
      </c>
      <c r="L55" s="46" t="n">
        <f aca="false">IF(L27=0,"",L25/L27)</f>
        <v>0.650253749424986</v>
      </c>
      <c r="M55" s="46" t="n">
        <f aca="false">IF(M27=0,"",M25/M27)</f>
        <v>0.650253749424986</v>
      </c>
      <c r="N55" s="46" t="n">
        <f aca="false">IF(N27=0,"",N25/N27)</f>
        <v>0.650253749424986</v>
      </c>
      <c r="O55" s="46" t="n">
        <f aca="false">IF(O27=0,"",O25/O27)</f>
        <v>0.650253749424986</v>
      </c>
      <c r="P55" s="46" t="n">
        <f aca="false">IF(P27=0,"",P25/P27)</f>
        <v>0.650253749424986</v>
      </c>
      <c r="Q55" s="46" t="n">
        <f aca="false">IF(Q27=0,"",Q25/Q27)</f>
        <v>0.650253749424986</v>
      </c>
      <c r="R55" s="46" t="n">
        <f aca="false">IF(R27=0,"",R25/R27)</f>
        <v>0.650253749424986</v>
      </c>
      <c r="S55" s="46" t="n">
        <f aca="false">IF(S27=0,"",S25/S27)</f>
        <v>0.650253749424986</v>
      </c>
      <c r="T55" s="26" t="n">
        <f aca="false">IF(T27=0,"",T25/T27)</f>
        <v>0.650253749424986</v>
      </c>
      <c r="U55" s="26" t="n">
        <f aca="false">IF(U27=0,"",U25/U27)</f>
        <v>0.650253749424986</v>
      </c>
      <c r="V55" s="26" t="n">
        <f aca="false">IF(V27=0,"",V25/V27)</f>
        <v>0.650253749424986</v>
      </c>
      <c r="W55" s="26" t="n">
        <f aca="false">IF(W27=0,"",W25/W27)</f>
        <v>0.650253749424986</v>
      </c>
      <c r="X55" s="26" t="n">
        <f aca="false">IF(X27=0,"",X25/X27)</f>
        <v>0.650253749424986</v>
      </c>
      <c r="Y55" s="26" t="n">
        <f aca="false">IF(Y27=0,"",Y25/Y27)</f>
        <v>0.650253749424986</v>
      </c>
      <c r="Z55" s="26" t="n">
        <f aca="false">IF(Z27=0,"",Z25/Z27)</f>
        <v>0.650253749424986</v>
      </c>
      <c r="AA55" s="26" t="n">
        <f aca="false">IF(AA27=0,"",AA25/AA27)</f>
        <v>0.650253749424986</v>
      </c>
      <c r="AB55" s="26" t="n">
        <f aca="false">IF(AB27=0,"",AB25/AB27)</f>
        <v>0.650253749424986</v>
      </c>
      <c r="AC55" s="26" t="n">
        <f aca="false">IF(AC27=0,"",AC25/AC27)</f>
        <v>0.650253749424986</v>
      </c>
      <c r="AD55" s="26" t="n">
        <f aca="false">IF(AD27=0,"",AD25/AD27)</f>
        <v>0.650253749424986</v>
      </c>
      <c r="AE55" s="26" t="n">
        <f aca="false">IF(AE27=0,"",AE25/AE27)</f>
        <v>0.650253749424986</v>
      </c>
      <c r="AF55" s="26" t="n">
        <f aca="false">IF(AF27=0,"",AF25/AF27)</f>
        <v>0.650253749424986</v>
      </c>
      <c r="AG55" s="26" t="n">
        <f aca="false">IF(AG27=0,"",AG25/AG27)</f>
        <v>0.650253749424986</v>
      </c>
      <c r="AH55" s="26" t="n">
        <f aca="false">IF(AH27=0,"",AH25/AH27)</f>
        <v>0.650253749424986</v>
      </c>
      <c r="AI55" s="26" t="n">
        <f aca="false">IF(AI27=0,"",AI25/AI27)</f>
        <v>0.650253749424986</v>
      </c>
      <c r="AJ55" s="26" t="n">
        <f aca="false">IF(AJ27=0,"",AJ25/AJ27)</f>
        <v>0.650253749424986</v>
      </c>
    </row>
    <row r="56" customFormat="false" ht="15" hidden="false" customHeight="true" outlineLevel="0" collapsed="false">
      <c r="A56" s="26" t="s">
        <v>669</v>
      </c>
      <c r="F56" s="45" t="n">
        <f aca="false">F24-F25-F27</f>
        <v>0</v>
      </c>
      <c r="G56" s="45" t="n">
        <f aca="false">G24-G25-G27</f>
        <v>0</v>
      </c>
      <c r="H56" s="45" t="n">
        <f aca="false">H24-H25-H27</f>
        <v>0</v>
      </c>
      <c r="I56" s="45" t="n">
        <f aca="false">I24-I25-I27</f>
        <v>0</v>
      </c>
      <c r="J56" s="45" t="n">
        <f aca="false">J24-J25-J27</f>
        <v>0</v>
      </c>
      <c r="K56" s="45" t="n">
        <f aca="false">K24-K25-K27</f>
        <v>0</v>
      </c>
      <c r="L56" s="45" t="n">
        <f aca="false">L24-L25-L27</f>
        <v>0</v>
      </c>
      <c r="M56" s="45" t="n">
        <f aca="false">M24-M25-M27</f>
        <v>0</v>
      </c>
      <c r="N56" s="45" t="n">
        <f aca="false">N24-N25-N27</f>
        <v>0</v>
      </c>
      <c r="O56" s="45" t="n">
        <f aca="false">O24-O25-O27</f>
        <v>0</v>
      </c>
      <c r="P56" s="45" t="n">
        <f aca="false">P24-P25-P27</f>
        <v>0</v>
      </c>
      <c r="Q56" s="45" t="n">
        <f aca="false">Q24-Q25-Q27</f>
        <v>0</v>
      </c>
      <c r="R56" s="45" t="n">
        <f aca="false">R24-R25-R27</f>
        <v>0</v>
      </c>
      <c r="S56" s="45" t="n">
        <f aca="false">S24-S25-S27</f>
        <v>0</v>
      </c>
      <c r="T56" s="26" t="n">
        <f aca="false">T24-T25-T27</f>
        <v>0</v>
      </c>
      <c r="U56" s="26" t="n">
        <f aca="false">U24-U25-U27</f>
        <v>0</v>
      </c>
      <c r="V56" s="26" t="n">
        <f aca="false">V24-V25-V27</f>
        <v>0</v>
      </c>
      <c r="W56" s="26" t="n">
        <f aca="false">W24-W25-W27</f>
        <v>0</v>
      </c>
      <c r="X56" s="26" t="n">
        <f aca="false">X24-X25-X27</f>
        <v>0</v>
      </c>
      <c r="Y56" s="26" t="n">
        <f aca="false">Y24-Y25-Y27</f>
        <v>0</v>
      </c>
      <c r="Z56" s="26" t="n">
        <f aca="false">Z24-Z25-Z27</f>
        <v>0</v>
      </c>
      <c r="AA56" s="26" t="n">
        <f aca="false">AA24-AA25-AA27</f>
        <v>0</v>
      </c>
      <c r="AB56" s="26" t="n">
        <f aca="false">AB24-AB25-AB27</f>
        <v>0</v>
      </c>
      <c r="AC56" s="26" t="n">
        <f aca="false">AC24-AC25-AC27</f>
        <v>0</v>
      </c>
      <c r="AD56" s="26" t="n">
        <f aca="false">AD24-AD25-AD27</f>
        <v>0</v>
      </c>
      <c r="AE56" s="26" t="n">
        <f aca="false">AE24-AE25-AE27</f>
        <v>0</v>
      </c>
      <c r="AF56" s="26" t="n">
        <f aca="false">AF24-AF25-AF27</f>
        <v>0</v>
      </c>
      <c r="AG56" s="26" t="n">
        <f aca="false">AG24-AG25-AG27</f>
        <v>0</v>
      </c>
      <c r="AH56" s="26" t="n">
        <f aca="false">AH24-AH25-AH27</f>
        <v>0</v>
      </c>
      <c r="AI56" s="26" t="n">
        <f aca="false">AI24-AI25-AI27</f>
        <v>0</v>
      </c>
      <c r="AJ56" s="26" t="n">
        <f aca="false">AJ24-AJ25-AJ27</f>
        <v>0</v>
      </c>
    </row>
    <row r="57" customFormat="false" ht="15" hidden="false" customHeight="true" outlineLevel="0" collapsed="false">
      <c r="A57" s="26" t="s">
        <v>670</v>
      </c>
      <c r="G57" s="45" t="n">
        <f aca="false">G30*G20-G19</f>
        <v>0</v>
      </c>
      <c r="H57" s="45" t="n">
        <f aca="false">H30*H20-H19</f>
        <v>0</v>
      </c>
      <c r="I57" s="45" t="n">
        <f aca="false">I30*I20-I19</f>
        <v>0</v>
      </c>
      <c r="J57" s="45" t="n">
        <f aca="false">J30*J20-J19</f>
        <v>0</v>
      </c>
      <c r="K57" s="45" t="n">
        <f aca="false">K30*K20-K19</f>
        <v>0</v>
      </c>
      <c r="L57" s="45" t="n">
        <f aca="false">L30*L20-L19</f>
        <v>0</v>
      </c>
      <c r="M57" s="45" t="n">
        <f aca="false">M30*M20-M19</f>
        <v>0</v>
      </c>
      <c r="N57" s="45" t="n">
        <f aca="false">N30*N20-N19</f>
        <v>0</v>
      </c>
      <c r="O57" s="45" t="n">
        <f aca="false">O30*O20-O19</f>
        <v>0</v>
      </c>
      <c r="P57" s="45" t="n">
        <f aca="false">P30*P20-P19</f>
        <v>0</v>
      </c>
      <c r="Q57" s="45" t="n">
        <f aca="false">Q30*Q20-Q19</f>
        <v>0</v>
      </c>
      <c r="R57" s="45" t="n">
        <f aca="false">R30*R20-R19</f>
        <v>0</v>
      </c>
      <c r="S57" s="45" t="n">
        <f aca="false">S30*S20-S19</f>
        <v>0</v>
      </c>
      <c r="T57" s="26" t="n">
        <f aca="false">T30*T20-T19</f>
        <v>0</v>
      </c>
      <c r="U57" s="26" t="n">
        <f aca="false">U30*U20-U19</f>
        <v>0</v>
      </c>
      <c r="V57" s="26" t="n">
        <f aca="false">V30*V20-V19</f>
        <v>0</v>
      </c>
      <c r="W57" s="26" t="n">
        <f aca="false">W30*W20-W19</f>
        <v>0</v>
      </c>
      <c r="X57" s="26" t="n">
        <f aca="false">X30*X20-X19</f>
        <v>0</v>
      </c>
      <c r="Y57" s="26" t="n">
        <f aca="false">Y30*Y20-Y19</f>
        <v>0</v>
      </c>
      <c r="Z57" s="26" t="n">
        <f aca="false">Z30*Z20-Z19</f>
        <v>0</v>
      </c>
      <c r="AA57" s="26" t="n">
        <f aca="false">AA30*AA20-AA19</f>
        <v>0</v>
      </c>
      <c r="AB57" s="26" t="n">
        <f aca="false">AB30*AB20-AB19</f>
        <v>0</v>
      </c>
      <c r="AC57" s="26" t="n">
        <f aca="false">AC30*AC20-AC19</f>
        <v>0</v>
      </c>
      <c r="AD57" s="26" t="n">
        <f aca="false">AD30*AD20-AD19</f>
        <v>0</v>
      </c>
      <c r="AE57" s="26" t="n">
        <f aca="false">AE30*AE20-AE19</f>
        <v>0</v>
      </c>
      <c r="AF57" s="26" t="n">
        <f aca="false">AF30*AF20-AF19</f>
        <v>0</v>
      </c>
      <c r="AG57" s="26" t="n">
        <f aca="false">AG30*AG20-AG19</f>
        <v>0</v>
      </c>
      <c r="AH57" s="26" t="n">
        <f aca="false">AH30*AH20-AH19</f>
        <v>0</v>
      </c>
      <c r="AI57" s="26" t="n">
        <f aca="false">AI30*AI20-AI19</f>
        <v>0</v>
      </c>
      <c r="AJ57" s="26" t="n">
        <f aca="false">AJ30*AJ20-AJ19</f>
        <v>0</v>
      </c>
    </row>
    <row r="58" customFormat="false" ht="15" hidden="false" customHeight="true" outlineLevel="0" collapsed="false">
      <c r="A58" s="26" t="s">
        <v>671</v>
      </c>
      <c r="G58" s="45" t="n">
        <f aca="false">(G16-(G24-F24)-G18+(G25-F25))-(G29*G20+G31)</f>
        <v>0</v>
      </c>
      <c r="H58" s="45" t="n">
        <f aca="false">(H16-(H24-G24)-H18+(H25-G25))-(H29*H20+H31)</f>
        <v>0</v>
      </c>
      <c r="I58" s="45" t="n">
        <f aca="false">(I16-(I24-H24)-I18+(I25-H25))-(I29*I20+I31)</f>
        <v>0</v>
      </c>
      <c r="J58" s="45" t="n">
        <f aca="false">(J16-(J24-I24)-J18+(J25-I25))-(J29*J20+J31)</f>
        <v>0</v>
      </c>
      <c r="K58" s="45" t="n">
        <f aca="false">(K16-(K24-J24)-K18+(K25-J25))-(K29*K20+K31)</f>
        <v>0</v>
      </c>
      <c r="L58" s="45" t="n">
        <f aca="false">(L16-(L24-K24)-L18+(L25-K25))-(L29*L20+L31)</f>
        <v>0</v>
      </c>
      <c r="M58" s="45" t="n">
        <f aca="false">(M16-(M24-L24)-M18+(M25-L25))-(M29*M20+M31)</f>
        <v>0</v>
      </c>
      <c r="N58" s="45" t="n">
        <f aca="false">(N16-(N24-M24)-N18+(N25-M25))-(N29*N20+N31)</f>
        <v>0</v>
      </c>
      <c r="O58" s="45" t="n">
        <f aca="false">(O16-(O24-N24)-O18+(O25-N25))-(O29*O20+O31)</f>
        <v>0</v>
      </c>
      <c r="P58" s="45" t="n">
        <f aca="false">(P16-(P24-O24)-P18+(P25-O25))-(P29*P20+P31)</f>
        <v>0</v>
      </c>
      <c r="Q58" s="45" t="n">
        <f aca="false">(Q16-(Q24-P24)-Q18+(Q25-P25))-(Q29*Q20+Q31)</f>
        <v>0</v>
      </c>
      <c r="R58" s="45" t="n">
        <f aca="false">(R16-(R24-Q24)-R18+(R25-Q25))-(R29*R20+R31)</f>
        <v>0</v>
      </c>
      <c r="S58" s="45" t="n">
        <f aca="false">(S16-(S24-R24)-S18+(S25-R25))-(S29*S20+S31)</f>
        <v>0</v>
      </c>
      <c r="T58" s="26" t="n">
        <f aca="false">(T16-(T24-S24)-T18+(T25-S25))-(T29*T20+T31)</f>
        <v>0</v>
      </c>
      <c r="U58" s="26" t="n">
        <f aca="false">(U16-(U24-T24)-U18+(U25-T25))-(U29*U20+U31)</f>
        <v>0</v>
      </c>
      <c r="V58" s="26" t="n">
        <f aca="false">(V16-(V24-U24)-V18+(V25-U25))-(V29*V20+V31)</f>
        <v>0</v>
      </c>
      <c r="W58" s="26" t="n">
        <f aca="false">(W16-(W24-V24)-W18+(W25-V25))-(W29*W20+W31)</f>
        <v>-3.98986399474666E-017</v>
      </c>
      <c r="X58" s="26" t="n">
        <f aca="false">(X16-(X24-W24)-X18+(X25-W25))-(X29*X20+X31)</f>
        <v>0</v>
      </c>
      <c r="Y58" s="26" t="n">
        <f aca="false">(Y16-(Y24-X24)-Y18+(Y25-X25))-(Y29*Y20+Y31)</f>
        <v>5.03069808033274E-017</v>
      </c>
      <c r="Z58" s="26" t="n">
        <f aca="false">(Z16-(Z24-Y24)-Z18+(Z25-Y25))-(Z29*Z20+Z31)</f>
        <v>0</v>
      </c>
      <c r="AA58" s="26" t="n">
        <f aca="false">(AA16-(AA24-Z24)-AA18+(AA25-Z25))-(AA29*AA20+AA31)</f>
        <v>0</v>
      </c>
      <c r="AB58" s="26" t="n">
        <f aca="false">(AB16-(AB24-AA24)-AB18+(AB25-AA25))-(AB29*AB20+AB31)</f>
        <v>0</v>
      </c>
      <c r="AC58" s="26" t="n">
        <f aca="false">(AC16-(AC24-AB24)-AC18+(AC25-AB25))-(AC29*AC20+AC31)</f>
        <v>0</v>
      </c>
      <c r="AD58" s="26" t="n">
        <f aca="false">(AD16-(AD24-AC24)-AD18+(AD25-AC25))-(AD29*AD20+AD31)</f>
        <v>0</v>
      </c>
      <c r="AE58" s="26" t="n">
        <f aca="false">(AE16-(AE24-AD24)-AE18+(AE25-AD25))-(AE29*AE20+AE31)</f>
        <v>3.46944695195361E-017</v>
      </c>
      <c r="AF58" s="26" t="n">
        <f aca="false">(AF16-(AF24-AE24)-AF18+(AF25-AE25))-(AF29*AF20+AF31)</f>
        <v>0</v>
      </c>
      <c r="AG58" s="26" t="n">
        <f aca="false">(AG16-(AG24-AF24)-AG18+(AG25-AF25))-(AG29*AG20+AG31)</f>
        <v>-3.6429192995513E-017</v>
      </c>
      <c r="AH58" s="26" t="n">
        <f aca="false">(AH16-(AH24-AG24)-AH18+(AH25-AG25))-(AH29*AH20+AH31)</f>
        <v>0</v>
      </c>
      <c r="AI58" s="26" t="n">
        <f aca="false">(AI16-(AI24-AH24)-AI18+(AI25-AH25))-(AI29*AI20+AI31)</f>
        <v>0</v>
      </c>
      <c r="AJ58" s="26" t="n">
        <f aca="false">(AJ16-(AJ24-AI24)-AJ18+(AJ25-AI25))-(AJ29*AJ20+AJ31)</f>
        <v>0</v>
      </c>
    </row>
    <row r="60" customFormat="false" ht="15" hidden="false" customHeight="true" outlineLevel="0" collapsed="false">
      <c r="B60" s="1" t="s">
        <v>672</v>
      </c>
      <c r="G60" s="1" t="n">
        <f aca="false">(INDEX(finrate_coe,G4)+F55*INDEX(finrate_cod,G4))/(1+F55)</f>
        <v>0.0381059185845237</v>
      </c>
      <c r="H60" s="1" t="n">
        <f aca="false">(INDEX(finrate_coe,H4)+G55*INDEX(finrate_cod,H4))/(1+G55)</f>
        <v>0.0432089482084691</v>
      </c>
      <c r="I60" s="1" t="n">
        <f aca="false">(INDEX(finrate_coe,I4)+H55*INDEX(finrate_cod,I4))/(1+H55)</f>
        <v>0.0466953250889869</v>
      </c>
      <c r="J60" s="1" t="n">
        <f aca="false">(INDEX(finrate_coe,J4)+I55*INDEX(finrate_cod,J4))/(1+I55)</f>
        <v>0.0490459952758011</v>
      </c>
      <c r="K60" s="1" t="n">
        <f aca="false">(INDEX(finrate_coe,K4)+J55*INDEX(finrate_cod,K4))/(1+J55)</f>
        <v>0.0506023323603866</v>
      </c>
      <c r="L60" s="1" t="n">
        <f aca="false">(INDEX(finrate_coe,L4)+K55*INDEX(finrate_cod,L4))/(1+K55)</f>
        <v>0.0516015961675393</v>
      </c>
      <c r="M60" s="1" t="n">
        <f aca="false">(INDEX(finrate_coe,M4)+L55*INDEX(finrate_cod,M4))/(1+L55)</f>
        <v>0.052225310751918</v>
      </c>
      <c r="N60" s="1" t="n">
        <f aca="false">(INDEX(finrate_coe,N4)+M55*INDEX(finrate_cod,N4))/(1+M55)</f>
        <v>0.0525868131872397</v>
      </c>
      <c r="O60" s="1" t="n">
        <f aca="false">(INDEX(finrate_coe,O4)+N55*INDEX(finrate_cod,O4))/(1+N55)</f>
        <v>0.0527706265570478</v>
      </c>
      <c r="P60" s="1" t="n">
        <f aca="false">(INDEX(finrate_coe,P4)+O55*INDEX(finrate_cod,P4))/(1+O55)</f>
        <v>0.0528385848236626</v>
      </c>
      <c r="Q60" s="1" t="n">
        <f aca="false">(INDEX(finrate_coe,Q4)+P55*INDEX(finrate_cod,Q4))/(1+P55)</f>
        <v>0.0528301990436529</v>
      </c>
      <c r="R60" s="1" t="n">
        <f aca="false">(INDEX(finrate_coe,R4)+Q55*INDEX(finrate_cod,R4))/(1+Q55)</f>
        <v>0.052780193568168</v>
      </c>
      <c r="S60" s="1" t="n">
        <f aca="false">(INDEX(finrate_coe,S4)+R55*INDEX(finrate_cod,S4))/(1+R55)</f>
        <v>0.0526986942805544</v>
      </c>
      <c r="T60" s="1" t="n">
        <f aca="false">(INDEX(finrate_coe,T4)+S55*INDEX(finrate_cod,T4))/(1+S55)</f>
        <v>0.0526198365165686</v>
      </c>
      <c r="U60" s="1" t="n">
        <f aca="false">(INDEX(finrate_coe,U4)+T55*INDEX(finrate_cod,U4))/(1+T55)</f>
        <v>0.0525215689159769</v>
      </c>
      <c r="V60" s="1" t="n">
        <f aca="false">(INDEX(finrate_coe,V4)+U55*INDEX(finrate_cod,V4))/(1+U55)</f>
        <v>0.0524401354534759</v>
      </c>
      <c r="W60" s="1" t="n">
        <f aca="false">(INDEX(finrate_coe,W4)+V55*INDEX(finrate_cod,W4))/(1+V55)</f>
        <v>0.0523599799826133</v>
      </c>
      <c r="X60" s="1" t="n">
        <f aca="false">(INDEX(finrate_coe,X4)+W55*INDEX(finrate_cod,X4))/(1+W55)</f>
        <v>0.0522919105984408</v>
      </c>
      <c r="Y60" s="1" t="n">
        <f aca="false">(INDEX(finrate_coe,Y4)+X55*INDEX(finrate_cod,Y4))/(1+X55)</f>
        <v>0.052249779023203</v>
      </c>
      <c r="Z60" s="1" t="n">
        <f aca="false">(INDEX(finrate_coe,Z4)+Y55*INDEX(finrate_cod,Z4))/(1+Y55)</f>
        <v>0.0522047461849851</v>
      </c>
      <c r="AA60" s="1" t="n">
        <f aca="false">(INDEX(finrate_coe,AA4)+Z55*INDEX(finrate_cod,AA4))/(1+Z55)</f>
        <v>0.0521729057012921</v>
      </c>
      <c r="AB60" s="1" t="n">
        <f aca="false">(INDEX(finrate_coe,AB4)+AA55*INDEX(finrate_cod,AB4))/(1+AA55)</f>
        <v>0.0521671331965098</v>
      </c>
      <c r="AC60" s="1" t="n">
        <f aca="false">(INDEX(finrate_coe,AC4)+AB55*INDEX(finrate_cod,AC4))/(1+AB55)</f>
        <v>0.0521837267174579</v>
      </c>
      <c r="AD60" s="1" t="n">
        <f aca="false">(INDEX(finrate_coe,AD4)+AC55*INDEX(finrate_cod,AD4))/(1+AC55)</f>
        <v>0.0521957021907983</v>
      </c>
      <c r="AE60" s="1" t="n">
        <f aca="false">(INDEX(finrate_coe,AE4)+AD55*INDEX(finrate_cod,AE4))/(1+AD55)</f>
        <v>0.0522198325514607</v>
      </c>
      <c r="AF60" s="1" t="n">
        <f aca="false">(INDEX(finrate_coe,AF4)+AE55*INDEX(finrate_cod,AF4))/(1+AE55)</f>
        <v>0.0522656467563333</v>
      </c>
      <c r="AG60" s="1" t="n">
        <f aca="false">(INDEX(finrate_coe,AG4)+AF55*INDEX(finrate_cod,AG4))/(1+AF55)</f>
        <v>0.0523322710060739</v>
      </c>
      <c r="AH60" s="1" t="n">
        <f aca="false">(INDEX(finrate_coe,AH4)+AG55*INDEX(finrate_cod,AH4))/(1+AG55)</f>
        <v>0.0523956464296396</v>
      </c>
      <c r="AI60" s="1" t="n">
        <f aca="false">(INDEX(finrate_coe,AI4)+AH55*INDEX(finrate_cod,AI4))/(1+AH55)</f>
        <v>0.229847481089537</v>
      </c>
      <c r="AJ60" s="1" t="n">
        <f aca="false">(INDEX(finrate_coe,AJ4)+AI55*INDEX(finrate_cod,AJ4))/(1+AI55)</f>
        <v>0.0600023319223917</v>
      </c>
    </row>
    <row r="61" customFormat="false" ht="15" hidden="false" customHeight="true" outlineLevel="0" collapsed="false">
      <c r="B61" s="1" t="s">
        <v>673</v>
      </c>
      <c r="F61" s="1" t="n">
        <f aca="false">(F9-F11-F13)-F15</f>
        <v>0.0237875362905856</v>
      </c>
      <c r="G61" s="1" t="n">
        <f aca="false">$F$61*G7/$F$7</f>
        <v>0.0245011623793032</v>
      </c>
      <c r="H61" s="1" t="n">
        <f aca="false">$F$61*H7/$F$7</f>
        <v>0.0252361972506823</v>
      </c>
      <c r="I61" s="1" t="n">
        <f aca="false">$F$61*I7/$F$7</f>
        <v>0.0259932831682028</v>
      </c>
      <c r="J61" s="1" t="n">
        <f aca="false">$F$61*J7/$F$7</f>
        <v>0.0267730816632489</v>
      </c>
      <c r="K61" s="1" t="n">
        <f aca="false">$F$61*K7/$F$7</f>
        <v>0.0275762741131463</v>
      </c>
      <c r="L61" s="1" t="n">
        <f aca="false">$F$61*L7/$F$7</f>
        <v>0.0284035623365407</v>
      </c>
      <c r="M61" s="1" t="n">
        <f aca="false">$F$61*M7/$F$7</f>
        <v>0.0292556692066369</v>
      </c>
      <c r="N61" s="1" t="n">
        <f aca="false">$F$61*N7/$F$7</f>
        <v>0.030133339282836</v>
      </c>
      <c r="O61" s="1" t="n">
        <f aca="false">$F$61*O7/$F$7</f>
        <v>0.0310373394613211</v>
      </c>
      <c r="P61" s="1" t="n">
        <f aca="false">$F$61*P7/$F$7</f>
        <v>0.0319684596451608</v>
      </c>
      <c r="Q61" s="1" t="n">
        <f aca="false">$F$61*Q7/$F$7</f>
        <v>0.0329275134345156</v>
      </c>
      <c r="R61" s="1" t="n">
        <f aca="false">$F$61*R7/$F$7</f>
        <v>0.033915338837551</v>
      </c>
      <c r="S61" s="1" t="n">
        <f aca="false">$F$61*S7/$F$7</f>
        <v>0.0349327990026776</v>
      </c>
      <c r="T61" s="1" t="n">
        <f aca="false">$F$61*T7/$F$7</f>
        <v>0.0359807829727579</v>
      </c>
      <c r="U61" s="1" t="n">
        <f aca="false">$F$61*U7/$F$7</f>
        <v>0.0370602064619407</v>
      </c>
      <c r="V61" s="1" t="n">
        <f aca="false">$F$61*V7/$F$7</f>
        <v>0.0381720126557989</v>
      </c>
      <c r="W61" s="1" t="n">
        <f aca="false">$F$61*W7/$F$7</f>
        <v>0.0393171730354728</v>
      </c>
      <c r="X61" s="1" t="n">
        <f aca="false">$F$61*X7/$F$7</f>
        <v>0.040496688226537</v>
      </c>
      <c r="Y61" s="1" t="n">
        <f aca="false">$F$61*Y7/$F$7</f>
        <v>0.0417115888733331</v>
      </c>
      <c r="Z61" s="1" t="n">
        <f aca="false">$F$61*Z7/$F$7</f>
        <v>0.0429629365395331</v>
      </c>
      <c r="AA61" s="1" t="n">
        <f aca="false">$F$61*AA7/$F$7</f>
        <v>0.0442518246357191</v>
      </c>
      <c r="AB61" s="1" t="n">
        <f aca="false">$F$61*AB7/$F$7</f>
        <v>0.0455793793747907</v>
      </c>
      <c r="AC61" s="1" t="n">
        <f aca="false">$F$61*AC7/$F$7</f>
        <v>0.0469467607560344</v>
      </c>
      <c r="AD61" s="1" t="n">
        <f aca="false">$F$61*AD7/$F$7</f>
        <v>0.0483551635787155</v>
      </c>
      <c r="AE61" s="1" t="n">
        <f aca="false">$F$61*AE7/$F$7</f>
        <v>0.0498058184860769</v>
      </c>
      <c r="AF61" s="1" t="n">
        <f aca="false">$F$61*AF7/$F$7</f>
        <v>0.0512999930406592</v>
      </c>
      <c r="AG61" s="1" t="n">
        <f aca="false">$F$61*AG7/$F$7</f>
        <v>0.052838992831879</v>
      </c>
      <c r="AH61" s="1" t="n">
        <f aca="false">$F$61*AH7/$F$7</f>
        <v>0.0544241626168354</v>
      </c>
      <c r="AI61" s="1" t="n">
        <f aca="false">$F$61*AI7/$F$7</f>
        <v>0.0560568874953405</v>
      </c>
      <c r="AJ61" s="1" t="n">
        <f aca="false">$F$61*AJ7/$F$7</f>
        <v>0.0577385941202007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674</v>
      </c>
    </row>
    <row r="2" customFormat="false" ht="15" hidden="false" customHeight="true" outlineLevel="0" collapsed="false">
      <c r="A2" s="3" t="s">
        <v>675</v>
      </c>
    </row>
    <row r="4" customFormat="false" ht="15" hidden="false" customHeight="true" outlineLevel="0" collapsed="false">
      <c r="A4" s="23" t="s">
        <v>676</v>
      </c>
      <c r="B4" s="50" t="n">
        <v>0</v>
      </c>
      <c r="C4" s="50" t="n">
        <v>1</v>
      </c>
      <c r="D4" s="50" t="n">
        <v>2</v>
      </c>
      <c r="E4" s="50" t="n">
        <v>3</v>
      </c>
      <c r="F4" s="50" t="n">
        <v>4</v>
      </c>
      <c r="G4" s="50" t="n">
        <v>5</v>
      </c>
      <c r="H4" s="50" t="n">
        <v>6</v>
      </c>
      <c r="I4" s="50" t="n">
        <v>7</v>
      </c>
      <c r="J4" s="50" t="n">
        <v>8</v>
      </c>
      <c r="K4" s="50" t="n">
        <v>9</v>
      </c>
      <c r="L4" s="50" t="n">
        <v>10</v>
      </c>
      <c r="M4" s="50" t="n">
        <v>11</v>
      </c>
      <c r="N4" s="50" t="n">
        <v>12</v>
      </c>
      <c r="O4" s="50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</row>
    <row r="5" customFormat="false" ht="15" hidden="false" customHeight="true" outlineLevel="0" collapsed="false">
      <c r="A5" s="26" t="s">
        <v>677</v>
      </c>
      <c r="C5" s="54" t="n">
        <f aca="false">(1+INDEX(finrate_coe,C4))*(1+C56)-1</f>
        <v>0.0817521879760002</v>
      </c>
      <c r="D5" s="54" t="n">
        <f aca="false">(1+INDEX(finrate_coe,D4))*(1+D56)-1</f>
        <v>0.0830860489545366</v>
      </c>
      <c r="E5" s="54" t="n">
        <f aca="false">(1+INDEX(finrate_coe,E4))*(1+E56)-1</f>
        <v>0.0843257387619747</v>
      </c>
      <c r="F5" s="54" t="n">
        <f aca="false">(1+INDEX(finrate_coe,F4))*(1+F56)-1</f>
        <v>0.0854845546243517</v>
      </c>
      <c r="G5" s="54" t="n">
        <f aca="false">(1+INDEX(finrate_coe,G4))*(1+G56)-1</f>
        <v>0.0865828114919918</v>
      </c>
      <c r="H5" s="54" t="n">
        <f aca="false">(1+INDEX(finrate_coe,H4))*(1+H56)-1</f>
        <v>0.0875967743399344</v>
      </c>
      <c r="I5" s="54" t="n">
        <f aca="false">(1+INDEX(finrate_coe,I4))*(1+I56)-1</f>
        <v>0.0885431482558772</v>
      </c>
      <c r="J5" s="54" t="n">
        <f aca="false">(1+INDEX(finrate_coe,J4))*(1+J56)-1</f>
        <v>0.0894268720353038</v>
      </c>
      <c r="K5" s="54" t="n">
        <f aca="false">(1+INDEX(finrate_coe,K4))*(1+K56)-1</f>
        <v>0.0902154069323558</v>
      </c>
      <c r="L5" s="54" t="n">
        <f aca="false">(1+INDEX(finrate_coe,L4))*(1+L56)-1</f>
        <v>0.0909502482306646</v>
      </c>
      <c r="M5" s="54" t="n">
        <f aca="false">(1+INDEX(finrate_coe,M4))*(1+M56)-1</f>
        <v>0.0916074763968897</v>
      </c>
      <c r="N5" s="54" t="n">
        <f aca="false">(1+INDEX(finrate_coe,N4))*(1+N56)-1</f>
        <v>0.0922106335870507</v>
      </c>
      <c r="O5" s="54" t="n">
        <f aca="false">(1+INDEX(finrate_coe,O4))*(1+O56)-1</f>
        <v>0.0927401259857448</v>
      </c>
      <c r="P5" s="36" t="n">
        <f aca="false">(1+INDEX(finrate_coe,P4))*(1+P56)-1</f>
        <v>0.0931943100382762</v>
      </c>
      <c r="Q5" s="36" t="n">
        <f aca="false">(1+INDEX(finrate_coe,Q4))*(1+Q56)-1</f>
        <v>0.0935897442565006</v>
      </c>
      <c r="R5" s="36" t="n">
        <f aca="false">(1+INDEX(finrate_coe,R4))*(1+R56)-1</f>
        <v>0.0939458298740428</v>
      </c>
      <c r="S5" s="36" t="n">
        <f aca="false">(1+INDEX(finrate_coe,S4))*(1+S56)-1</f>
        <v>0.0942536628887754</v>
      </c>
      <c r="T5" s="36" t="n">
        <f aca="false">(1+INDEX(finrate_coe,T4))*(1+T56)-1</f>
        <v>0.094441079980061</v>
      </c>
      <c r="U5" s="36" t="n">
        <f aca="false">(1+INDEX(finrate_coe,U4))*(1+U56)-1</f>
        <v>0.0946549026149199</v>
      </c>
      <c r="V5" s="36" t="n">
        <f aca="false">(1+INDEX(finrate_coe,V4))*(1+V56)-1</f>
        <v>0.0947699340289594</v>
      </c>
      <c r="W5" s="36" t="n">
        <f aca="false">(1+INDEX(finrate_coe,W4))*(1+W56)-1</f>
        <v>0.0948655199720596</v>
      </c>
      <c r="X5" s="36" t="n">
        <f aca="false">(1+INDEX(finrate_coe,X4))*(1+X56)-1</f>
        <v>0.0948799797487883</v>
      </c>
      <c r="Y5" s="36" t="n">
        <f aca="false">(1+INDEX(finrate_coe,Y4))*(1+Y56)-1</f>
        <v>0.0949061653996237</v>
      </c>
      <c r="Z5" s="36" t="n">
        <f aca="false">(1+INDEX(finrate_coe,Z4))*(1+Z56)-1</f>
        <v>0.0948567723560141</v>
      </c>
      <c r="AA5" s="36" t="n">
        <f aca="false">(1+INDEX(finrate_coe,AA4))*(1+AA56)-1</f>
        <v>0.0947531985292829</v>
      </c>
      <c r="AB5" s="36" t="n">
        <f aca="false">(1+INDEX(finrate_coe,AB4))*(1+AB56)-1</f>
        <v>0.0946497863074338</v>
      </c>
      <c r="AC5" s="36" t="n">
        <f aca="false">(1+INDEX(finrate_coe,AC4))*(1+AC56)-1</f>
        <v>0.0944981360908628</v>
      </c>
      <c r="AD5" s="36" t="n">
        <f aca="false">(1+INDEX(finrate_coe,AD4))*(1+AD56)-1</f>
        <v>0.0942993279405626</v>
      </c>
      <c r="AE5" s="36" t="n">
        <f aca="false">(1+INDEX(finrate_coe,AE4))*(1+AE56)-1</f>
        <v>0.0940831199666983</v>
      </c>
      <c r="AF5" s="36" t="n">
        <f aca="false">(1+INDEX(finrate_coe,AF4))*(1+AF56)-1</f>
        <v>0.0938215288512381</v>
      </c>
    </row>
    <row r="6" customFormat="false" ht="15" hidden="false" customHeight="true" outlineLevel="0" collapsed="false">
      <c r="A6" s="26" t="s">
        <v>678</v>
      </c>
      <c r="C6" s="54" t="n">
        <f aca="false">(1+INDEX(finrate_cod,C4))*(1+C56)-1</f>
        <v>0.05</v>
      </c>
      <c r="D6" s="54" t="n">
        <f aca="false">(1+INDEX(finrate_cod,D4))*(1+D56)-1</f>
        <v>0.05</v>
      </c>
      <c r="E6" s="54" t="n">
        <f aca="false">(1+INDEX(finrate_cod,E4))*(1+E56)-1</f>
        <v>0.05</v>
      </c>
      <c r="F6" s="54" t="n">
        <f aca="false">(1+INDEX(finrate_cod,F4))*(1+F56)-1</f>
        <v>0.05</v>
      </c>
      <c r="G6" s="54" t="n">
        <f aca="false">(1+INDEX(finrate_cod,G4))*(1+G56)-1</f>
        <v>0.05</v>
      </c>
      <c r="H6" s="54" t="n">
        <f aca="false">(1+INDEX(finrate_cod,H4))*(1+H56)-1</f>
        <v>0.05</v>
      </c>
      <c r="I6" s="54" t="n">
        <f aca="false">(1+INDEX(finrate_cod,I4))*(1+I56)-1</f>
        <v>0.05</v>
      </c>
      <c r="J6" s="54" t="n">
        <f aca="false">(1+INDEX(finrate_cod,J4))*(1+J56)-1</f>
        <v>0.05</v>
      </c>
      <c r="K6" s="54" t="n">
        <f aca="false">(1+INDEX(finrate_cod,K4))*(1+K56)-1</f>
        <v>0.05</v>
      </c>
      <c r="L6" s="54" t="n">
        <f aca="false">(1+INDEX(finrate_cod,L4))*(1+L56)-1</f>
        <v>0.05</v>
      </c>
      <c r="M6" s="54" t="n">
        <f aca="false">(1+INDEX(finrate_cod,M4))*(1+M56)-1</f>
        <v>0.05</v>
      </c>
      <c r="N6" s="54" t="n">
        <f aca="false">(1+INDEX(finrate_cod,N4))*(1+N56)-1</f>
        <v>0.05</v>
      </c>
      <c r="O6" s="54" t="n">
        <f aca="false">(1+INDEX(finrate_cod,O4))*(1+O56)-1</f>
        <v>0.05</v>
      </c>
      <c r="P6" s="36" t="n">
        <f aca="false">(1+INDEX(finrate_cod,P4))*(1+P56)-1</f>
        <v>0.05</v>
      </c>
      <c r="Q6" s="36" t="n">
        <f aca="false">(1+INDEX(finrate_cod,Q4))*(1+Q56)-1</f>
        <v>0.05</v>
      </c>
      <c r="R6" s="36" t="n">
        <f aca="false">(1+INDEX(finrate_cod,R4))*(1+R56)-1</f>
        <v>0.0499999999999998</v>
      </c>
      <c r="S6" s="36" t="n">
        <f aca="false">(1+INDEX(finrate_cod,S4))*(1+S56)-1</f>
        <v>0.05</v>
      </c>
      <c r="T6" s="36" t="n">
        <f aca="false">(1+INDEX(finrate_cod,T4))*(1+T56)-1</f>
        <v>0.05</v>
      </c>
      <c r="U6" s="36" t="n">
        <f aca="false">(1+INDEX(finrate_cod,U4))*(1+U56)-1</f>
        <v>0.0500000000000003</v>
      </c>
      <c r="V6" s="36" t="n">
        <f aca="false">(1+INDEX(finrate_cod,V4))*(1+V56)-1</f>
        <v>0.0499999999999998</v>
      </c>
      <c r="W6" s="36" t="n">
        <f aca="false">(1+INDEX(finrate_cod,W4))*(1+W56)-1</f>
        <v>0.05</v>
      </c>
      <c r="X6" s="36" t="n">
        <f aca="false">(1+INDEX(finrate_cod,X4))*(1+X56)-1</f>
        <v>0.05</v>
      </c>
      <c r="Y6" s="36" t="n">
        <f aca="false">(1+INDEX(finrate_cod,Y4))*(1+Y56)-1</f>
        <v>0.05</v>
      </c>
      <c r="Z6" s="36" t="n">
        <f aca="false">(1+INDEX(finrate_cod,Z4))*(1+Z56)-1</f>
        <v>0.05</v>
      </c>
      <c r="AA6" s="36" t="n">
        <f aca="false">(1+INDEX(finrate_cod,AA4))*(1+AA56)-1</f>
        <v>0.05</v>
      </c>
      <c r="AB6" s="36" t="n">
        <f aca="false">(1+INDEX(finrate_cod,AB4))*(1+AB56)-1</f>
        <v>0.05</v>
      </c>
      <c r="AC6" s="36" t="n">
        <f aca="false">(1+INDEX(finrate_cod,AC4))*(1+AC56)-1</f>
        <v>0.05</v>
      </c>
      <c r="AD6" s="36" t="n">
        <f aca="false">(1+INDEX(finrate_cod,AD4))*(1+AD56)-1</f>
        <v>0.05</v>
      </c>
      <c r="AE6" s="36" t="n">
        <f aca="false">(1+INDEX(finrate_cod,AE4))*(1+AE56)-1</f>
        <v>0.510518248170535</v>
      </c>
      <c r="AF6" s="36" t="n">
        <f aca="false">(1+INDEX(finrate_cod,AF4))*(1+AF56)-1</f>
        <v>0.0692663936860307</v>
      </c>
    </row>
    <row r="7" customFormat="false" ht="15" hidden="false" customHeight="true" outlineLevel="0" collapsed="false">
      <c r="A7" s="26" t="s">
        <v>679</v>
      </c>
      <c r="B7" s="47" t="n">
        <f aca="false">anchor_ni0/anchor_shares0</f>
        <v>7.71146087896941</v>
      </c>
      <c r="C7" s="47" t="n">
        <f aca="false">IF(cfg_mode="Enterprise",INDEX(fc_ni,C4)/anchor_shares0,INDEX(fc_eps,C4))</f>
        <v>8.1175192862336</v>
      </c>
      <c r="D7" s="47" t="n">
        <f aca="false">IF(cfg_mode="Enterprise",INDEX(fc_ni,D4)/anchor_shares0,INDEX(fc_eps,D4))</f>
        <v>8.57077853066705</v>
      </c>
      <c r="E7" s="47" t="n">
        <f aca="false">IF(cfg_mode="Enterprise",INDEX(fc_ni,E4)/anchor_shares0,INDEX(fc_eps,E4))</f>
        <v>9.03029181715996</v>
      </c>
      <c r="F7" s="47" t="n">
        <f aca="false">IF(cfg_mode="Enterprise",INDEX(fc_ni,F4)/anchor_shares0,INDEX(fc_eps,F4))</f>
        <v>9.50147106059185</v>
      </c>
      <c r="G7" s="47" t="n">
        <f aca="false">IF(cfg_mode="Enterprise",INDEX(fc_ni,G4)/anchor_shares0,INDEX(fc_eps,G4))</f>
        <v>0.495326490992252</v>
      </c>
      <c r="H7" s="47" t="n">
        <f aca="false">IF(cfg_mode="Enterprise",INDEX(fc_ni,H4)/anchor_shares0,INDEX(fc_eps,H4))</f>
        <v>0.529108203145912</v>
      </c>
      <c r="I7" s="47" t="n">
        <f aca="false">IF(cfg_mode="Enterprise",INDEX(fc_ni,I4)/anchor_shares0,INDEX(fc_eps,I4))</f>
        <v>0.561510950647295</v>
      </c>
      <c r="J7" s="47" t="n">
        <f aca="false">IF(cfg_mode="Enterprise",INDEX(fc_ni,J4)/anchor_shares0,INDEX(fc_eps,J4))</f>
        <v>0.593326838994594</v>
      </c>
      <c r="K7" s="47" t="n">
        <f aca="false">IF(cfg_mode="Enterprise",INDEX(fc_ni,K4)/anchor_shares0,INDEX(fc_eps,K4))</f>
        <v>0.625068056517374</v>
      </c>
      <c r="L7" s="47" t="n">
        <f aca="false">IF(cfg_mode="Enterprise",INDEX(fc_ni,L4)/anchor_shares0,INDEX(fc_eps,L4))</f>
        <v>0.657383034276731</v>
      </c>
      <c r="M7" s="47" t="n">
        <f aca="false">IF(cfg_mode="Enterprise",INDEX(fc_ni,M4)/anchor_shares0,INDEX(fc_eps,M4))</f>
        <v>0.690540634272936</v>
      </c>
      <c r="N7" s="47" t="n">
        <f aca="false">IF(cfg_mode="Enterprise",INDEX(fc_ni,N4)/anchor_shares0,INDEX(fc_eps,N4))</f>
        <v>0.724983588958224</v>
      </c>
      <c r="O7" s="47" t="n">
        <f aca="false">IF(cfg_mode="Enterprise",INDEX(fc_ni,O4)/anchor_shares0,INDEX(fc_eps,O4))</f>
        <v>0.760767012182023</v>
      </c>
      <c r="P7" s="26" t="n">
        <f aca="false">IF(cfg_mode="Enterprise",INDEX(fc_ni,P4)/anchor_shares0,INDEX(fc_eps,P4))</f>
        <v>0.798281240083272</v>
      </c>
      <c r="Q7" s="26" t="n">
        <f aca="false">IF(cfg_mode="Enterprise",INDEX(fc_ni,Q4)/anchor_shares0,INDEX(fc_eps,Q4))</f>
        <v>0.837402290871038</v>
      </c>
      <c r="R7" s="26" t="n">
        <f aca="false">IF(cfg_mode="Enterprise",INDEX(fc_ni,R4)/anchor_shares0,INDEX(fc_eps,R4))</f>
        <v>0.878712420413337</v>
      </c>
      <c r="S7" s="26" t="n">
        <f aca="false">IF(cfg_mode="Enterprise",INDEX(fc_ni,S4)/anchor_shares0,INDEX(fc_eps,S4))</f>
        <v>0.922065482129215</v>
      </c>
      <c r="T7" s="26" t="n">
        <f aca="false">IF(cfg_mode="Enterprise",INDEX(fc_ni,T4)/anchor_shares0,INDEX(fc_eps,T4))</f>
        <v>0.967262296844128</v>
      </c>
      <c r="U7" s="26" t="n">
        <f aca="false">IF(cfg_mode="Enterprise",INDEX(fc_ni,U4)/anchor_shares0,INDEX(fc_eps,U4))</f>
        <v>1.01536724508738</v>
      </c>
      <c r="V7" s="26" t="n">
        <f aca="false">IF(cfg_mode="Enterprise",INDEX(fc_ni,V4)/anchor_shares0,INDEX(fc_eps,V4))</f>
        <v>1.065364550836</v>
      </c>
      <c r="W7" s="26" t="n">
        <f aca="false">IF(cfg_mode="Enterprise",INDEX(fc_ni,W4)/anchor_shares0,INDEX(fc_eps,W4))</f>
        <v>1.11801597517391</v>
      </c>
      <c r="X7" s="26" t="n">
        <f aca="false">IF(cfg_mode="Enterprise",INDEX(fc_ni,X4)/anchor_shares0,INDEX(fc_eps,X4))</f>
        <v>1.17321884256979</v>
      </c>
      <c r="Y7" s="26" t="n">
        <f aca="false">IF(cfg_mode="Enterprise",INDEX(fc_ni,Y4)/anchor_shares0,INDEX(fc_eps,Y4))</f>
        <v>1.23162715640378</v>
      </c>
      <c r="Z7" s="26" t="n">
        <f aca="false">IF(cfg_mode="Enterprise",INDEX(fc_ni,Z4)/anchor_shares0,INDEX(fc_eps,Z4))</f>
        <v>1.29227763236537</v>
      </c>
      <c r="AA7" s="26" t="n">
        <f aca="false">IF(cfg_mode="Enterprise",INDEX(fc_ni,AA4)/anchor_shares0,INDEX(fc_eps,AA4))</f>
        <v>1.35564896476157</v>
      </c>
      <c r="AB7" s="26" t="n">
        <f aca="false">IF(cfg_mode="Enterprise",INDEX(fc_ni,AB4)/anchor_shares0,INDEX(fc_eps,AB4))</f>
        <v>1.42243567677189</v>
      </c>
      <c r="AC7" s="26" t="n">
        <f aca="false">IF(cfg_mode="Enterprise",INDEX(fc_ni,AC4)/anchor_shares0,INDEX(fc_eps,AC4))</f>
        <v>1.49235600931867</v>
      </c>
      <c r="AD7" s="26" t="n">
        <f aca="false">IF(cfg_mode="Enterprise",INDEX(fc_ni,AD4)/anchor_shares0,INDEX(fc_eps,AD4))</f>
        <v>1.56497009790308</v>
      </c>
      <c r="AE7" s="26" t="n">
        <f aca="false">IF(cfg_mode="Enterprise",INDEX(fc_ni,AE4)/anchor_shares0,INDEX(fc_eps,AE4))</f>
        <v>1.64098648472746</v>
      </c>
      <c r="AF7" s="26" t="n">
        <f aca="false">IF(cfg_mode="Enterprise",INDEX(fc_ni,AF4)/anchor_shares0,INDEX(fc_eps,AF4))</f>
        <v>1.72056635060453</v>
      </c>
    </row>
    <row r="8" customFormat="false" ht="15" hidden="false" customHeight="true" outlineLevel="0" collapsed="false">
      <c r="A8" s="26" t="s">
        <v>680</v>
      </c>
      <c r="B8" s="47" t="n">
        <f aca="false">anchor_dps0*INDEX(md_deflator,MATCH(in_anchor_year&amp;"",md_years,0))</f>
        <v>0.999301367012173</v>
      </c>
      <c r="C8" s="47" t="n">
        <f aca="false">IF(cfg_mode="Enterprise",C7-(C71-(1+C56)*B71),INDEX(fc_dps,C4))</f>
        <v>7.95906445122397</v>
      </c>
      <c r="D8" s="47" t="n">
        <f aca="false">IF(cfg_mode="Enterprise",D7-(D71-(1+D56)*C71),INDEX(fc_dps,D4))</f>
        <v>8.40418361220298</v>
      </c>
      <c r="E8" s="47" t="n">
        <f aca="false">IF(cfg_mode="Enterprise",E7-(E71-(1+E56)*D71),INDEX(fc_dps,E4))</f>
        <v>8.85559949939157</v>
      </c>
      <c r="F8" s="47" t="n">
        <f aca="false">IF(cfg_mode="Enterprise",F7-(F71-(1+F56)*E71),INDEX(fc_dps,F4))</f>
        <v>9.31857838040865</v>
      </c>
      <c r="G8" s="47" t="n">
        <f aca="false">IF(cfg_mode="Enterprise",G7-(G71-(1+G56)*F71),INDEX(fc_dps,G4))</f>
        <v>0.30401340956642</v>
      </c>
      <c r="H8" s="47" t="n">
        <f aca="false">IF(cfg_mode="Enterprise",H7-(H71-(1+H56)*G71),INDEX(fc_dps,H4))</f>
        <v>0.3290626307206</v>
      </c>
      <c r="I8" s="47" t="n">
        <f aca="false">IF(cfg_mode="Enterprise",I7-(I71-(1+I56)*H71),INDEX(fc_dps,I4))</f>
        <v>0.352346531280914</v>
      </c>
      <c r="J8" s="47" t="n">
        <f aca="false">IF(cfg_mode="Enterprise",J7-(J71-(1+J56)*I71),INDEX(fc_dps,J4))</f>
        <v>0.37459393735978</v>
      </c>
      <c r="K8" s="47" t="n">
        <f aca="false">IF(cfg_mode="Enterprise",K7-(K71-(1+K56)*J71),INDEX(fc_dps,K4))</f>
        <v>0.396267129080881</v>
      </c>
      <c r="L8" s="47" t="n">
        <f aca="false">IF(cfg_mode="Enterprise",L7-(L71-(1+L56)*K71),INDEX(fc_dps,L4))</f>
        <v>0.417966920836848</v>
      </c>
      <c r="M8" s="47" t="n">
        <f aca="false">IF(cfg_mode="Enterprise",M7-(M71-(1+M56)*L71),INDEX(fc_dps,M4))</f>
        <v>0.439922020243871</v>
      </c>
      <c r="N8" s="47" t="n">
        <f aca="false">IF(cfg_mode="Enterprise",N7-(N71-(1+N56)*M71),INDEX(fc_dps,N4))</f>
        <v>0.462536655584353</v>
      </c>
      <c r="O8" s="47" t="n">
        <f aca="false">IF(cfg_mode="Enterprise",O7-(O71-(1+O56)*N71),INDEX(fc_dps,O4))</f>
        <v>0.485830235071048</v>
      </c>
      <c r="P8" s="26" t="n">
        <f aca="false">IF(cfg_mode="Enterprise",P7-(P71-(1+P56)*O71),INDEX(fc_dps,P4))</f>
        <v>0.510164967718426</v>
      </c>
      <c r="Q8" s="26" t="n">
        <f aca="false">IF(cfg_mode="Enterprise",Q7-(Q71-(1+Q56)*P71),INDEX(fc_dps,Q4))</f>
        <v>0.535379322515911</v>
      </c>
      <c r="R8" s="26" t="n">
        <f aca="false">IF(cfg_mode="Enterprise",R7-(R71-(1+R56)*Q71),INDEX(fc_dps,R4))</f>
        <v>0.562023544996449</v>
      </c>
      <c r="S8" s="26" t="n">
        <f aca="false">IF(cfg_mode="Enterprise",S7-(S71-(1+S56)*R71),INDEX(fc_dps,S4))</f>
        <v>0.589915708213358</v>
      </c>
      <c r="T8" s="26" t="n">
        <f aca="false">IF(cfg_mode="Enterprise",T7-(T71-(1+T56)*S71),INDEX(fc_dps,T4))</f>
        <v>0.61883753805364</v>
      </c>
      <c r="U8" s="26" t="n">
        <f aca="false">IF(cfg_mode="Enterprise",U7-(U71-(1+U56)*T71),INDEX(fc_dps,U4))</f>
        <v>0.649811434052074</v>
      </c>
      <c r="V8" s="26" t="n">
        <f aca="false">IF(cfg_mode="Enterprise",V7-(V71-(1+V56)*U71),INDEX(fc_dps,V4))</f>
        <v>0.681794165697594</v>
      </c>
      <c r="W8" s="26" t="n">
        <f aca="false">IF(cfg_mode="Enterprise",W7-(W71-(1+W56)*V71),INDEX(fc_dps,W4))</f>
        <v>0.715509435653558</v>
      </c>
      <c r="X8" s="26" t="n">
        <f aca="false">IF(cfg_mode="Enterprise",X7-(X71-(1+X56)*W71),INDEX(fc_dps,X4))</f>
        <v>0.750835552999268</v>
      </c>
      <c r="Y8" s="26" t="n">
        <f aca="false">IF(cfg_mode="Enterprise",Y7-(Y71-(1+Y56)*X71),INDEX(fc_dps,Y4))</f>
        <v>0.788386015703517</v>
      </c>
      <c r="Z8" s="26" t="n">
        <f aca="false">IF(cfg_mode="Enterprise",Z7-(Z71-(1+Z56)*Y71),INDEX(fc_dps,Z4))</f>
        <v>0.827166869374956</v>
      </c>
      <c r="AA8" s="26" t="n">
        <f aca="false">IF(cfg_mode="Enterprise",AA7-(AA71-(1+AA56)*Z71),INDEX(fc_dps,AA4))</f>
        <v>0.867629156040114</v>
      </c>
      <c r="AB8" s="26" t="n">
        <f aca="false">IF(cfg_mode="Enterprise",AB7-(AB71-(1+AB56)*AA71),INDEX(fc_dps,AB4))</f>
        <v>0.910430519877179</v>
      </c>
      <c r="AC8" s="26" t="n">
        <f aca="false">IF(cfg_mode="Enterprise",AC7-(AC71-(1+AC56)*AB71),INDEX(fc_dps,AC4))</f>
        <v>0.955266502414202</v>
      </c>
      <c r="AD8" s="26" t="n">
        <f aca="false">IF(cfg_mode="Enterprise",AD7-(AD71-(1+AD56)*AC71),INDEX(fc_dps,AD4))</f>
        <v>1.00166424673994</v>
      </c>
      <c r="AE8" s="26" t="n">
        <f aca="false">IF(cfg_mode="Enterprise",AE7-(AE71-(1+AE56)*AD71),INDEX(fc_dps,AE4))</f>
        <v>1.05030013813118</v>
      </c>
      <c r="AF8" s="26" t="n">
        <f aca="false">IF(cfg_mode="Enterprise",AF7-(AF71-(1+AF56)*AE71),INDEX(fc_dps,AF4))</f>
        <v>1.10132243059651</v>
      </c>
    </row>
    <row r="9" customFormat="false" ht="15" hidden="false" customHeight="true" outlineLevel="0" collapsed="false">
      <c r="A9" s="26" t="s">
        <v>681</v>
      </c>
      <c r="B9" s="47" t="n">
        <f aca="false">B7-B8</f>
        <v>6.71215951195723</v>
      </c>
      <c r="C9" s="47" t="n">
        <f aca="false">C7-C8</f>
        <v>0.158454835009623</v>
      </c>
      <c r="D9" s="47" t="n">
        <f aca="false">D7-D8</f>
        <v>0.166594918464071</v>
      </c>
      <c r="E9" s="47" t="n">
        <f aca="false">E7-E8</f>
        <v>0.174692317768393</v>
      </c>
      <c r="F9" s="47" t="n">
        <f aca="false">F7-F8</f>
        <v>0.182892680183199</v>
      </c>
      <c r="G9" s="47" t="n">
        <f aca="false">G7-G8</f>
        <v>0.191313081425831</v>
      </c>
      <c r="H9" s="47" t="n">
        <f aca="false">H7-H8</f>
        <v>0.200045572425312</v>
      </c>
      <c r="I9" s="47" t="n">
        <f aca="false">I7-I8</f>
        <v>0.209164419366381</v>
      </c>
      <c r="J9" s="47" t="n">
        <f aca="false">J7-J8</f>
        <v>0.218732901634814</v>
      </c>
      <c r="K9" s="47" t="n">
        <f aca="false">K7-K8</f>
        <v>0.228800927436494</v>
      </c>
      <c r="L9" s="47" t="n">
        <f aca="false">L7-L8</f>
        <v>0.239416113439884</v>
      </c>
      <c r="M9" s="47" t="n">
        <f aca="false">M7-M8</f>
        <v>0.250618614029065</v>
      </c>
      <c r="N9" s="47" t="n">
        <f aca="false">N7-N8</f>
        <v>0.262446933373871</v>
      </c>
      <c r="O9" s="47" t="n">
        <f aca="false">O7-O8</f>
        <v>0.274936777110975</v>
      </c>
      <c r="P9" s="26" t="n">
        <f aca="false">P7-P8</f>
        <v>0.288116272364846</v>
      </c>
      <c r="Q9" s="26" t="n">
        <f aca="false">Q7-Q8</f>
        <v>0.302022968355127</v>
      </c>
      <c r="R9" s="26" t="n">
        <f aca="false">R7-R8</f>
        <v>0.316688875416888</v>
      </c>
      <c r="S9" s="26" t="n">
        <f aca="false">S7-S8</f>
        <v>0.332149773915857</v>
      </c>
      <c r="T9" s="26" t="n">
        <f aca="false">T7-T8</f>
        <v>0.348424758790488</v>
      </c>
      <c r="U9" s="26" t="n">
        <f aca="false">U7-U8</f>
        <v>0.365555811035309</v>
      </c>
      <c r="V9" s="26" t="n">
        <f aca="false">V7-V8</f>
        <v>0.383570385138402</v>
      </c>
      <c r="W9" s="26" t="n">
        <f aca="false">W7-W8</f>
        <v>0.402506539520349</v>
      </c>
      <c r="X9" s="26" t="n">
        <f aca="false">X7-X8</f>
        <v>0.422383289570522</v>
      </c>
      <c r="Y9" s="26" t="n">
        <f aca="false">Y7-Y8</f>
        <v>0.443241140700259</v>
      </c>
      <c r="Z9" s="26" t="n">
        <f aca="false">Z7-Z8</f>
        <v>0.46511076299041</v>
      </c>
      <c r="AA9" s="26" t="n">
        <f aca="false">AA7-AA8</f>
        <v>0.488019808721461</v>
      </c>
      <c r="AB9" s="26" t="n">
        <f aca="false">AB7-AB8</f>
        <v>0.512005156894716</v>
      </c>
      <c r="AC9" s="26" t="n">
        <f aca="false">AC7-AC8</f>
        <v>0.537089506904465</v>
      </c>
      <c r="AD9" s="26" t="n">
        <f aca="false">AD7-AD8</f>
        <v>0.563305851163143</v>
      </c>
      <c r="AE9" s="26" t="n">
        <f aca="false">AE7-AE8</f>
        <v>0.590686346596282</v>
      </c>
      <c r="AF9" s="26" t="n">
        <f aca="false">AF7-AF8</f>
        <v>0.619243920008021</v>
      </c>
    </row>
    <row r="10" customFormat="false" ht="15" hidden="false" customHeight="true" outlineLevel="0" collapsed="false">
      <c r="A10" s="26" t="s">
        <v>682</v>
      </c>
      <c r="B10" s="47" t="n">
        <f aca="false">anchor_real_cse0/anchor_shares0</f>
        <v>6.15363362082897</v>
      </c>
      <c r="C10" s="47" t="n">
        <f aca="false">IF(cfg_mode="Enterprise",C71,(1+C56)*B10+C9)</f>
        <v>6.4966482353945</v>
      </c>
      <c r="D10" s="47" t="n">
        <f aca="false">IF(cfg_mode="Enterprise",D71,(1+D56)*C10+D9)</f>
        <v>6.83039165702703</v>
      </c>
      <c r="E10" s="47" t="n">
        <f aca="false">IF(cfg_mode="Enterprise",E71,(1+E56)*D10+E9)</f>
        <v>7.1623850285041</v>
      </c>
      <c r="F10" s="47" t="n">
        <f aca="false">IF(cfg_mode="Enterprise",F71,(1+F56)*E10+F9)</f>
        <v>7.49859988751124</v>
      </c>
      <c r="G10" s="47" t="n">
        <f aca="false">IF(cfg_mode="Enterprise",G71,(1+G56)*F10+G9)</f>
        <v>7.84383633845907</v>
      </c>
      <c r="H10" s="47" t="n">
        <f aca="false">IF(cfg_mode="Enterprise",H71,(1+H56)*G10+H9)</f>
        <v>8.20186846943785</v>
      </c>
      <c r="I10" s="47" t="n">
        <f aca="false">IF(cfg_mode="Enterprise",I71,(1+I56)*H10+I9)</f>
        <v>8.57574119402158</v>
      </c>
      <c r="J10" s="47" t="n">
        <f aca="false">IF(cfg_mode="Enterprise",J71,(1+J56)*I10+J9)</f>
        <v>8.96804896702744</v>
      </c>
      <c r="K10" s="47" t="n">
        <f aca="false">IF(cfg_mode="Enterprise",K71,(1+K56)*J10+K9)</f>
        <v>9.38083802489624</v>
      </c>
      <c r="L10" s="47" t="n">
        <f aca="false">IF(cfg_mode="Enterprise",L71,(1+L56)*K10+L9)</f>
        <v>9.81606065103536</v>
      </c>
      <c r="M10" s="47" t="n">
        <f aca="false">IF(cfg_mode="Enterprise",M71,(1+M56)*L10+M9)</f>
        <v>10.2753631751916</v>
      </c>
      <c r="N10" s="47" t="n">
        <f aca="false">IF(cfg_mode="Enterprise",N71,(1+N56)*M10+N9)</f>
        <v>10.7603242683288</v>
      </c>
      <c r="O10" s="47" t="n">
        <f aca="false">IF(cfg_mode="Enterprise",O71,(1+O56)*N10+O9)</f>
        <v>11.27240786155</v>
      </c>
      <c r="P10" s="26" t="n">
        <f aca="false">IF(cfg_mode="Enterprise",P71,(1+P56)*O10+P9)</f>
        <v>11.8127671669588</v>
      </c>
      <c r="Q10" s="26" t="n">
        <f aca="false">IF(cfg_mode="Enterprise",Q71,(1+Q56)*P10+Q9)</f>
        <v>12.3829417025601</v>
      </c>
      <c r="R10" s="26" t="n">
        <f aca="false">IF(cfg_mode="Enterprise",R71,(1+R56)*Q10+R9)</f>
        <v>12.9842438920926</v>
      </c>
      <c r="S10" s="26" t="n">
        <f aca="false">IF(cfg_mode="Enterprise",S71,(1+S56)*R10+S9)</f>
        <v>13.6181407305501</v>
      </c>
      <c r="T10" s="26" t="n">
        <f aca="false">IF(cfg_mode="Enterprise",T71,(1+T56)*S10+T9)</f>
        <v>14.2854151104101</v>
      </c>
      <c r="U10" s="26" t="n">
        <f aca="false">IF(cfg_mode="Enterprise",U71,(1+U56)*T10+U9)</f>
        <v>14.9877882524476</v>
      </c>
      <c r="V10" s="26" t="n">
        <f aca="false">IF(cfg_mode="Enterprise",V71,(1+V56)*U10+V9)</f>
        <v>15.7263857906745</v>
      </c>
      <c r="W10" s="26" t="n">
        <f aca="false">IF(cfg_mode="Enterprise",W71,(1+W56)*V10+W9)</f>
        <v>16.5027681203345</v>
      </c>
      <c r="X10" s="26" t="n">
        <f aca="false">IF(cfg_mode="Enterprise",X71,(1+X56)*W10+X9)</f>
        <v>17.3177148723915</v>
      </c>
      <c r="Y10" s="26" t="n">
        <f aca="false">IF(cfg_mode="Enterprise",Y71,(1+Y56)*X10+Y9)</f>
        <v>18.1728867687107</v>
      </c>
      <c r="Z10" s="26" t="n">
        <f aca="false">IF(cfg_mode="Enterprise",Z71,(1+Z56)*Y10+Z9)</f>
        <v>19.0695412826069</v>
      </c>
      <c r="AA10" s="26" t="n">
        <f aca="false">IF(cfg_mode="Enterprise",AA71,(1+AA56)*Z10+AA9)</f>
        <v>20.00881215758</v>
      </c>
      <c r="AB10" s="26" t="n">
        <f aca="false">IF(cfg_mode="Enterprise",AB71,(1+AB56)*AA10+AB9)</f>
        <v>20.9922114326834</v>
      </c>
      <c r="AC10" s="26" t="n">
        <f aca="false">IF(cfg_mode="Enterprise",AC71,(1+AC56)*AB10+AC9)</f>
        <v>22.0206697830831</v>
      </c>
      <c r="AD10" s="26" t="n">
        <f aca="false">IF(cfg_mode="Enterprise",AD71,(1+AD56)*AC10+AD9)</f>
        <v>23.0955398976889</v>
      </c>
      <c r="AE10" s="26" t="n">
        <f aca="false">IF(cfg_mode="Enterprise",AE71,(1+AE56)*AD10+AE9)</f>
        <v>24.2181402104477</v>
      </c>
      <c r="AF10" s="26" t="n">
        <f aca="false">IF(cfg_mode="Enterprise",AF71,(1+AF56)*AE10+AF9)</f>
        <v>25.389000720329</v>
      </c>
    </row>
    <row r="11" customFormat="false" ht="15" hidden="false" customHeight="true" outlineLevel="0" collapsed="false">
      <c r="A11" s="26" t="s">
        <v>683</v>
      </c>
      <c r="B11" s="47" t="n">
        <f aca="false">anchor_real_nfo0/anchor_shares0</f>
        <v>4.0014233345317</v>
      </c>
      <c r="C11" s="47" t="n">
        <f aca="false">IF(cfg_mode="Enterprise",INDEX(fc_nfo,C4)/anchor_shares0,INDEX(fc_nfo,C4)/INDEX(fc_shares,C4))</f>
        <v>4.22446987376049</v>
      </c>
      <c r="D11" s="47" t="n">
        <f aca="false">IF(cfg_mode="Enterprise",INDEX(fc_nfo,D4)/anchor_shares0,INDEX(fc_nfo,D4)/INDEX(fc_shares,D4))</f>
        <v>4.44148778502297</v>
      </c>
      <c r="E11" s="47" t="n">
        <f aca="false">IF(cfg_mode="Enterprise",INDEX(fc_nfo,E4)/anchor_shares0,INDEX(fc_nfo,E4)/INDEX(fc_shares,E4))</f>
        <v>4.65736771961018</v>
      </c>
      <c r="F11" s="47" t="n">
        <f aca="false">IF(cfg_mode="Enterprise",INDEX(fc_nfo,F4)/anchor_shares0,INDEX(fc_nfo,F4)/INDEX(fc_shares,F4))</f>
        <v>4.87599269229196</v>
      </c>
      <c r="G11" s="47" t="n">
        <f aca="false">IF(cfg_mode="Enterprise",INDEX(fc_nfo,G4)/anchor_shares0,INDEX(fc_nfo,G4)/INDEX(fc_shares,G4))</f>
        <v>5.10048398895897</v>
      </c>
      <c r="H11" s="47" t="n">
        <f aca="false">IF(cfg_mode="Enterprise",INDEX(fc_nfo,H4)/anchor_shares0,INDEX(fc_nfo,H4)/INDEX(fc_shares,H4))</f>
        <v>5.33329572454254</v>
      </c>
      <c r="I11" s="47" t="n">
        <f aca="false">IF(cfg_mode="Enterprise",INDEX(fc_nfo,I4)/anchor_shares0,INDEX(fc_nfo,I4)/INDEX(fc_shares,I4))</f>
        <v>5.57640786551084</v>
      </c>
      <c r="J11" s="47" t="n">
        <f aca="false">IF(cfg_mode="Enterprise",INDEX(fc_nfo,J4)/anchor_shares0,INDEX(fc_nfo,J4)/INDEX(fc_shares,J4))</f>
        <v>5.83150746583647</v>
      </c>
      <c r="K11" s="47" t="n">
        <f aca="false">IF(cfg_mode="Enterprise",INDEX(fc_nfo,K4)/anchor_shares0,INDEX(fc_nfo,K4)/INDEX(fc_shares,K4))</f>
        <v>6.09992509843726</v>
      </c>
      <c r="L11" s="47" t="n">
        <f aca="false">IF(cfg_mode="Enterprise",INDEX(fc_nfo,L4)/anchor_shares0,INDEX(fc_nfo,L4)/INDEX(fc_shares,L4))</f>
        <v>6.38293024291881</v>
      </c>
      <c r="M11" s="47" t="n">
        <f aca="false">IF(cfg_mode="Enterprise",INDEX(fc_nfo,M4)/anchor_shares0,INDEX(fc_nfo,M4)/INDEX(fc_shares,M4))</f>
        <v>6.6815934313718</v>
      </c>
      <c r="N11" s="47" t="n">
        <f aca="false">IF(cfg_mode="Enterprise",INDEX(fc_nfo,N4)/anchor_shares0,INDEX(fc_nfo,N4)/INDEX(fc_shares,N4))</f>
        <v>6.99694120050945</v>
      </c>
      <c r="O11" s="47" t="n">
        <f aca="false">IF(cfg_mode="Enterprise",INDEX(fc_nfo,O4)/anchor_shares0,INDEX(fc_nfo,O4)/INDEX(fc_shares,O4))</f>
        <v>7.32992547702058</v>
      </c>
      <c r="P11" s="26" t="n">
        <f aca="false">IF(cfg_mode="Enterprise",INDEX(fc_nfo,P4)/anchor_shares0,INDEX(fc_nfo,P4)/INDEX(fc_shares,P4))</f>
        <v>7.68129614139931</v>
      </c>
      <c r="Q11" s="26" t="n">
        <f aca="false">IF(cfg_mode="Enterprise",INDEX(fc_nfo,Q4)/anchor_shares0,INDEX(fc_nfo,Q4)/INDEX(fc_shares,Q4))</f>
        <v>8.05205427100073</v>
      </c>
      <c r="R11" s="26" t="n">
        <f aca="false">IF(cfg_mode="Enterprise",INDEX(fc_nfo,R4)/anchor_shares0,INDEX(fc_nfo,R4)/INDEX(fc_shares,R4))</f>
        <v>8.44305327428167</v>
      </c>
      <c r="S11" s="26" t="n">
        <f aca="false">IF(cfg_mode="Enterprise",INDEX(fc_nfo,S4)/anchor_shares0,INDEX(fc_nfo,S4)/INDEX(fc_shares,S4))</f>
        <v>8.85524707023735</v>
      </c>
      <c r="T11" s="26" t="n">
        <f aca="false">IF(cfg_mode="Enterprise",INDEX(fc_nfo,T4)/anchor_shares0,INDEX(fc_nfo,T4)/INDEX(fc_shares,T4))</f>
        <v>9.28914473763653</v>
      </c>
      <c r="U11" s="26" t="n">
        <f aca="false">IF(cfg_mode="Enterprise",INDEX(fc_nfo,U4)/anchor_shares0,INDEX(fc_nfo,U4)/INDEX(fc_shares,U4))</f>
        <v>9.74586550674182</v>
      </c>
      <c r="V11" s="26" t="n">
        <f aca="false">IF(cfg_mode="Enterprise",INDEX(fc_nfo,V4)/anchor_shares0,INDEX(fc_nfo,V4)/INDEX(fc_shares,V4))</f>
        <v>10.2261413252899</v>
      </c>
      <c r="W11" s="26" t="n">
        <f aca="false">IF(cfg_mode="Enterprise",INDEX(fc_nfo,W4)/anchor_shares0,INDEX(fc_nfo,W4)/INDEX(fc_shares,W4))</f>
        <v>10.7309868461386</v>
      </c>
      <c r="X11" s="26" t="n">
        <f aca="false">IF(cfg_mode="Enterprise",INDEX(fc_nfo,X4)/anchor_shares0,INDEX(fc_nfo,X4)/INDEX(fc_shares,X4))</f>
        <v>11.2609090272454</v>
      </c>
      <c r="Y11" s="26" t="n">
        <f aca="false">IF(cfg_mode="Enterprise",INDEX(fc_nfo,Y4)/anchor_shares0,INDEX(fc_nfo,Y4)/INDEX(fc_shares,Y4))</f>
        <v>11.8169877592298</v>
      </c>
      <c r="Z11" s="26" t="n">
        <f aca="false">IF(cfg_mode="Enterprise",INDEX(fc_nfo,Z4)/anchor_shares0,INDEX(fc_nfo,Z4)/INDEX(fc_shares,Z4))</f>
        <v>12.4000407188297</v>
      </c>
      <c r="AA11" s="26" t="n">
        <f aca="false">IF(cfg_mode="Enterprise",INDEX(fc_nfo,AA4)/anchor_shares0,INDEX(fc_nfo,AA4)/INDEX(fc_shares,AA4))</f>
        <v>13.0108051270067</v>
      </c>
      <c r="AB11" s="26" t="n">
        <f aca="false">IF(cfg_mode="Enterprise",INDEX(fc_nfo,AB4)/anchor_shares0,INDEX(fc_nfo,AB4)/INDEX(fc_shares,AB4))</f>
        <v>13.6502641928244</v>
      </c>
      <c r="AC11" s="26" t="n">
        <f aca="false">IF(cfg_mode="Enterprise",INDEX(fc_nfo,AC4)/anchor_shares0,INDEX(fc_nfo,AC4)/INDEX(fc_shares,AC4))</f>
        <v>14.3190230912993</v>
      </c>
      <c r="AD11" s="26" t="n">
        <f aca="false">IF(cfg_mode="Enterprise",INDEX(fc_nfo,AD4)/anchor_shares0,INDEX(fc_nfo,AD4)/INDEX(fc_shares,AD4))</f>
        <v>15.0179614134666</v>
      </c>
      <c r="AE11" s="26" t="n">
        <f aca="false">IF(cfg_mode="Enterprise",INDEX(fc_nfo,AE4)/anchor_shares0,INDEX(fc_nfo,AE4)/INDEX(fc_shares,AE4))</f>
        <v>15.7479364759436</v>
      </c>
      <c r="AF11" s="26" t="n">
        <f aca="false">IF(cfg_mode="Enterprise",INDEX(fc_nfo,AF4)/anchor_shares0,INDEX(fc_nfo,AF4)/INDEX(fc_shares,AF4))</f>
        <v>16.5092929125476</v>
      </c>
    </row>
    <row r="12" customFormat="false" ht="15" hidden="false" customHeight="true" outlineLevel="0" collapsed="false">
      <c r="A12" s="26" t="s">
        <v>684</v>
      </c>
      <c r="B12" s="47" t="n">
        <v>0</v>
      </c>
      <c r="C12" s="47" t="n">
        <f aca="false">C6*C11</f>
        <v>0.211223493688025</v>
      </c>
      <c r="D12" s="47" t="n">
        <f aca="false">D6*D11</f>
        <v>0.222074389251149</v>
      </c>
      <c r="E12" s="47" t="n">
        <f aca="false">E6*E11</f>
        <v>0.232868385980509</v>
      </c>
      <c r="F12" s="47" t="n">
        <f aca="false">F6*F11</f>
        <v>0.243799634614598</v>
      </c>
      <c r="G12" s="47" t="n">
        <f aca="false">G6*G11</f>
        <v>0.255024199447949</v>
      </c>
      <c r="H12" s="47" t="n">
        <f aca="false">H6*H11</f>
        <v>0.266664786227127</v>
      </c>
      <c r="I12" s="47" t="n">
        <f aca="false">I6*I11</f>
        <v>0.278820393275542</v>
      </c>
      <c r="J12" s="47" t="n">
        <f aca="false">J6*J11</f>
        <v>0.291575373291824</v>
      </c>
      <c r="K12" s="47" t="n">
        <f aca="false">K6*K11</f>
        <v>0.304996254921863</v>
      </c>
      <c r="L12" s="47" t="n">
        <f aca="false">L6*L11</f>
        <v>0.319146512145941</v>
      </c>
      <c r="M12" s="47" t="n">
        <f aca="false">M6*M11</f>
        <v>0.33407967156859</v>
      </c>
      <c r="N12" s="47" t="n">
        <f aca="false">N6*N11</f>
        <v>0.349847060025473</v>
      </c>
      <c r="O12" s="47" t="n">
        <f aca="false">O6*O11</f>
        <v>0.366496273851029</v>
      </c>
      <c r="P12" s="26" t="n">
        <f aca="false">P6*P11</f>
        <v>0.384064807069966</v>
      </c>
      <c r="Q12" s="26" t="n">
        <f aca="false">Q6*Q11</f>
        <v>0.402602713550037</v>
      </c>
      <c r="R12" s="26" t="n">
        <f aca="false">R6*R11</f>
        <v>0.422152663714082</v>
      </c>
      <c r="S12" s="26" t="n">
        <f aca="false">S6*S11</f>
        <v>0.442762353511868</v>
      </c>
      <c r="T12" s="26" t="n">
        <f aca="false">T6*T11</f>
        <v>0.464457236881827</v>
      </c>
      <c r="U12" s="26" t="n">
        <f aca="false">U6*U11</f>
        <v>0.487293275337094</v>
      </c>
      <c r="V12" s="26" t="n">
        <f aca="false">V6*V11</f>
        <v>0.511307066264494</v>
      </c>
      <c r="W12" s="26" t="n">
        <f aca="false">W6*W11</f>
        <v>0.536549342306932</v>
      </c>
      <c r="X12" s="26" t="n">
        <f aca="false">X6*X11</f>
        <v>0.563045451362271</v>
      </c>
      <c r="Y12" s="26" t="n">
        <f aca="false">Y6*Y11</f>
        <v>0.590849387961493</v>
      </c>
      <c r="Z12" s="26" t="n">
        <f aca="false">Z6*Z11</f>
        <v>0.620002035941487</v>
      </c>
      <c r="AA12" s="26" t="n">
        <f aca="false">AA6*AA11</f>
        <v>0.650540256350334</v>
      </c>
      <c r="AB12" s="26" t="n">
        <f aca="false">AB6*AB11</f>
        <v>0.682513209641222</v>
      </c>
      <c r="AC12" s="26" t="n">
        <f aca="false">AC6*AC11</f>
        <v>0.715951154564964</v>
      </c>
      <c r="AD12" s="26" t="n">
        <f aca="false">AD6*AD11</f>
        <v>0.75089807067333</v>
      </c>
      <c r="AE12" s="26" t="n">
        <f aca="false">AE6*AE11</f>
        <v>8.0396089419996</v>
      </c>
      <c r="AF12" s="26" t="n">
        <f aca="false">AF6*AF11</f>
        <v>1.14353918235852</v>
      </c>
    </row>
    <row r="13" customFormat="false" ht="15" hidden="false" customHeight="true" outlineLevel="0" collapsed="false">
      <c r="A13" s="26" t="s">
        <v>685</v>
      </c>
      <c r="B13" s="47" t="n">
        <f aca="false">B7+B12</f>
        <v>7.71146087896941</v>
      </c>
      <c r="C13" s="47" t="n">
        <f aca="false">C7+C12</f>
        <v>8.32874277992162</v>
      </c>
      <c r="D13" s="47" t="n">
        <f aca="false">D7+D12</f>
        <v>8.7928529199182</v>
      </c>
      <c r="E13" s="47" t="n">
        <f aca="false">E7+E12</f>
        <v>9.26316020314047</v>
      </c>
      <c r="F13" s="47" t="n">
        <f aca="false">F7+F12</f>
        <v>9.74527069520644</v>
      </c>
      <c r="G13" s="47" t="n">
        <f aca="false">G7+G12</f>
        <v>0.7503506904402</v>
      </c>
      <c r="H13" s="47" t="n">
        <f aca="false">H7+H12</f>
        <v>0.795772989373039</v>
      </c>
      <c r="I13" s="47" t="n">
        <f aca="false">I7+I12</f>
        <v>0.840331343922837</v>
      </c>
      <c r="J13" s="47" t="n">
        <f aca="false">J7+J12</f>
        <v>0.884902212286418</v>
      </c>
      <c r="K13" s="47" t="n">
        <f aca="false">K7+K12</f>
        <v>0.930064311439237</v>
      </c>
      <c r="L13" s="47" t="n">
        <f aca="false">L7+L12</f>
        <v>0.976529546422672</v>
      </c>
      <c r="M13" s="47" t="n">
        <f aca="false">M7+M12</f>
        <v>1.02462030584153</v>
      </c>
      <c r="N13" s="47" t="n">
        <f aca="false">N7+N12</f>
        <v>1.0748306489837</v>
      </c>
      <c r="O13" s="47" t="n">
        <f aca="false">O7+O12</f>
        <v>1.12726328603305</v>
      </c>
      <c r="P13" s="26" t="n">
        <f aca="false">P7+P12</f>
        <v>1.18234604715324</v>
      </c>
      <c r="Q13" s="26" t="n">
        <f aca="false">Q7+Q12</f>
        <v>1.24000500442108</v>
      </c>
      <c r="R13" s="26" t="n">
        <f aca="false">R7+R12</f>
        <v>1.30086508412742</v>
      </c>
      <c r="S13" s="26" t="n">
        <f aca="false">S7+S12</f>
        <v>1.36482783564108</v>
      </c>
      <c r="T13" s="26" t="n">
        <f aca="false">T7+T12</f>
        <v>1.43171953372596</v>
      </c>
      <c r="U13" s="26" t="n">
        <f aca="false">U7+U12</f>
        <v>1.50266052042448</v>
      </c>
      <c r="V13" s="26" t="n">
        <f aca="false">V7+V12</f>
        <v>1.57667161710049</v>
      </c>
      <c r="W13" s="26" t="n">
        <f aca="false">W7+W12</f>
        <v>1.65456531748084</v>
      </c>
      <c r="X13" s="26" t="n">
        <f aca="false">X7+X12</f>
        <v>1.73626429393206</v>
      </c>
      <c r="Y13" s="26" t="n">
        <f aca="false">Y7+Y12</f>
        <v>1.82247654436527</v>
      </c>
      <c r="Z13" s="26" t="n">
        <f aca="false">Z7+Z12</f>
        <v>1.91227966830685</v>
      </c>
      <c r="AA13" s="26" t="n">
        <f aca="false">AA7+AA12</f>
        <v>2.00618922111191</v>
      </c>
      <c r="AB13" s="26" t="n">
        <f aca="false">AB7+AB12</f>
        <v>2.10494888641312</v>
      </c>
      <c r="AC13" s="26" t="n">
        <f aca="false">AC7+AC12</f>
        <v>2.20830716388363</v>
      </c>
      <c r="AD13" s="26" t="n">
        <f aca="false">AD7+AD12</f>
        <v>2.31586816857641</v>
      </c>
      <c r="AE13" s="26" t="n">
        <f aca="false">AE7+AE12</f>
        <v>9.68059542672707</v>
      </c>
      <c r="AF13" s="26" t="n">
        <f aca="false">AF7+AF12</f>
        <v>2.86410553296305</v>
      </c>
    </row>
    <row r="14" customFormat="false" ht="15" hidden="false" customHeight="true" outlineLevel="0" collapsed="false">
      <c r="A14" s="26" t="s">
        <v>686</v>
      </c>
      <c r="B14" s="46" t="n">
        <f aca="false">IF(B10=0,"",B11/B10)</f>
        <v>0.650253749424986</v>
      </c>
      <c r="C14" s="46" t="n">
        <f aca="false">IF(C10=0,"",C11/C10)</f>
        <v>0.650253749424986</v>
      </c>
      <c r="D14" s="46" t="n">
        <f aca="false">IF(D10=0,"",D11/D10)</f>
        <v>0.650253749424986</v>
      </c>
      <c r="E14" s="46" t="n">
        <f aca="false">IF(E10=0,"",E11/E10)</f>
        <v>0.650253749424986</v>
      </c>
      <c r="F14" s="46" t="n">
        <f aca="false">IF(F10=0,"",F11/F10)</f>
        <v>0.650253749424986</v>
      </c>
      <c r="G14" s="46" t="n">
        <f aca="false">IF(G10=0,"",G11/G10)</f>
        <v>0.650253749424986</v>
      </c>
      <c r="H14" s="46" t="n">
        <f aca="false">IF(H10=0,"",H11/H10)</f>
        <v>0.650253749424986</v>
      </c>
      <c r="I14" s="46" t="n">
        <f aca="false">IF(I10=0,"",I11/I10)</f>
        <v>0.650253749424986</v>
      </c>
      <c r="J14" s="46" t="n">
        <f aca="false">IF(J10=0,"",J11/J10)</f>
        <v>0.650253749424986</v>
      </c>
      <c r="K14" s="46" t="n">
        <f aca="false">IF(K10=0,"",K11/K10)</f>
        <v>0.650253749424986</v>
      </c>
      <c r="L14" s="46" t="n">
        <f aca="false">IF(L10=0,"",L11/L10)</f>
        <v>0.650253749424986</v>
      </c>
      <c r="M14" s="46" t="n">
        <f aca="false">IF(M10=0,"",M11/M10)</f>
        <v>0.650253749424986</v>
      </c>
      <c r="N14" s="46" t="n">
        <f aca="false">IF(N10=0,"",N11/N10)</f>
        <v>0.650253749424986</v>
      </c>
      <c r="O14" s="46" t="n">
        <f aca="false">IF(O10=0,"",O11/O10)</f>
        <v>0.650253749424986</v>
      </c>
      <c r="P14" s="26" t="n">
        <f aca="false">IF(P10=0,"",P11/P10)</f>
        <v>0.650253749424986</v>
      </c>
      <c r="Q14" s="26" t="n">
        <f aca="false">IF(Q10=0,"",Q11/Q10)</f>
        <v>0.650253749424986</v>
      </c>
      <c r="R14" s="26" t="n">
        <f aca="false">IF(R10=0,"",R11/R10)</f>
        <v>0.650253749424986</v>
      </c>
      <c r="S14" s="26" t="n">
        <f aca="false">IF(S10=0,"",S11/S10)</f>
        <v>0.650253749424986</v>
      </c>
      <c r="T14" s="26" t="n">
        <f aca="false">IF(T10=0,"",T11/T10)</f>
        <v>0.650253749424986</v>
      </c>
      <c r="U14" s="26" t="n">
        <f aca="false">IF(U10=0,"",U11/U10)</f>
        <v>0.650253749424986</v>
      </c>
      <c r="V14" s="26" t="n">
        <f aca="false">IF(V10=0,"",V11/V10)</f>
        <v>0.650253749424986</v>
      </c>
      <c r="W14" s="26" t="n">
        <f aca="false">IF(W10=0,"",W11/W10)</f>
        <v>0.650253749424986</v>
      </c>
      <c r="X14" s="26" t="n">
        <f aca="false">IF(X10=0,"",X11/X10)</f>
        <v>0.650253749424986</v>
      </c>
      <c r="Y14" s="26" t="n">
        <f aca="false">IF(Y10=0,"",Y11/Y10)</f>
        <v>0.650253749424986</v>
      </c>
      <c r="Z14" s="26" t="n">
        <f aca="false">IF(Z10=0,"",Z11/Z10)</f>
        <v>0.650253749424986</v>
      </c>
      <c r="AA14" s="26" t="n">
        <f aca="false">IF(AA10=0,"",AA11/AA10)</f>
        <v>0.650253749424986</v>
      </c>
      <c r="AB14" s="26" t="n">
        <f aca="false">IF(AB10=0,"",AB11/AB10)</f>
        <v>0.650253749424986</v>
      </c>
      <c r="AC14" s="26" t="n">
        <f aca="false">IF(AC10=0,"",AC11/AC10)</f>
        <v>0.650253749424986</v>
      </c>
      <c r="AD14" s="26" t="n">
        <f aca="false">IF(AD10=0,"",AD11/AD10)</f>
        <v>0.650253749424986</v>
      </c>
      <c r="AE14" s="26" t="n">
        <f aca="false">IF(AE10=0,"",AE11/AE10)</f>
        <v>0.650253749424986</v>
      </c>
      <c r="AF14" s="26" t="n">
        <f aca="false">IF(AF10=0,"",AF11/AF10)</f>
        <v>0.650253749424986</v>
      </c>
    </row>
    <row r="15" customFormat="false" ht="15" hidden="false" customHeight="true" outlineLevel="0" collapsed="false">
      <c r="A15" s="26" t="s">
        <v>687</v>
      </c>
      <c r="C15" s="54" t="n">
        <f aca="false">IF(cfg_rf_mode="Single",(1+in_rf_single)*(1+C56)-1,(C5+C14*C6)/(1+C14))</f>
        <v>0.0692407912947108</v>
      </c>
      <c r="D15" s="54" t="n">
        <f aca="false">IF(cfg_rf_mode="Single",(1+in_rf_single)*(1+D56)-1,(D5+D14*D6)/(1+D14))</f>
        <v>0.0700490675849488</v>
      </c>
      <c r="E15" s="54" t="n">
        <f aca="false">IF(cfg_rf_mode="Single",(1+in_rf_single)*(1+E56)-1,(E5+E14*E6)/(1+E14))</f>
        <v>0.0708002792139907</v>
      </c>
      <c r="F15" s="54" t="n">
        <f aca="false">IF(cfg_rf_mode="Single",(1+in_rf_single)*(1+F56)-1,(F5+F14*F6)/(1+F14))</f>
        <v>0.0715024838675361</v>
      </c>
      <c r="G15" s="54" t="n">
        <f aca="false">IF(cfg_rf_mode="Single",(1+in_rf_single)*(1+G56)-1,(G5+G14*G6)/(1+G14))</f>
        <v>0.0721679917435356</v>
      </c>
      <c r="H15" s="54" t="n">
        <f aca="false">IF(cfg_rf_mode="Single",(1+in_rf_single)*(1+H56)-1,(H5+H14*H6)/(1+H14))</f>
        <v>0.0727824201902493</v>
      </c>
      <c r="I15" s="54" t="n">
        <f aca="false">IF(cfg_rf_mode="Single",(1+in_rf_single)*(1+I56)-1,(I5+I14*I6)/(1+I14))</f>
        <v>0.0733558919465004</v>
      </c>
      <c r="J15" s="54" t="n">
        <f aca="false">IF(cfg_rf_mode="Single",(1+in_rf_single)*(1+J56)-1,(J5+J14*J6)/(1+J14))</f>
        <v>0.0738913997614256</v>
      </c>
      <c r="K15" s="54" t="n">
        <f aca="false">IF(cfg_rf_mode="Single",(1+in_rf_single)*(1+K56)-1,(K5+K14*K6)/(1+K14))</f>
        <v>0.0743692262152826</v>
      </c>
      <c r="L15" s="54" t="n">
        <f aca="false">IF(cfg_rf_mode="Single",(1+in_rf_single)*(1+L56)-1,(L5+L14*L6)/(1+L14))</f>
        <v>0.0748145160978627</v>
      </c>
      <c r="M15" s="54" t="n">
        <f aca="false">IF(cfg_rf_mode="Single",(1+in_rf_single)*(1+M56)-1,(M5+M14*M6)/(1+M14))</f>
        <v>0.0752127749513597</v>
      </c>
      <c r="N15" s="54" t="n">
        <f aca="false">IF(cfg_rf_mode="Single",(1+in_rf_single)*(1+N56)-1,(N5+N14*N6)/(1+N14))</f>
        <v>0.0755782685552198</v>
      </c>
      <c r="O15" s="54" t="n">
        <f aca="false">IF(cfg_rf_mode="Single",(1+in_rf_single)*(1+O56)-1,(O5+O14*O6)/(1+O14))</f>
        <v>0.0758991236957572</v>
      </c>
      <c r="P15" s="26" t="n">
        <f aca="false">IF(cfg_rf_mode="Single",(1+in_rf_single)*(1+P56)-1,(P5+P14*P6)/(1+P14))</f>
        <v>0.0761743444323801</v>
      </c>
      <c r="Q15" s="26" t="n">
        <f aca="false">IF(cfg_rf_mode="Single",(1+in_rf_single)*(1+Q56)-1,(Q5+Q14*Q6)/(1+Q14))</f>
        <v>0.0764139646837276</v>
      </c>
      <c r="R15" s="26" t="n">
        <f aca="false">IF(cfg_rf_mode="Single",(1+in_rf_single)*(1+R56)-1,(R5+R14*R6)/(1+R14))</f>
        <v>0.0766297409652031</v>
      </c>
      <c r="S15" s="26" t="n">
        <f aca="false">IF(cfg_rf_mode="Single",(1+in_rf_single)*(1+S56)-1,(S5+S14*S6)/(1+S14))</f>
        <v>0.0768162777416474</v>
      </c>
      <c r="T15" s="26" t="n">
        <f aca="false">IF(cfg_rf_mode="Single",(1+in_rf_single)*(1+T56)-1,(T5+T14*T6)/(1+T14))</f>
        <v>0.0769298463921358</v>
      </c>
      <c r="U15" s="26" t="n">
        <f aca="false">IF(cfg_rf_mode="Single",(1+in_rf_single)*(1+U56)-1,(U5+U14*U6)/(1+U14))</f>
        <v>0.077059415941627</v>
      </c>
      <c r="V15" s="26" t="n">
        <f aca="false">IF(cfg_rf_mode="Single",(1+in_rf_single)*(1+V56)-1,(V5+V14*V6)/(1+V14))</f>
        <v>0.0771291212303313</v>
      </c>
      <c r="W15" s="26" t="n">
        <f aca="false">IF(cfg_rf_mode="Single",(1+in_rf_single)*(1+W56)-1,(W5+W14*W6)/(1+W14))</f>
        <v>0.0771870431972614</v>
      </c>
      <c r="X15" s="26" t="n">
        <f aca="false">IF(cfg_rf_mode="Single",(1+in_rf_single)*(1+X56)-1,(X5+X14*X6)/(1+X14))</f>
        <v>0.0771958053507991</v>
      </c>
      <c r="Y15" s="26" t="n">
        <f aca="false">IF(cfg_rf_mode="Single",(1+in_rf_single)*(1+Y56)-1,(Y5+Y14*Y6)/(1+Y14))</f>
        <v>0.0772116730019676</v>
      </c>
      <c r="Z15" s="26" t="n">
        <f aca="false">IF(cfg_rf_mode="Single",(1+in_rf_single)*(1+Z56)-1,(Z5+Z14*Z6)/(1+Z14))</f>
        <v>0.0771817424269716</v>
      </c>
      <c r="AA15" s="26" t="n">
        <f aca="false">IF(cfg_rf_mode="Single",(1+in_rf_single)*(1+AA56)-1,(AA5+AA14*AA6)/(1+AA14))</f>
        <v>0.0771189800628399</v>
      </c>
      <c r="AB15" s="26" t="n">
        <f aca="false">IF(cfg_rf_mode="Single",(1+in_rf_single)*(1+AB56)-1,(AB5+AB14*AB6)/(1+AB14))</f>
        <v>0.0770563156260009</v>
      </c>
      <c r="AC15" s="26" t="n">
        <f aca="false">IF(cfg_rf_mode="Single",(1+in_rf_single)*(1+AC56)-1,(AC5+AC14*AC6)/(1+AC14))</f>
        <v>0.0769644205361556</v>
      </c>
      <c r="AD15" s="26" t="n">
        <f aca="false">IF(cfg_rf_mode="Single",(1+in_rf_single)*(1+AD56)-1,(AD5+AD14*AD6)/(1+AD14))</f>
        <v>0.0768439492750726</v>
      </c>
      <c r="AE15" s="26" t="n">
        <f aca="false">IF(cfg_rf_mode="Single",(1+in_rf_single)*(1+AE56)-1,(AE5+AE14*AE6)/(1+AE14))</f>
        <v>0.258172129672735</v>
      </c>
      <c r="AF15" s="26" t="n">
        <f aca="false">IF(cfg_rf_mode="Single",(1+in_rf_single)*(1+AF56)-1,(AF5+AF14*AF6)/(1+AF14))</f>
        <v>0.0841460054874057</v>
      </c>
    </row>
    <row r="16" customFormat="false" ht="15" hidden="false" customHeight="true" outlineLevel="0" collapsed="false">
      <c r="A16" s="26" t="s">
        <v>688</v>
      </c>
      <c r="B16" s="41" t="n">
        <v>1</v>
      </c>
      <c r="C16" s="41" t="n">
        <f aca="false">B16/(1+C5)</f>
        <v>0.924426140400084</v>
      </c>
      <c r="D16" s="41" t="n">
        <f aca="false">C16/(1+D5)</f>
        <v>0.853511261909798</v>
      </c>
      <c r="E16" s="41" t="n">
        <f aca="false">D16/(1+E5)</f>
        <v>0.787135480971144</v>
      </c>
      <c r="F16" s="41" t="n">
        <f aca="false">E16/(1+F5)</f>
        <v>0.725146643144585</v>
      </c>
      <c r="G16" s="41" t="n">
        <f aca="false">F16/(1+G5)</f>
        <v>0.667364360521112</v>
      </c>
      <c r="H16" s="41" t="n">
        <f aca="false">G16/(1+H5)</f>
        <v>0.613613773290324</v>
      </c>
      <c r="I16" s="41" t="n">
        <f aca="false">H16/(1+I5)</f>
        <v>0.563701837886251</v>
      </c>
      <c r="J16" s="41" t="n">
        <f aca="false">I16/(1+J5)</f>
        <v>0.517429716813507</v>
      </c>
      <c r="K16" s="41" t="n">
        <f aca="false">J16/(1+K5)</f>
        <v>0.474612368824844</v>
      </c>
      <c r="L16" s="41" t="n">
        <f aca="false">K16/(1+L5)</f>
        <v>0.435044924912556</v>
      </c>
      <c r="M16" s="41" t="n">
        <f aca="false">L16/(1+M5)</f>
        <v>0.398536043696334</v>
      </c>
      <c r="N16" s="41" t="n">
        <f aca="false">M16/(1+N5)</f>
        <v>0.364889364231382</v>
      </c>
      <c r="O16" s="41" t="n">
        <f aca="false">N16/(1+O5)</f>
        <v>0.333921447153065</v>
      </c>
      <c r="P16" s="26" t="n">
        <f aca="false">O16/(1+P5)</f>
        <v>0.305454798005099</v>
      </c>
      <c r="Q16" s="26" t="n">
        <f aca="false">P16/(1+Q5)</f>
        <v>0.279313883116898</v>
      </c>
      <c r="R16" s="26" t="n">
        <f aca="false">Q16/(1+R5)</f>
        <v>0.255326978255458</v>
      </c>
      <c r="S16" s="26" t="n">
        <f aca="false">R16/(1+S5)</f>
        <v>0.233334360134932</v>
      </c>
      <c r="T16" s="26" t="n">
        <f aca="false">S16/(1+T5)</f>
        <v>0.213199563140651</v>
      </c>
      <c r="U16" s="26" t="n">
        <f aca="false">T16/(1+U5)</f>
        <v>0.194764178766622</v>
      </c>
      <c r="V16" s="26" t="n">
        <f aca="false">U16/(1+V5)</f>
        <v>0.17790420864944</v>
      </c>
      <c r="W16" s="26" t="n">
        <f aca="false">V16/(1+W5)</f>
        <v>0.162489552738842</v>
      </c>
      <c r="X16" s="26" t="n">
        <f aca="false">W16/(1+X5)</f>
        <v>0.148408552301892</v>
      </c>
      <c r="Y16" s="26" t="n">
        <f aca="false">X16/(1+Y5)</f>
        <v>0.135544539789604</v>
      </c>
      <c r="Z16" s="26" t="n">
        <f aca="false">Y16/(1+Z5)</f>
        <v>0.123801161222145</v>
      </c>
      <c r="AA16" s="26" t="n">
        <f aca="false">Z16/(1+AA5)</f>
        <v>0.113085909580773</v>
      </c>
      <c r="AB16" s="26" t="n">
        <f aca="false">AA16/(1+AB5)</f>
        <v>0.103307844203071</v>
      </c>
      <c r="AC16" s="26" t="n">
        <f aca="false">AB16/(1+AC5)</f>
        <v>0.0943883235580901</v>
      </c>
      <c r="AD16" s="26" t="n">
        <f aca="false">AC16/(1+AD5)</f>
        <v>0.0862545750948472</v>
      </c>
      <c r="AE16" s="26" t="n">
        <f aca="false">AD16/(1+AE5)</f>
        <v>0.0788373145702793</v>
      </c>
      <c r="AF16" s="26" t="n">
        <f aca="false">AE16/(1+AF5)</f>
        <v>0.0720751169096813</v>
      </c>
    </row>
    <row r="17" customFormat="false" ht="15" hidden="false" customHeight="true" outlineLevel="0" collapsed="false">
      <c r="A17" s="26" t="s">
        <v>689</v>
      </c>
      <c r="B17" s="41" t="n">
        <v>1</v>
      </c>
      <c r="C17" s="41" t="n">
        <f aca="false">B17/(1+C6)</f>
        <v>0.952380952380952</v>
      </c>
      <c r="D17" s="41" t="n">
        <f aca="false">C17/(1+D6)</f>
        <v>0.90702947845805</v>
      </c>
      <c r="E17" s="41" t="n">
        <f aca="false">D17/(1+E6)</f>
        <v>0.863837598531476</v>
      </c>
      <c r="F17" s="41" t="n">
        <f aca="false">E17/(1+F6)</f>
        <v>0.822702474791882</v>
      </c>
      <c r="G17" s="41" t="n">
        <f aca="false">F17/(1+G6)</f>
        <v>0.783526166468459</v>
      </c>
      <c r="H17" s="41" t="n">
        <f aca="false">G17/(1+H6)</f>
        <v>0.746215396636627</v>
      </c>
      <c r="I17" s="41" t="n">
        <f aca="false">H17/(1+I6)</f>
        <v>0.710681330130121</v>
      </c>
      <c r="J17" s="41" t="n">
        <f aca="false">I17/(1+J6)</f>
        <v>0.676839362028687</v>
      </c>
      <c r="K17" s="41" t="n">
        <f aca="false">J17/(1+K6)</f>
        <v>0.644608916217797</v>
      </c>
      <c r="L17" s="41" t="n">
        <f aca="false">K17/(1+L6)</f>
        <v>0.613913253540759</v>
      </c>
      <c r="M17" s="41" t="n">
        <f aca="false">L17/(1+M6)</f>
        <v>0.584679289086437</v>
      </c>
      <c r="N17" s="41" t="n">
        <f aca="false">M17/(1+N6)</f>
        <v>0.556837418177559</v>
      </c>
      <c r="O17" s="41" t="n">
        <f aca="false">N17/(1+O6)</f>
        <v>0.530321350645294</v>
      </c>
      <c r="P17" s="26" t="n">
        <f aca="false">O17/(1+P6)</f>
        <v>0.505067952995518</v>
      </c>
      <c r="Q17" s="26" t="n">
        <f aca="false">P17/(1+Q6)</f>
        <v>0.48101709809097</v>
      </c>
      <c r="R17" s="26" t="n">
        <f aca="false">Q17/(1+R6)</f>
        <v>0.4581115219914</v>
      </c>
      <c r="S17" s="26" t="n">
        <f aca="false">R17/(1+S6)</f>
        <v>0.436296687610857</v>
      </c>
      <c r="T17" s="26" t="n">
        <f aca="false">S17/(1+T6)</f>
        <v>0.415520654867483</v>
      </c>
      <c r="U17" s="26" t="n">
        <f aca="false">T17/(1+U6)</f>
        <v>0.39573395701665</v>
      </c>
      <c r="V17" s="26" t="n">
        <f aca="false">U17/(1+V6)</f>
        <v>0.376889482873</v>
      </c>
      <c r="W17" s="26" t="n">
        <f aca="false">V17/(1+W6)</f>
        <v>0.358942364640953</v>
      </c>
      <c r="X17" s="26" t="n">
        <f aca="false">W17/(1+X6)</f>
        <v>0.341849871086622</v>
      </c>
      <c r="Y17" s="26" t="n">
        <f aca="false">X17/(1+Y6)</f>
        <v>0.325571305796783</v>
      </c>
      <c r="Z17" s="26" t="n">
        <f aca="false">Y17/(1+Z6)</f>
        <v>0.31006791028265</v>
      </c>
      <c r="AA17" s="26" t="n">
        <f aca="false">Z17/(1+AA6)</f>
        <v>0.295302771697762</v>
      </c>
      <c r="AB17" s="26" t="n">
        <f aca="false">AA17/(1+AB6)</f>
        <v>0.281240734950249</v>
      </c>
      <c r="AC17" s="26" t="n">
        <f aca="false">AB17/(1+AC6)</f>
        <v>0.267848319000238</v>
      </c>
      <c r="AD17" s="26" t="n">
        <f aca="false">AC17/(1+AD6)</f>
        <v>0.255093637143083</v>
      </c>
      <c r="AE17" s="26" t="n">
        <f aca="false">AD17/(1+AE6)</f>
        <v>0.168878222723916</v>
      </c>
      <c r="AF17" s="26" t="n">
        <f aca="false">AE17/(1+AF6)</f>
        <v>0.157938399374688</v>
      </c>
    </row>
    <row r="18" customFormat="false" ht="15" hidden="false" customHeight="true" outlineLevel="0" collapsed="false">
      <c r="A18" s="26" t="s">
        <v>690</v>
      </c>
      <c r="B18" s="41" t="n">
        <v>1</v>
      </c>
      <c r="C18" s="41" t="n">
        <f aca="false">B18/(1+C15)</f>
        <v>0.935243032384811</v>
      </c>
      <c r="D18" s="41" t="n">
        <f aca="false">C18/(1+D15)</f>
        <v>0.874018828403459</v>
      </c>
      <c r="E18" s="41" t="n">
        <f aca="false">D18/(1+E15)</f>
        <v>0.816229548469135</v>
      </c>
      <c r="F18" s="41" t="n">
        <f aca="false">E18/(1+F15)</f>
        <v>0.761761695150714</v>
      </c>
      <c r="G18" s="41" t="n">
        <f aca="false">F18/(1+G15)</f>
        <v>0.710487256676964</v>
      </c>
      <c r="H18" s="41" t="n">
        <f aca="false">G18/(1+H15)</f>
        <v>0.662284581948094</v>
      </c>
      <c r="I18" s="41" t="n">
        <f aca="false">H18/(1+I15)</f>
        <v>0.617022356626803</v>
      </c>
      <c r="J18" s="41" t="n">
        <f aca="false">I18/(1+J15)</f>
        <v>0.574566810725814</v>
      </c>
      <c r="K18" s="41" t="n">
        <f aca="false">J18/(1+K15)</f>
        <v>0.534794553591097</v>
      </c>
      <c r="L18" s="41" t="n">
        <f aca="false">K18/(1+L15)</f>
        <v>0.497569157823324</v>
      </c>
      <c r="M18" s="41" t="n">
        <f aca="false">L18/(1+M15)</f>
        <v>0.46276343567982</v>
      </c>
      <c r="N18" s="41" t="n">
        <f aca="false">M18/(1+N15)</f>
        <v>0.430246174740431</v>
      </c>
      <c r="O18" s="41" t="n">
        <f aca="false">N18/(1+O15)</f>
        <v>0.399894530318529</v>
      </c>
      <c r="P18" s="26" t="n">
        <f aca="false">O18/(1+P15)</f>
        <v>0.371588983130284</v>
      </c>
      <c r="Q18" s="26" t="n">
        <f aca="false">P18/(1+Q15)</f>
        <v>0.345210109977963</v>
      </c>
      <c r="R18" s="26" t="n">
        <f aca="false">Q18/(1+R15)</f>
        <v>0.320639581875641</v>
      </c>
      <c r="S18" s="26" t="n">
        <f aca="false">R18/(1+S15)</f>
        <v>0.29776628428027</v>
      </c>
      <c r="T18" s="26" t="n">
        <f aca="false">S18/(1+T15)</f>
        <v>0.276495525941479</v>
      </c>
      <c r="U18" s="26" t="n">
        <f aca="false">T18/(1+U15)</f>
        <v>0.256713345474772</v>
      </c>
      <c r="V18" s="26" t="n">
        <f aca="false">U18/(1+V15)</f>
        <v>0.238331078804689</v>
      </c>
      <c r="W18" s="26" t="n">
        <f aca="false">V18/(1+W15)</f>
        <v>0.22125319860633</v>
      </c>
      <c r="X18" s="26" t="n">
        <f aca="false">W18/(1+X15)</f>
        <v>0.205397382265406</v>
      </c>
      <c r="Y18" s="26" t="n">
        <f aca="false">X18/(1+Y15)</f>
        <v>0.19067504318163</v>
      </c>
      <c r="Z18" s="26" t="n">
        <f aca="false">Y18/(1+Z15)</f>
        <v>0.17701288062312</v>
      </c>
      <c r="AA18" s="26" t="n">
        <f aca="false">Z18/(1+AA15)</f>
        <v>0.16433920848075</v>
      </c>
      <c r="AB18" s="26" t="n">
        <f aca="false">AA18/(1+AB15)</f>
        <v>0.152581815914829</v>
      </c>
      <c r="AC18" s="26" t="n">
        <f aca="false">AB18/(1+AC15)</f>
        <v>0.14167767570155</v>
      </c>
      <c r="AD18" s="26" t="n">
        <f aca="false">AC18/(1+AD15)</f>
        <v>0.131567508734136</v>
      </c>
      <c r="AE18" s="26" t="n">
        <f aca="false">AD18/(1+AE15)</f>
        <v>0.104570356973619</v>
      </c>
      <c r="AF18" s="26" t="n">
        <f aca="false">AE18/(1+AF15)</f>
        <v>0.0964541274370204</v>
      </c>
    </row>
    <row r="20" customFormat="false" ht="15" hidden="false" customHeight="true" outlineLevel="0" collapsed="false">
      <c r="A20" s="23" t="s">
        <v>691</v>
      </c>
      <c r="B20" s="54" t="n">
        <f aca="false">INDEX(finrate_coe,COLUMNS(finrate_coe))</f>
        <v>0.0694623836832437</v>
      </c>
      <c r="C20" s="54" t="n">
        <f aca="false">INDEX(finrate_cod,COLUMNS(finrate_cod))</f>
        <v>0.0454540855351659</v>
      </c>
      <c r="D20" s="54" t="n">
        <f aca="false">IF(cfg_rf_mode="Single",in_rf_lr,($B$20+O14*$C$20)/(1+O14))</f>
        <v>0.0600023319223917</v>
      </c>
      <c r="E20" s="7" t="s">
        <v>692</v>
      </c>
    </row>
    <row r="22" customFormat="false" ht="15" hidden="false" customHeight="true" outlineLevel="0" collapsed="false">
      <c r="A22" s="26" t="s">
        <v>693</v>
      </c>
      <c r="C22" s="47" t="n">
        <f aca="false">(1+C56)*B7+(C5-C56)*B9</f>
        <v>8.29016565171526</v>
      </c>
      <c r="D22" s="47" t="n">
        <f aca="false">(1+D56)*C7+(D5-D56)*C9</f>
        <v>8.33545883617191</v>
      </c>
      <c r="E22" s="47" t="n">
        <f aca="false">(1+E56)*D7+(E5-E56)*D9</f>
        <v>8.77837159228608</v>
      </c>
      <c r="F22" s="47" t="n">
        <f aca="false">(1+F56)*E7+(F5-F56)*E9</f>
        <v>9.2347934245272</v>
      </c>
      <c r="G22" s="47" t="n">
        <f aca="false">(1+G56)*F7+(G5-G56)*F9</f>
        <v>9.70858839634303</v>
      </c>
      <c r="H22" s="47" t="n">
        <f aca="false">(1+H56)*G7+(H5-H56)*G9</f>
        <v>0.518208183148901</v>
      </c>
      <c r="I22" s="47" t="n">
        <f aca="false">(1+I56)*H7+(I5-I56)*H9</f>
        <v>0.553429038782983</v>
      </c>
      <c r="J22" s="47" t="n">
        <f aca="false">(1+J56)*I7+(J5-J56)*I9</f>
        <v>0.58734744102078</v>
      </c>
      <c r="K22" s="47" t="n">
        <f aca="false">(1+K56)*J7+(K5-K56)*J9</f>
        <v>0.620745070815947</v>
      </c>
      <c r="L22" s="47" t="n">
        <f aca="false">(1+L56)*K7+(L5-L56)*K9</f>
        <v>0.654148853301829</v>
      </c>
      <c r="M22" s="47" t="n">
        <f aca="false">(1+M56)*L7+(M5-M56)*L9</f>
        <v>0.688201081111252</v>
      </c>
      <c r="N22" s="47" t="n">
        <f aca="false">(1+N56)*M7+(N5-N56)*M9</f>
        <v>0.723176896909939</v>
      </c>
      <c r="O22" s="47" t="n">
        <f aca="false">(1+O56)*N7+(O5-O56)*N9</f>
        <v>0.759516797246985</v>
      </c>
      <c r="P22" s="26" t="n">
        <f aca="false">(1+P56)*O7+(P5-P56)*O9</f>
        <v>0.797260994215125</v>
      </c>
      <c r="Q22" s="26" t="n">
        <f aca="false">(1+Q56)*P7+(Q5-Q56)*P9</f>
        <v>0.836826788785927</v>
      </c>
      <c r="R22" s="26" t="n">
        <f aca="false">(1+R56)*Q7+(R5-R56)*Q9</f>
        <v>0.878081411139559</v>
      </c>
      <c r="S22" s="26" t="n">
        <f aca="false">(1+S56)*R7+(S5-S56)*R9</f>
        <v>0.921622641344386</v>
      </c>
      <c r="T22" s="26" t="n">
        <f aca="false">(1+T56)*S7+(T5-T56)*S9</f>
        <v>0.967246112507926</v>
      </c>
      <c r="U22" s="26" t="n">
        <f aca="false">(1+U56)*T7+(U5-U56)*T9</f>
        <v>1.01483317857232</v>
      </c>
      <c r="V22" s="26" t="n">
        <f aca="false">(1+V56)*U7+(V5-V56)*U9</f>
        <v>1.06540352343348</v>
      </c>
      <c r="W22" s="26" t="n">
        <f aca="false">(1+W56)*V7+(W5-W56)*V9</f>
        <v>1.11796098605186</v>
      </c>
      <c r="X22" s="26" t="n">
        <f aca="false">(1+X56)*W7+(X5-X56)*W9</f>
        <v>1.17322613580324</v>
      </c>
      <c r="Y22" s="26" t="n">
        <f aca="false">(1+Y56)*X7+(Y5-Y56)*X9</f>
        <v>1.23116549786276</v>
      </c>
      <c r="Z22" s="26" t="n">
        <f aca="false">(1+Z56)*Y7+(Z5-Z56)*Y9</f>
        <v>1.29239304509926</v>
      </c>
      <c r="AA22" s="26" t="n">
        <f aca="false">(1+AA56)*Z7+(AA5-AA56)*Z9</f>
        <v>1.35592198362999</v>
      </c>
      <c r="AB22" s="26" t="n">
        <f aca="false">(1+AB56)*AA7+(AB5-AB56)*AA9</f>
        <v>1.42228069305915</v>
      </c>
      <c r="AC22" s="26" t="n">
        <f aca="false">(1+AC56)*AB7+(AC5-AC56)*AB9</f>
        <v>1.49212983695255</v>
      </c>
      <c r="AD22" s="26" t="n">
        <f aca="false">(1+AD56)*AC7+(AD5-AD56)*AC9</f>
        <v>1.56519507537362</v>
      </c>
      <c r="AE22" s="26" t="n">
        <f aca="false">(1+AE56)*AD7+(AE5-AE56)*AD9</f>
        <v>1.64103702459154</v>
      </c>
      <c r="AF22" s="26" t="n">
        <f aca="false">(1+AF56)*AE7+(AF5-AF56)*AE9</f>
        <v>1.72032826752958</v>
      </c>
    </row>
    <row r="23" customFormat="false" ht="15" hidden="false" customHeight="true" outlineLevel="0" collapsed="false">
      <c r="A23" s="26" t="s">
        <v>694</v>
      </c>
      <c r="C23" s="47" t="n">
        <f aca="false">C7-C22</f>
        <v>-0.172646365481663</v>
      </c>
      <c r="D23" s="47" t="n">
        <f aca="false">D7-D22</f>
        <v>0.235319694495141</v>
      </c>
      <c r="E23" s="47" t="n">
        <f aca="false">E7-E22</f>
        <v>0.25192022487388</v>
      </c>
      <c r="F23" s="47" t="n">
        <f aca="false">F7-F22</f>
        <v>0.266677636064649</v>
      </c>
      <c r="G23" s="47" t="n">
        <f aca="false">G7-G22</f>
        <v>-9.21326190535077</v>
      </c>
      <c r="H23" s="47" t="n">
        <f aca="false">H7-H22</f>
        <v>0.0109000199970106</v>
      </c>
      <c r="I23" s="47" t="n">
        <f aca="false">I7-I22</f>
        <v>0.00808191186431173</v>
      </c>
      <c r="J23" s="47" t="n">
        <f aca="false">J7-J22</f>
        <v>0.0059793979738143</v>
      </c>
      <c r="K23" s="47" t="n">
        <f aca="false">K7-K22</f>
        <v>0.00432298570142731</v>
      </c>
      <c r="L23" s="47" t="n">
        <f aca="false">L7-L22</f>
        <v>0.00323418097490291</v>
      </c>
      <c r="M23" s="47" t="n">
        <f aca="false">M7-M22</f>
        <v>0.00233955316168344</v>
      </c>
      <c r="N23" s="47" t="n">
        <f aca="false">N7-N22</f>
        <v>0.00180669204828465</v>
      </c>
      <c r="O23" s="47" t="n">
        <f aca="false">O7-O22</f>
        <v>0.00125021493503819</v>
      </c>
      <c r="P23" s="26" t="n">
        <f aca="false">P7-P22</f>
        <v>0.00102024586814753</v>
      </c>
      <c r="Q23" s="26" t="n">
        <f aca="false">Q7-Q22</f>
        <v>0.000575502085111035</v>
      </c>
      <c r="R23" s="26" t="n">
        <f aca="false">R7-R22</f>
        <v>0.000631009273778571</v>
      </c>
      <c r="S23" s="26" t="n">
        <f aca="false">S7-S22</f>
        <v>0.000442840784828924</v>
      </c>
      <c r="T23" s="26" t="n">
        <f aca="false">T7-T22</f>
        <v>1.61843362022074E-005</v>
      </c>
      <c r="U23" s="26" t="n">
        <f aca="false">U7-U22</f>
        <v>0.00053406651506438</v>
      </c>
      <c r="V23" s="26" t="n">
        <f aca="false">V7-V22</f>
        <v>-3.89725974812016E-005</v>
      </c>
      <c r="W23" s="26" t="n">
        <f aca="false">W7-W22</f>
        <v>5.49891220462673E-005</v>
      </c>
      <c r="X23" s="26" t="n">
        <f aca="false">X7-X22</f>
        <v>-7.29323345005639E-006</v>
      </c>
      <c r="Y23" s="26" t="n">
        <f aca="false">Y7-Y22</f>
        <v>0.000461658541017984</v>
      </c>
      <c r="Z23" s="26" t="n">
        <f aca="false">Z7-Z22</f>
        <v>-0.000115412733889819</v>
      </c>
      <c r="AA23" s="26" t="n">
        <f aca="false">AA7-AA22</f>
        <v>-0.000273018868412134</v>
      </c>
      <c r="AB23" s="26" t="n">
        <f aca="false">AB7-AB22</f>
        <v>0.000154983712747692</v>
      </c>
      <c r="AC23" s="26" t="n">
        <f aca="false">AC7-AC22</f>
        <v>0.000226172366112332</v>
      </c>
      <c r="AD23" s="26" t="n">
        <f aca="false">AD7-AD22</f>
        <v>-0.000224977470543841</v>
      </c>
      <c r="AE23" s="26" t="n">
        <f aca="false">AE7-AE22</f>
        <v>-5.05398640788801E-005</v>
      </c>
      <c r="AF23" s="26" t="n">
        <f aca="false">AF7-AF22</f>
        <v>0.000238083074948214</v>
      </c>
    </row>
    <row r="24" customFormat="false" ht="15" hidden="false" customHeight="true" outlineLevel="0" collapsed="false">
      <c r="A24" s="26" t="s">
        <v>695</v>
      </c>
      <c r="C24" s="47" t="n">
        <f aca="false">IF(C4&lt;=cfg_N,C63*C62,0)</f>
        <v>-2.37037148294582</v>
      </c>
      <c r="D24" s="47" t="n">
        <f aca="false">IF(D4&lt;=cfg_N,D63*D62,0)</f>
        <v>5.11107272014233</v>
      </c>
      <c r="E24" s="47" t="n">
        <f aca="false">IF(E4&lt;=cfg_N,E63*E62,0)</f>
        <v>4.94165439797511</v>
      </c>
      <c r="F24" s="47" t="n">
        <f aca="false">IF(F4&lt;=cfg_N,F63*F62,0)</f>
        <v>4.81086423970129</v>
      </c>
      <c r="G24" s="47" t="n">
        <f aca="false">IF(G4&lt;=cfg_N,G63*G62,0)</f>
        <v>0</v>
      </c>
      <c r="H24" s="47" t="n">
        <f aca="false">IF(H4&lt;=cfg_N,H63*H62,0)</f>
        <v>0</v>
      </c>
      <c r="I24" s="47" t="n">
        <f aca="false">IF(I4&lt;=cfg_N,I63*I62,0)</f>
        <v>0</v>
      </c>
      <c r="J24" s="47" t="n">
        <f aca="false">IF(J4&lt;=cfg_N,J63*J62,0)</f>
        <v>0</v>
      </c>
      <c r="K24" s="47" t="n">
        <f aca="false">IF(K4&lt;=cfg_N,K63*K62,0)</f>
        <v>0</v>
      </c>
      <c r="L24" s="47" t="n">
        <f aca="false">IF(L4&lt;=cfg_N,L63*L62,0)</f>
        <v>0</v>
      </c>
      <c r="M24" s="47" t="n">
        <f aca="false">IF(M4&lt;=cfg_N,M63*M62,0)</f>
        <v>0</v>
      </c>
      <c r="N24" s="47" t="n">
        <f aca="false">IF(N4&lt;=cfg_N,N63*N62,0)</f>
        <v>0</v>
      </c>
      <c r="O24" s="47" t="n">
        <f aca="false">IF(O4&lt;=cfg_N,O63*O62,0)</f>
        <v>0</v>
      </c>
      <c r="P24" s="26" t="n">
        <f aca="false">IF(P4&lt;=cfg_N,P63*P62,0)</f>
        <v>0</v>
      </c>
      <c r="Q24" s="26" t="n">
        <f aca="false">IF(Q4&lt;=cfg_N,Q63*Q62,0)</f>
        <v>0</v>
      </c>
      <c r="R24" s="26" t="n">
        <f aca="false">IF(R4&lt;=cfg_N,R63*R62,0)</f>
        <v>0</v>
      </c>
      <c r="S24" s="26" t="n">
        <f aca="false">IF(S4&lt;=cfg_N,S63*S62,0)</f>
        <v>0</v>
      </c>
      <c r="T24" s="26" t="n">
        <f aca="false">IF(T4&lt;=cfg_N,T63*T62,0)</f>
        <v>0</v>
      </c>
      <c r="U24" s="26" t="n">
        <f aca="false">IF(U4&lt;=cfg_N,U63*U62,0)</f>
        <v>0</v>
      </c>
      <c r="V24" s="26" t="n">
        <f aca="false">IF(V4&lt;=cfg_N,V63*V62,0)</f>
        <v>0</v>
      </c>
      <c r="W24" s="26" t="n">
        <f aca="false">IF(W4&lt;=cfg_N,W63*W62,0)</f>
        <v>0</v>
      </c>
      <c r="X24" s="26" t="n">
        <f aca="false">IF(X4&lt;=cfg_N,X63*X62,0)</f>
        <v>0</v>
      </c>
      <c r="Y24" s="26" t="n">
        <f aca="false">IF(Y4&lt;=cfg_N,Y63*Y62,0)</f>
        <v>0</v>
      </c>
      <c r="Z24" s="26" t="n">
        <f aca="false">IF(Z4&lt;=cfg_N,Z63*Z62,0)</f>
        <v>0</v>
      </c>
      <c r="AA24" s="26" t="n">
        <f aca="false">IF(AA4&lt;=cfg_N,AA63*AA62,0)</f>
        <v>0</v>
      </c>
      <c r="AB24" s="26" t="n">
        <f aca="false">IF(AB4&lt;=cfg_N,AB63*AB62,0)</f>
        <v>0</v>
      </c>
      <c r="AC24" s="26" t="n">
        <f aca="false">IF(AC4&lt;=cfg_N,AC63*AC62,0)</f>
        <v>0</v>
      </c>
      <c r="AD24" s="26" t="n">
        <f aca="false">IF(AD4&lt;=cfg_N,AD63*AD62,0)</f>
        <v>0</v>
      </c>
      <c r="AE24" s="26" t="n">
        <f aca="false">IF(AE4&lt;=cfg_N,AE63*AE62,0)</f>
        <v>0</v>
      </c>
      <c r="AF24" s="26" t="n">
        <f aca="false">IF(AF4&lt;=cfg_N,AF63*AF62,0)</f>
        <v>0</v>
      </c>
    </row>
    <row r="26" customFormat="false" ht="15" hidden="false" customHeight="true" outlineLevel="0" collapsed="false">
      <c r="A26" s="26" t="s">
        <v>696</v>
      </c>
      <c r="C26" s="47" t="n">
        <f aca="false">(1+C56)*B12</f>
        <v>0</v>
      </c>
      <c r="D26" s="47" t="n">
        <f aca="false">(1+D56)*C12</f>
        <v>0.216657940732828</v>
      </c>
      <c r="E26" s="47" t="n">
        <f aca="false">(1+E56)*D12</f>
        <v>0.227188669249277</v>
      </c>
      <c r="F26" s="47" t="n">
        <f aca="false">(1+F56)*E12</f>
        <v>0.237853302063023</v>
      </c>
      <c r="G26" s="47" t="n">
        <f aca="false">(1+G56)*F12</f>
        <v>0.248804097022389</v>
      </c>
      <c r="H26" s="47" t="n">
        <f aca="false">(1+H56)*G12</f>
        <v>0.260160767050856</v>
      </c>
      <c r="I26" s="47" t="n">
        <f aca="false">(1+I56)*H12</f>
        <v>0.272019895878578</v>
      </c>
      <c r="J26" s="47" t="n">
        <f aca="false">(1+J56)*I12</f>
        <v>0.284463778821292</v>
      </c>
      <c r="K26" s="47" t="n">
        <f aca="false">(1+K56)*J12</f>
        <v>0.297557321874989</v>
      </c>
      <c r="L26" s="47" t="n">
        <f aca="false">(1+L56)*K12</f>
        <v>0.311362450874089</v>
      </c>
      <c r="M26" s="47" t="n">
        <f aca="false">(1+M56)*L12</f>
        <v>0.325931386896186</v>
      </c>
      <c r="N26" s="47" t="n">
        <f aca="false">(1+N56)*M12</f>
        <v>0.341314204902901</v>
      </c>
      <c r="O26" s="47" t="n">
        <f aca="false">(1+O56)*N12</f>
        <v>0.357557340342468</v>
      </c>
      <c r="P26" s="26" t="n">
        <f aca="false">(1+P56)*O12</f>
        <v>0.374697372751186</v>
      </c>
      <c r="Q26" s="26" t="n">
        <f aca="false">(1+Q56)*P12</f>
        <v>0.392783135170768</v>
      </c>
      <c r="R26" s="26" t="n">
        <f aca="false">(1+R56)*Q12</f>
        <v>0.411856257282033</v>
      </c>
      <c r="S26" s="26" t="n">
        <f aca="false">(1+S56)*R12</f>
        <v>0.431963271718893</v>
      </c>
      <c r="T26" s="26" t="n">
        <f aca="false">(1+T56)*S12</f>
        <v>0.453129011592026</v>
      </c>
      <c r="U26" s="26" t="n">
        <f aca="false">(1+U56)*T12</f>
        <v>0.475408073499601</v>
      </c>
      <c r="V26" s="26" t="n">
        <f aca="false">(1+V56)*U12</f>
        <v>0.498836162209267</v>
      </c>
      <c r="W26" s="26" t="n">
        <f aca="false">(1+W56)*V12</f>
        <v>0.52346277298237</v>
      </c>
      <c r="X26" s="26" t="n">
        <f aca="false">(1+X56)*W12</f>
        <v>0.549312635475386</v>
      </c>
      <c r="Y26" s="26" t="n">
        <f aca="false">(1+Y56)*X12</f>
        <v>0.576438427279505</v>
      </c>
      <c r="Z26" s="26" t="n">
        <f aca="false">(1+Z56)*Y12</f>
        <v>0.604880035064865</v>
      </c>
      <c r="AA26" s="26" t="n">
        <f aca="false">(1+AA56)*Z12</f>
        <v>0.634673420829594</v>
      </c>
      <c r="AB26" s="26" t="n">
        <f aca="false">(1+AB56)*AA12</f>
        <v>0.665866545991437</v>
      </c>
      <c r="AC26" s="26" t="n">
        <f aca="false">(1+AC56)*AB12</f>
        <v>0.698488931282892</v>
      </c>
      <c r="AD26" s="26" t="n">
        <f aca="false">(1+AD56)*AC12</f>
        <v>0.732583483583736</v>
      </c>
      <c r="AE26" s="26" t="n">
        <f aca="false">(1+AE56)*AD12</f>
        <v>0.768192023216763</v>
      </c>
      <c r="AF26" s="26" t="n">
        <f aca="false">(1+AF56)*AE12</f>
        <v>8.22272711829076</v>
      </c>
    </row>
    <row r="27" customFormat="false" ht="15" hidden="false" customHeight="true" outlineLevel="0" collapsed="false">
      <c r="A27" s="26" t="s">
        <v>697</v>
      </c>
      <c r="C27" s="47" t="n">
        <f aca="false">C12-C26</f>
        <v>0.211223493688025</v>
      </c>
      <c r="D27" s="47" t="n">
        <f aca="false">D12-D26</f>
        <v>0.00541644851832071</v>
      </c>
      <c r="E27" s="47" t="n">
        <f aca="false">E12-E26</f>
        <v>0.00567971673123191</v>
      </c>
      <c r="F27" s="47" t="n">
        <f aca="false">F12-F26</f>
        <v>0.00594633255157553</v>
      </c>
      <c r="G27" s="47" t="n">
        <f aca="false">G12-G26</f>
        <v>0.0062201024255597</v>
      </c>
      <c r="H27" s="47" t="n">
        <f aca="false">H12-H26</f>
        <v>0.00650401917627141</v>
      </c>
      <c r="I27" s="47" t="n">
        <f aca="false">I12-I26</f>
        <v>0.00680049739696442</v>
      </c>
      <c r="J27" s="47" t="n">
        <f aca="false">J12-J26</f>
        <v>0.00711159447053233</v>
      </c>
      <c r="K27" s="47" t="n">
        <f aca="false">K12-K26</f>
        <v>0.0074389330468746</v>
      </c>
      <c r="L27" s="47" t="n">
        <f aca="false">L12-L26</f>
        <v>0.00778406127185222</v>
      </c>
      <c r="M27" s="47" t="n">
        <f aca="false">M12-M26</f>
        <v>0.00814828467240469</v>
      </c>
      <c r="N27" s="47" t="n">
        <f aca="false">N12-N26</f>
        <v>0.00853285512257246</v>
      </c>
      <c r="O27" s="47" t="n">
        <f aca="false">O12-O26</f>
        <v>0.00893893350856168</v>
      </c>
      <c r="P27" s="26" t="n">
        <f aca="false">P12-P26</f>
        <v>0.00936743431877962</v>
      </c>
      <c r="Q27" s="26" t="n">
        <f aca="false">Q12-Q26</f>
        <v>0.00981957837926911</v>
      </c>
      <c r="R27" s="26" t="n">
        <f aca="false">R12-R26</f>
        <v>0.0102964064320489</v>
      </c>
      <c r="S27" s="26" t="n">
        <f aca="false">S12-S26</f>
        <v>0.0107990817929742</v>
      </c>
      <c r="T27" s="26" t="n">
        <f aca="false">T12-T26</f>
        <v>0.0113282252898008</v>
      </c>
      <c r="U27" s="26" t="n">
        <f aca="false">U12-U26</f>
        <v>0.0118852018374921</v>
      </c>
      <c r="V27" s="26" t="n">
        <f aca="false">V12-V26</f>
        <v>0.0124709040552272</v>
      </c>
      <c r="W27" s="26" t="n">
        <f aca="false">W12-W26</f>
        <v>0.0130865693245614</v>
      </c>
      <c r="X27" s="26" t="n">
        <f aca="false">X12-X26</f>
        <v>0.0137328158868848</v>
      </c>
      <c r="Y27" s="26" t="n">
        <f aca="false">Y12-Y26</f>
        <v>0.0144109606819874</v>
      </c>
      <c r="Z27" s="26" t="n">
        <f aca="false">Z12-Z26</f>
        <v>0.0151220008766215</v>
      </c>
      <c r="AA27" s="26" t="n">
        <f aca="false">AA12-AA26</f>
        <v>0.0158668355207398</v>
      </c>
      <c r="AB27" s="26" t="n">
        <f aca="false">AB12-AB26</f>
        <v>0.0166466636497858</v>
      </c>
      <c r="AC27" s="26" t="n">
        <f aca="false">AC12-AC26</f>
        <v>0.0174622232820724</v>
      </c>
      <c r="AD27" s="26" t="n">
        <f aca="false">AD12-AD26</f>
        <v>0.0183145870895933</v>
      </c>
      <c r="AE27" s="26" t="n">
        <f aca="false">AE12-AE26</f>
        <v>7.27141691878284</v>
      </c>
      <c r="AF27" s="26" t="n">
        <f aca="false">AF12-AF26</f>
        <v>-7.07918793593224</v>
      </c>
    </row>
    <row r="28" customFormat="false" ht="15" hidden="false" customHeight="true" outlineLevel="0" collapsed="false">
      <c r="A28" s="26" t="s">
        <v>698</v>
      </c>
      <c r="C28" s="47" t="n">
        <f aca="false">IF(C4&lt;=cfg_N,C66*C65,0)</f>
        <v>4.57205673841744</v>
      </c>
      <c r="D28" s="47" t="n">
        <f aca="false">IF(D4&lt;=cfg_N,D66*D65,0)</f>
        <v>-0.188770396676503</v>
      </c>
      <c r="E28" s="47" t="n">
        <f aca="false">IF(E4&lt;=cfg_N,E66*E65,0)</f>
        <v>-0.0700146159740913</v>
      </c>
      <c r="F28" s="47" t="n">
        <f aca="false">IF(F4&lt;=cfg_N,F66*F65,0)</f>
        <v>0.015100480402843</v>
      </c>
      <c r="G28" s="47" t="n">
        <f aca="false">IF(G4&lt;=cfg_N,G66*G65,0)</f>
        <v>0</v>
      </c>
      <c r="H28" s="47" t="n">
        <f aca="false">IF(H4&lt;=cfg_N,H66*H65,0)</f>
        <v>0</v>
      </c>
      <c r="I28" s="47" t="n">
        <f aca="false">IF(I4&lt;=cfg_N,I66*I65,0)</f>
        <v>0</v>
      </c>
      <c r="J28" s="47" t="n">
        <f aca="false">IF(J4&lt;=cfg_N,J66*J65,0)</f>
        <v>0</v>
      </c>
      <c r="K28" s="47" t="n">
        <f aca="false">IF(K4&lt;=cfg_N,K66*K65,0)</f>
        <v>0</v>
      </c>
      <c r="L28" s="47" t="n">
        <f aca="false">IF(L4&lt;=cfg_N,L66*L65,0)</f>
        <v>0</v>
      </c>
      <c r="M28" s="47" t="n">
        <f aca="false">IF(M4&lt;=cfg_N,M66*M65,0)</f>
        <v>0</v>
      </c>
      <c r="N28" s="47" t="n">
        <f aca="false">IF(N4&lt;=cfg_N,N66*N65,0)</f>
        <v>0</v>
      </c>
      <c r="O28" s="47" t="n">
        <f aca="false">IF(O4&lt;=cfg_N,O66*O65,0)</f>
        <v>0</v>
      </c>
      <c r="P28" s="26" t="n">
        <f aca="false">IF(P4&lt;=cfg_N,P66*P65,0)</f>
        <v>0</v>
      </c>
      <c r="Q28" s="26" t="n">
        <f aca="false">IF(Q4&lt;=cfg_N,Q66*Q65,0)</f>
        <v>0</v>
      </c>
      <c r="R28" s="26" t="n">
        <f aca="false">IF(R4&lt;=cfg_N,R66*R65,0)</f>
        <v>0</v>
      </c>
      <c r="S28" s="26" t="n">
        <f aca="false">IF(S4&lt;=cfg_N,S66*S65,0)</f>
        <v>0</v>
      </c>
      <c r="T28" s="26" t="n">
        <f aca="false">IF(T4&lt;=cfg_N,T66*T65,0)</f>
        <v>0</v>
      </c>
      <c r="U28" s="26" t="n">
        <f aca="false">IF(U4&lt;=cfg_N,U66*U65,0)</f>
        <v>0</v>
      </c>
      <c r="V28" s="26" t="n">
        <f aca="false">IF(V4&lt;=cfg_N,V66*V65,0)</f>
        <v>0</v>
      </c>
      <c r="W28" s="26" t="n">
        <f aca="false">IF(W4&lt;=cfg_N,W66*W65,0)</f>
        <v>0</v>
      </c>
      <c r="X28" s="26" t="n">
        <f aca="false">IF(X4&lt;=cfg_N,X66*X65,0)</f>
        <v>0</v>
      </c>
      <c r="Y28" s="26" t="n">
        <f aca="false">IF(Y4&lt;=cfg_N,Y66*Y65,0)</f>
        <v>0</v>
      </c>
      <c r="Z28" s="26" t="n">
        <f aca="false">IF(Z4&lt;=cfg_N,Z66*Z65,0)</f>
        <v>0</v>
      </c>
      <c r="AA28" s="26" t="n">
        <f aca="false">IF(AA4&lt;=cfg_N,AA66*AA65,0)</f>
        <v>0</v>
      </c>
      <c r="AB28" s="26" t="n">
        <f aca="false">IF(AB4&lt;=cfg_N,AB66*AB65,0)</f>
        <v>0</v>
      </c>
      <c r="AC28" s="26" t="n">
        <f aca="false">IF(AC4&lt;=cfg_N,AC66*AC65,0)</f>
        <v>0</v>
      </c>
      <c r="AD28" s="26" t="n">
        <f aca="false">IF(AD4&lt;=cfg_N,AD66*AD65,0)</f>
        <v>0</v>
      </c>
      <c r="AE28" s="26" t="n">
        <f aca="false">IF(AE4&lt;=cfg_N,AE66*AE65,0)</f>
        <v>0</v>
      </c>
      <c r="AF28" s="26" t="n">
        <f aca="false">IF(AF4&lt;=cfg_N,AF66*AF65,0)</f>
        <v>0</v>
      </c>
    </row>
    <row r="30" customFormat="false" ht="15" hidden="false" customHeight="true" outlineLevel="0" collapsed="false">
      <c r="A30" s="26" t="s">
        <v>699</v>
      </c>
      <c r="C30" s="47" t="n">
        <f aca="false">(1+C56)*B13+(C15-C56)*B9</f>
        <v>8.20618716147307</v>
      </c>
      <c r="D30" s="47" t="n">
        <f aca="false">(1+D56)*C13+(D15-D56)*C9</f>
        <v>8.5500510041728</v>
      </c>
      <c r="E30" s="47" t="n">
        <f aca="false">(1+E56)*D13+(E15-E56)*D9</f>
        <v>9.00330698870477</v>
      </c>
      <c r="F30" s="47" t="n">
        <f aca="false">(1+F56)*E13+(F15-F56)*E9</f>
        <v>9.47020416624251</v>
      </c>
      <c r="G30" s="47" t="n">
        <f aca="false">(1+G56)*F13+(G15-G56)*F9</f>
        <v>9.95475612834726</v>
      </c>
      <c r="H30" s="47" t="n">
        <f aca="false">(1+H56)*G13+(H15-H56)*G9</f>
        <v>0.775534770458047</v>
      </c>
      <c r="I30" s="47" t="n">
        <f aca="false">(1+I56)*H13+(I15-I56)*H9</f>
        <v>0.822410791279581</v>
      </c>
      <c r="J30" s="47" t="n">
        <f aca="false">(1+J56)*I13+(J15-J56)*I9</f>
        <v>0.868561751804323</v>
      </c>
      <c r="K30" s="47" t="n">
        <f aca="false">(1+K56)*J13+(K15-K56)*J9</f>
        <v>0.91483631160286</v>
      </c>
      <c r="L30" s="47" t="n">
        <f aca="false">(1+L56)*K13+(L15-L56)*K9</f>
        <v>0.961819433699065</v>
      </c>
      <c r="M30" s="47" t="n">
        <f aca="false">(1+M56)*L13+(M15-M56)*L9</f>
        <v>1.01020731230634</v>
      </c>
      <c r="N30" s="47" t="n">
        <f aca="false">(1+N56)*M13+(N15-N56)*M9</f>
        <v>1.06032272154054</v>
      </c>
      <c r="O30" s="47" t="n">
        <f aca="false">(1+O56)*N13+(O15-O56)*N9</f>
        <v>1.1126542681835</v>
      </c>
      <c r="P30" s="26" t="n">
        <f aca="false">(1+P56)*O13+(P15-P56)*O9</f>
        <v>1.16727895247609</v>
      </c>
      <c r="Q30" s="26" t="n">
        <f aca="false">(1+Q56)*P13+(Q15-Q56)*P9</f>
        <v>1.22466130237123</v>
      </c>
      <c r="R30" s="26" t="n">
        <f aca="false">(1+R56)*Q13+(R15-R56)*Q9</f>
        <v>1.28470781184904</v>
      </c>
      <c r="S30" s="26" t="n">
        <f aca="false">(1+S56)*R13+(S15-S56)*R9</f>
        <v>1.34806368717082</v>
      </c>
      <c r="T30" s="26" t="n">
        <f aca="false">(1+T56)*S13+(T15-T56)*S9</f>
        <v>1.41455877182273</v>
      </c>
      <c r="U30" s="26" t="n">
        <f aca="false">(1+U56)*T13+(U15-U56)*T9</f>
        <v>1.48411054887198</v>
      </c>
      <c r="V30" s="26" t="n">
        <f aca="false">(1+V56)*U13+(V15-V56)*U9</f>
        <v>1.55779098401282</v>
      </c>
      <c r="W30" s="26" t="n">
        <f aca="false">(1+W56)*V13+(W15-W56)*V9</f>
        <v>1.63464281888906</v>
      </c>
      <c r="X30" s="26" t="n">
        <f aca="false">(1+X56)*W13+(X15-X56)*W9</f>
        <v>1.71542077543742</v>
      </c>
      <c r="Y30" s="26" t="n">
        <f aca="false">(1+Y56)*X13+(Y15-Y56)*X9</f>
        <v>1.80013006723606</v>
      </c>
      <c r="Z30" s="26" t="n">
        <f aca="false">(1+Z56)*Y13+(Z15-Z56)*Y9</f>
        <v>1.88943877973646</v>
      </c>
      <c r="AA30" s="26" t="n">
        <f aca="false">(1+AA56)*Z13+(AA15-AA56)*Z9</f>
        <v>1.98239353965391</v>
      </c>
      <c r="AB30" s="26" t="n">
        <f aca="false">(1+AB56)*AA13+(AB15-AB56)*AA9</f>
        <v>2.07956127685388</v>
      </c>
      <c r="AC30" s="26" t="n">
        <f aca="false">(1+AC56)*AB13+(AC15-AC56)*AB9</f>
        <v>2.18164141545191</v>
      </c>
      <c r="AD30" s="26" t="n">
        <f aca="false">(1+AD56)*AC13+(AD15-AD56)*AC9</f>
        <v>2.28840345823708</v>
      </c>
      <c r="AE30" s="26" t="n">
        <f aca="false">(1+AE56)*AD13+(AE15-AE56)*AD9</f>
        <v>2.50166134708728</v>
      </c>
      <c r="AF30" s="26" t="n">
        <f aca="false">(1+AF56)*AE13+(AF15-AF56)*AE9</f>
        <v>9.93734018627316</v>
      </c>
    </row>
    <row r="31" customFormat="false" ht="15" hidden="false" customHeight="true" outlineLevel="0" collapsed="false">
      <c r="A31" s="26" t="s">
        <v>700</v>
      </c>
      <c r="C31" s="47" t="n">
        <f aca="false">C13-C30</f>
        <v>0.122555618448548</v>
      </c>
      <c r="D31" s="47" t="n">
        <f aca="false">D13-D30</f>
        <v>0.242801915745401</v>
      </c>
      <c r="E31" s="47" t="n">
        <f aca="false">E13-E30</f>
        <v>0.259853214435697</v>
      </c>
      <c r="F31" s="47" t="n">
        <f aca="false">F13-F30</f>
        <v>0.275066528963935</v>
      </c>
      <c r="G31" s="47" t="n">
        <f aca="false">G13-G30</f>
        <v>-9.20440543790706</v>
      </c>
      <c r="H31" s="47" t="n">
        <f aca="false">H13-H30</f>
        <v>0.0202382189149919</v>
      </c>
      <c r="I31" s="47" t="n">
        <f aca="false">I13-I30</f>
        <v>0.0179205526432554</v>
      </c>
      <c r="J31" s="47" t="n">
        <f aca="false">J13-J30</f>
        <v>0.0163404604820949</v>
      </c>
      <c r="K31" s="47" t="n">
        <f aca="false">K13-K30</f>
        <v>0.0152279998363769</v>
      </c>
      <c r="L31" s="47" t="n">
        <f aca="false">L13-L30</f>
        <v>0.0147101127236071</v>
      </c>
      <c r="M31" s="47" t="n">
        <f aca="false">M13-M30</f>
        <v>0.0144129935351842</v>
      </c>
      <c r="N31" s="47" t="n">
        <f aca="false">N13-N30</f>
        <v>0.0145079274431599</v>
      </c>
      <c r="O31" s="47" t="n">
        <f aca="false">O13-O30</f>
        <v>0.0146090178495495</v>
      </c>
      <c r="P31" s="26" t="n">
        <f aca="false">P13-P30</f>
        <v>0.0150670946771521</v>
      </c>
      <c r="Q31" s="26" t="n">
        <f aca="false">Q13-Q30</f>
        <v>0.0153437020498479</v>
      </c>
      <c r="R31" s="26" t="n">
        <f aca="false">R13-R30</f>
        <v>0.0161572722783765</v>
      </c>
      <c r="S31" s="26" t="n">
        <f aca="false">S13-S30</f>
        <v>0.0167641484702583</v>
      </c>
      <c r="T31" s="26" t="n">
        <f aca="false">T13-T30</f>
        <v>0.0171607619032201</v>
      </c>
      <c r="U31" s="26" t="n">
        <f aca="false">U13-U30</f>
        <v>0.0185499715524997</v>
      </c>
      <c r="V31" s="26" t="n">
        <f aca="false">V13-V30</f>
        <v>0.0188806330876707</v>
      </c>
      <c r="W31" s="26" t="n">
        <f aca="false">W13-W30</f>
        <v>0.0199224985917774</v>
      </c>
      <c r="X31" s="26" t="n">
        <f aca="false">X13-X30</f>
        <v>0.0208435184946436</v>
      </c>
      <c r="Y31" s="26" t="n">
        <f aca="false">Y13-Y30</f>
        <v>0.0223464771292081</v>
      </c>
      <c r="Z31" s="26" t="n">
        <f aca="false">Z13-Z30</f>
        <v>0.0228408885703917</v>
      </c>
      <c r="AA31" s="26" t="n">
        <f aca="false">AA13-AA30</f>
        <v>0.0237956814579945</v>
      </c>
      <c r="AB31" s="26" t="n">
        <f aca="false">AB13-AB30</f>
        <v>0.0253876095592331</v>
      </c>
      <c r="AC31" s="26" t="n">
        <f aca="false">AC13-AC30</f>
        <v>0.0266657484317197</v>
      </c>
      <c r="AD31" s="26" t="n">
        <f aca="false">AD13-AD30</f>
        <v>0.0274647103393284</v>
      </c>
      <c r="AE31" s="26" t="n">
        <f aca="false">AE13-AE30</f>
        <v>7.17893407963978</v>
      </c>
      <c r="AF31" s="26" t="n">
        <f aca="false">AF13-AF30</f>
        <v>-7.07323465331011</v>
      </c>
    </row>
    <row r="32" customFormat="false" ht="15" hidden="false" customHeight="true" outlineLevel="0" collapsed="false">
      <c r="A32" s="26" t="s">
        <v>701</v>
      </c>
      <c r="C32" s="47" t="n">
        <f aca="false">IF(C4&lt;=cfg_N,C69*C68,0)</f>
        <v>1.97103602239059</v>
      </c>
      <c r="D32" s="47" t="n">
        <f aca="false">IF(D4&lt;=cfg_N,D69*D68,0)</f>
        <v>5.9391036895473</v>
      </c>
      <c r="E32" s="47" t="n">
        <f aca="false">IF(E4&lt;=cfg_N,E69*E68,0)</f>
        <v>5.88331277458836</v>
      </c>
      <c r="F32" s="47" t="n">
        <f aca="false">IF(F4&lt;=cfg_N,F69*F68,0)</f>
        <v>5.84242447727131</v>
      </c>
      <c r="G32" s="47" t="n">
        <f aca="false">IF(G4&lt;=cfg_N,G69*G68,0)</f>
        <v>0</v>
      </c>
      <c r="H32" s="47" t="n">
        <f aca="false">IF(H4&lt;=cfg_N,H69*H68,0)</f>
        <v>0</v>
      </c>
      <c r="I32" s="47" t="n">
        <f aca="false">IF(I4&lt;=cfg_N,I69*I68,0)</f>
        <v>0</v>
      </c>
      <c r="J32" s="47" t="n">
        <f aca="false">IF(J4&lt;=cfg_N,J69*J68,0)</f>
        <v>0</v>
      </c>
      <c r="K32" s="47" t="n">
        <f aca="false">IF(K4&lt;=cfg_N,K69*K68,0)</f>
        <v>0</v>
      </c>
      <c r="L32" s="47" t="n">
        <f aca="false">IF(L4&lt;=cfg_N,L69*L68,0)</f>
        <v>0</v>
      </c>
      <c r="M32" s="47" t="n">
        <f aca="false">IF(M4&lt;=cfg_N,M69*M68,0)</f>
        <v>0</v>
      </c>
      <c r="N32" s="47" t="n">
        <f aca="false">IF(N4&lt;=cfg_N,N69*N68,0)</f>
        <v>0</v>
      </c>
      <c r="O32" s="47" t="n">
        <f aca="false">IF(O4&lt;=cfg_N,O69*O68,0)</f>
        <v>0</v>
      </c>
      <c r="P32" s="26" t="n">
        <f aca="false">IF(P4&lt;=cfg_N,P69*P68,0)</f>
        <v>0</v>
      </c>
      <c r="Q32" s="26" t="n">
        <f aca="false">IF(Q4&lt;=cfg_N,Q69*Q68,0)</f>
        <v>0</v>
      </c>
      <c r="R32" s="26" t="n">
        <f aca="false">IF(R4&lt;=cfg_N,R69*R68,0)</f>
        <v>0</v>
      </c>
      <c r="S32" s="26" t="n">
        <f aca="false">IF(S4&lt;=cfg_N,S69*S68,0)</f>
        <v>0</v>
      </c>
      <c r="T32" s="26" t="n">
        <f aca="false">IF(T4&lt;=cfg_N,T69*T68,0)</f>
        <v>0</v>
      </c>
      <c r="U32" s="26" t="n">
        <f aca="false">IF(U4&lt;=cfg_N,U69*U68,0)</f>
        <v>0</v>
      </c>
      <c r="V32" s="26" t="n">
        <f aca="false">IF(V4&lt;=cfg_N,V69*V68,0)</f>
        <v>0</v>
      </c>
      <c r="W32" s="26" t="n">
        <f aca="false">IF(W4&lt;=cfg_N,W69*W68,0)</f>
        <v>0</v>
      </c>
      <c r="X32" s="26" t="n">
        <f aca="false">IF(X4&lt;=cfg_N,X69*X68,0)</f>
        <v>0</v>
      </c>
      <c r="Y32" s="26" t="n">
        <f aca="false">IF(Y4&lt;=cfg_N,Y69*Y68,0)</f>
        <v>0</v>
      </c>
      <c r="Z32" s="26" t="n">
        <f aca="false">IF(Z4&lt;=cfg_N,Z69*Z68,0)</f>
        <v>0</v>
      </c>
      <c r="AA32" s="26" t="n">
        <f aca="false">IF(AA4&lt;=cfg_N,AA69*AA68,0)</f>
        <v>0</v>
      </c>
      <c r="AB32" s="26" t="n">
        <f aca="false">IF(AB4&lt;=cfg_N,AB69*AB68,0)</f>
        <v>0</v>
      </c>
      <c r="AC32" s="26" t="n">
        <f aca="false">IF(AC4&lt;=cfg_N,AC69*AC68,0)</f>
        <v>0</v>
      </c>
      <c r="AD32" s="26" t="n">
        <f aca="false">IF(AD4&lt;=cfg_N,AD69*AD68,0)</f>
        <v>0</v>
      </c>
      <c r="AE32" s="26" t="n">
        <f aca="false">IF(AE4&lt;=cfg_N,AE69*AE68,0)</f>
        <v>0</v>
      </c>
      <c r="AF32" s="26" t="n">
        <f aca="false">IF(AF4&lt;=cfg_N,AF69*AF68,0)</f>
        <v>0</v>
      </c>
    </row>
    <row r="35" customFormat="false" ht="15" hidden="false" customHeight="true" outlineLevel="0" collapsed="false">
      <c r="A35" s="4" t="s">
        <v>702</v>
      </c>
    </row>
    <row r="36" customFormat="false" ht="15" hidden="false" customHeight="true" outlineLevel="0" collapsed="false">
      <c r="A36" s="26" t="s">
        <v>703</v>
      </c>
      <c r="B36" s="47" t="n">
        <f aca="false">B43+SUM(C24:AF24)</f>
        <v>128.094726972107</v>
      </c>
    </row>
    <row r="37" customFormat="false" ht="15" hidden="false" customHeight="true" outlineLevel="0" collapsed="false">
      <c r="A37" s="26" t="s">
        <v>704</v>
      </c>
      <c r="B37" s="47" t="n">
        <f aca="false">B11+(C26-C64*B11)*C65+SUM(C28:AF28)</f>
        <v>6.59683941028662</v>
      </c>
    </row>
    <row r="38" customFormat="false" ht="15" hidden="false" customHeight="true" outlineLevel="0" collapsed="false">
      <c r="A38" s="26" t="s">
        <v>705</v>
      </c>
      <c r="B38" s="47" t="n">
        <f aca="false">B36+B37</f>
        <v>134.691566382394</v>
      </c>
    </row>
    <row r="39" customFormat="false" ht="15" hidden="false" customHeight="true" outlineLevel="0" collapsed="false">
      <c r="A39" s="26" t="s">
        <v>706</v>
      </c>
      <c r="B39" s="47" t="n">
        <f aca="false">B38-B37</f>
        <v>128.094726972107</v>
      </c>
    </row>
    <row r="40" customFormat="false" ht="15" hidden="false" customHeight="true" outlineLevel="0" collapsed="false">
      <c r="A40" s="23" t="s">
        <v>707</v>
      </c>
      <c r="B40" s="49" t="n">
        <f aca="false">B39-B36</f>
        <v>0</v>
      </c>
      <c r="D40" s="23" t="str">
        <f aca="false">IF(ABS(B40)&lt;in_tie_tol,"TIE ✓","BREAK")</f>
        <v>TIE ✓</v>
      </c>
    </row>
    <row r="41" customFormat="false" ht="15" hidden="false" customHeight="true" outlineLevel="0" collapsed="false">
      <c r="A41" s="7" t="s">
        <v>708</v>
      </c>
      <c r="B41" s="55" t="n">
        <f aca="false">B70+(C30-C67*B70)*C68+SUM(C32:AF32)</f>
        <v>155.3591253619</v>
      </c>
      <c r="D41" s="7" t="s">
        <v>709</v>
      </c>
    </row>
    <row r="42" customFormat="false" ht="15" hidden="false" customHeight="true" outlineLevel="0" collapsed="false">
      <c r="A42" s="4" t="s">
        <v>710</v>
      </c>
    </row>
    <row r="43" customFormat="false" ht="15" hidden="false" customHeight="true" outlineLevel="0" collapsed="false">
      <c r="A43" s="26" t="s">
        <v>711</v>
      </c>
      <c r="B43" s="47" t="n">
        <f aca="false">B10+(C22-C61*B10)*C62</f>
        <v>115.601507097235</v>
      </c>
    </row>
    <row r="44" customFormat="false" ht="15" hidden="false" customHeight="true" outlineLevel="0" collapsed="false">
      <c r="A44" s="26" t="s">
        <v>712</v>
      </c>
      <c r="B44" s="47" t="n">
        <f aca="false">B36</f>
        <v>128.094726972107</v>
      </c>
    </row>
    <row r="45" customFormat="false" ht="15" hidden="false" customHeight="true" outlineLevel="0" collapsed="false">
      <c r="A45" s="26" t="s">
        <v>713</v>
      </c>
      <c r="B45" s="47" t="n">
        <f aca="false">in_price*INDEX(md_deflator,MATCH(in_anchor_year&amp;"",md_years,0))</f>
        <v>327.895761050869</v>
      </c>
    </row>
    <row r="46" customFormat="false" ht="15" hidden="false" customHeight="true" outlineLevel="0" collapsed="false">
      <c r="A46" s="26" t="s">
        <v>714</v>
      </c>
      <c r="B46" s="47" t="n">
        <f aca="false">B45-B43</f>
        <v>212.294253953635</v>
      </c>
    </row>
    <row r="47" customFormat="false" ht="15" hidden="false" customHeight="true" outlineLevel="0" collapsed="false">
      <c r="A47" s="26" t="s">
        <v>715</v>
      </c>
      <c r="B47" s="46" t="n">
        <f aca="false">B44/(C7/C57)</f>
        <v>16.2533083533543</v>
      </c>
    </row>
    <row r="48" customFormat="false" ht="15" hidden="false" customHeight="true" outlineLevel="0" collapsed="false">
      <c r="A48" s="26" t="s">
        <v>716</v>
      </c>
      <c r="B48" s="46" t="n">
        <f aca="false">1/$B$20</f>
        <v>14.3962810801327</v>
      </c>
    </row>
    <row r="49" customFormat="false" ht="15" hidden="false" customHeight="true" outlineLevel="0" collapsed="false">
      <c r="A49" s="26" t="s">
        <v>717</v>
      </c>
      <c r="B49" s="46" t="n">
        <f aca="false">B47-B48</f>
        <v>1.85702727322157</v>
      </c>
    </row>
    <row r="51" customFormat="false" ht="15" hidden="false" customHeight="true" outlineLevel="0" collapsed="false">
      <c r="A51" s="4" t="s">
        <v>718</v>
      </c>
    </row>
    <row r="52" customFormat="false" ht="15" hidden="false" customHeight="true" outlineLevel="0" collapsed="false">
      <c r="A52" s="26" t="s">
        <v>719</v>
      </c>
      <c r="B52" s="47" t="n">
        <f aca="false">B36</f>
        <v>128.094726972107</v>
      </c>
    </row>
    <row r="53" customFormat="false" ht="15" hidden="false" customHeight="true" outlineLevel="0" collapsed="false">
      <c r="A53" s="26" t="s">
        <v>720</v>
      </c>
      <c r="B53" s="47" t="n">
        <f aca="false">B39</f>
        <v>128.094726972107</v>
      </c>
    </row>
    <row r="54" customFormat="false" ht="15" hidden="false" customHeight="true" outlineLevel="0" collapsed="false">
      <c r="A54" s="56" t="s">
        <v>721</v>
      </c>
      <c r="B54" s="57" t="n">
        <f aca="false">IF(cfg_valread="Enterprise path",B53,B52)</f>
        <v>128.094726972107</v>
      </c>
    </row>
    <row r="55" customFormat="false" ht="15" hidden="false" customHeight="true" outlineLevel="0" collapsed="false">
      <c r="A55" s="7" t="s">
        <v>722</v>
      </c>
      <c r="B55" s="58" t="n">
        <f aca="false">B52-B53</f>
        <v>0</v>
      </c>
    </row>
    <row r="56" customFormat="false" ht="15" hidden="false" customHeight="false" outlineLevel="0" collapsed="false">
      <c r="A56" s="1" t="s">
        <v>723</v>
      </c>
      <c r="C56" s="52" t="n">
        <f aca="false">INDEX(finrate_infl,C4)</f>
        <v>0.029992</v>
      </c>
      <c r="D56" s="52" t="n">
        <f aca="false">INDEX(finrate_infl,D4)</f>
        <v>0.0257284213508453</v>
      </c>
      <c r="E56" s="52" t="n">
        <f aca="false">INDEX(finrate_infl,E4)</f>
        <v>0.0230295803823852</v>
      </c>
      <c r="F56" s="52" t="n">
        <f aca="false">INDEX(finrate_infl,F4)</f>
        <v>0.0214065814967732</v>
      </c>
      <c r="G56" s="52" t="n">
        <f aca="false">INDEX(finrate_infl,G4)</f>
        <v>0.0205269479410897</v>
      </c>
      <c r="H56" s="52" t="n">
        <f aca="false">INDEX(finrate_infl,H4)</f>
        <v>0.0201414909409623</v>
      </c>
      <c r="I56" s="52" t="n">
        <f aca="false">INDEX(finrate_infl,I4)</f>
        <v>0.0200818028027501</v>
      </c>
      <c r="J56" s="52" t="n">
        <f aca="false">INDEX(finrate_infl,J4)</f>
        <v>0.0202402180107837</v>
      </c>
      <c r="K56" s="52" t="n">
        <f aca="false">INDEX(finrate_infl,K4)</f>
        <v>0.0205159596149356</v>
      </c>
      <c r="L56" s="52" t="n">
        <f aca="false">INDEX(finrate_infl,L4)</f>
        <v>0.0208730299126345</v>
      </c>
      <c r="M56" s="52" t="n">
        <f aca="false">INDEX(finrate_infl,M4)</f>
        <v>0.0212594356887161</v>
      </c>
      <c r="N56" s="52" t="n">
        <f aca="false">INDEX(finrate_infl,N4)</f>
        <v>0.0216551138844878</v>
      </c>
      <c r="O56" s="52" t="n">
        <f aca="false">INDEX(finrate_infl,O4)</f>
        <v>0.0220390027471808</v>
      </c>
      <c r="P56" s="52" t="n">
        <f aca="false">INDEX(finrate_infl,P4)</f>
        <v>0.0223770321427348</v>
      </c>
      <c r="Q56" s="52" t="n">
        <f aca="false">INDEX(finrate_infl,Q4)</f>
        <v>0.0227001483611953</v>
      </c>
      <c r="R56" s="52" t="n">
        <f aca="false">INDEX(finrate_infl,R4)</f>
        <v>0.0229843054220888</v>
      </c>
      <c r="S56" s="52" t="n">
        <f aca="false">INDEX(finrate_infl,S4)</f>
        <v>0.0232394790986237</v>
      </c>
      <c r="T56" s="52" t="n">
        <f aca="false">INDEX(finrate_infl,T4)</f>
        <v>0.0234135942180562</v>
      </c>
      <c r="U56" s="52" t="n">
        <f aca="false">INDEX(finrate_infl,U4)</f>
        <v>0.0235777069408887</v>
      </c>
      <c r="V56" s="52" t="n">
        <f aca="false">INDEX(finrate_infl,V4)</f>
        <v>0.0236877614701088</v>
      </c>
      <c r="W56" s="52" t="n">
        <f aca="false">INDEX(finrate_infl,W4)</f>
        <v>0.0237737898024439</v>
      </c>
      <c r="X56" s="52" t="n">
        <f aca="false">INDEX(finrate_infl,X4)</f>
        <v>0.0237877342530664</v>
      </c>
      <c r="Y56" s="52" t="n">
        <f aca="false">INDEX(finrate_infl,Y4)</f>
        <v>0.0237866692375013</v>
      </c>
      <c r="Z56" s="52" t="n">
        <f aca="false">INDEX(finrate_infl,Z4)</f>
        <v>0.0237465712739078</v>
      </c>
      <c r="AA56" s="52" t="n">
        <f aca="false">INDEX(finrate_infl,AA4)</f>
        <v>0.0236634463076055</v>
      </c>
      <c r="AB56" s="52" t="n">
        <f aca="false">INDEX(finrate_infl,AB4)</f>
        <v>0.0235593254859989</v>
      </c>
      <c r="AC56" s="52" t="n">
        <f aca="false">INDEX(finrate_infl,AC4)</f>
        <v>0.0234071977157293</v>
      </c>
      <c r="AD56" s="52" t="n">
        <f aca="false">INDEX(finrate_infl,AD4)</f>
        <v>0.0232310946252736</v>
      </c>
      <c r="AE56" s="52" t="n">
        <f aca="false">INDEX(finrate_infl,AE4)</f>
        <v>0.0230310254065849</v>
      </c>
      <c r="AF56" s="52" t="n">
        <f aca="false">INDEX(finrate_infl,AF4)</f>
        <v>0.0227770004252987</v>
      </c>
    </row>
    <row r="57" customFormat="false" ht="15" hidden="false" customHeight="false" outlineLevel="0" collapsed="false">
      <c r="A57" s="1" t="s">
        <v>724</v>
      </c>
      <c r="B57" s="1" t="n">
        <v>1</v>
      </c>
      <c r="C57" s="1" t="n">
        <f aca="false">B57*(1+C56)</f>
        <v>1.029992</v>
      </c>
      <c r="D57" s="1" t="n">
        <f aca="false">C57*(1+D56)</f>
        <v>1.056492068164</v>
      </c>
      <c r="E57" s="1" t="n">
        <f aca="false">D57*(1+E56)</f>
        <v>1.08082263717114</v>
      </c>
      <c r="F57" s="1" t="n">
        <f aca="false">E57*(1+F56)</f>
        <v>1.1039593550373</v>
      </c>
      <c r="G57" s="1" t="n">
        <f aca="false">F57*(1+G56)</f>
        <v>1.12662027124723</v>
      </c>
      <c r="H57" s="1" t="n">
        <f aca="false">G57*(1+H56)</f>
        <v>1.14931208323446</v>
      </c>
      <c r="I57" s="1" t="n">
        <f aca="false">H57*(1+I56)</f>
        <v>1.17239234184879</v>
      </c>
      <c r="J57" s="1" t="n">
        <f aca="false">I57*(1+J56)</f>
        <v>1.19612181844198</v>
      </c>
      <c r="K57" s="1" t="n">
        <f aca="false">J57*(1+K56)</f>
        <v>1.22066140536368</v>
      </c>
      <c r="L57" s="1" t="n">
        <f aca="false">K57*(1+L56)</f>
        <v>1.24614030739103</v>
      </c>
      <c r="M57" s="1" t="n">
        <f aca="false">L57*(1+M56)</f>
        <v>1.27263254711513</v>
      </c>
      <c r="N57" s="1" t="n">
        <f aca="false">M57*(1+N56)</f>
        <v>1.30019154985602</v>
      </c>
      <c r="O57" s="1" t="n">
        <f aca="false">N57*(1+O56)</f>
        <v>1.32884647499515</v>
      </c>
      <c r="P57" s="1" t="n">
        <f aca="false">O57*(1+P56)</f>
        <v>1.35858211527888</v>
      </c>
      <c r="Q57" s="1" t="n">
        <f aca="false">P57*(1+Q56)</f>
        <v>1.38942213085658</v>
      </c>
      <c r="R57" s="1" t="n">
        <f aca="false">Q57*(1+R56)</f>
        <v>1.42135703347239</v>
      </c>
      <c r="S57" s="1" t="n">
        <f aca="false">R57*(1+S56)</f>
        <v>1.45438863054346</v>
      </c>
      <c r="T57" s="1" t="n">
        <f aca="false">S57*(1+T56)</f>
        <v>1.48844109577436</v>
      </c>
      <c r="U57" s="1" t="n">
        <f aca="false">T57*(1+U56)</f>
        <v>1.5235351237293</v>
      </c>
      <c r="V57" s="1" t="n">
        <f aca="false">U57*(1+V56)</f>
        <v>1.55962426033153</v>
      </c>
      <c r="W57" s="1" t="n">
        <f aca="false">V57*(1+W56)</f>
        <v>1.59670243966745</v>
      </c>
      <c r="X57" s="1" t="n">
        <f aca="false">W57*(1+X56)</f>
        <v>1.63468437298348</v>
      </c>
      <c r="Y57" s="1" t="n">
        <f aca="false">X57*(1+Y56)</f>
        <v>1.67356806947135</v>
      </c>
      <c r="Z57" s="1" t="n">
        <f aca="false">Y57*(1+Z56)</f>
        <v>1.71330957291479</v>
      </c>
      <c r="AA57" s="1" t="n">
        <f aca="false">Z57*(1+AA56)</f>
        <v>1.75385238200176</v>
      </c>
      <c r="AB57" s="1" t="n">
        <f aca="false">AA57*(1+AB56)</f>
        <v>1.79517196112374</v>
      </c>
      <c r="AC57" s="1" t="n">
        <f aca="false">AB57*(1+AC56)</f>
        <v>1.83719190615149</v>
      </c>
      <c r="AD57" s="1" t="n">
        <f aca="false">AC57*(1+AD56)</f>
        <v>1.87987188516808</v>
      </c>
      <c r="AE57" s="1" t="n">
        <f aca="false">AD57*(1+AE56)</f>
        <v>1.92316726231651</v>
      </c>
      <c r="AF57" s="1" t="n">
        <f aca="false">AE57*(1+AF56)</f>
        <v>1.96697124386822</v>
      </c>
    </row>
    <row r="58" customFormat="false" ht="15" hidden="false" customHeight="false" outlineLevel="0" collapsed="false">
      <c r="A58" s="1" t="s">
        <v>725</v>
      </c>
      <c r="C58" s="1" t="n">
        <f aca="false">$B$20*(1+C56)</f>
        <v>0.0715456994946716</v>
      </c>
      <c r="D58" s="1" t="n">
        <f aca="false">$B$20*(1+D56)</f>
        <v>0.0712495411586803</v>
      </c>
      <c r="E58" s="1" t="n">
        <f aca="false">$B$20*(1+E56)</f>
        <v>0.0710620732318291</v>
      </c>
      <c r="F58" s="1" t="n">
        <f aca="false">$B$20*(1+F56)</f>
        <v>0.0709493358605192</v>
      </c>
      <c r="G58" s="1" t="n">
        <f aca="false">$B$20*(1+G56)</f>
        <v>0.0708882344169737</v>
      </c>
      <c r="H58" s="1" t="n">
        <f aca="false">$B$20*(1+H56)</f>
        <v>0.0708614596549374</v>
      </c>
      <c r="I58" s="1" t="n">
        <f aca="false">$B$20*(1+I56)</f>
        <v>0.0708573135745796</v>
      </c>
      <c r="J58" s="1" t="n">
        <f aca="false">$B$20*(1+J56)</f>
        <v>0.0708683174725413</v>
      </c>
      <c r="K58" s="1" t="n">
        <f aca="false">$B$20*(1+K56)</f>
        <v>0.0708874711416463</v>
      </c>
      <c r="L58" s="1" t="n">
        <f aca="false">$B$20*(1+L56)</f>
        <v>0.070912274095667</v>
      </c>
      <c r="M58" s="1" t="n">
        <f aca="false">$B$20*(1+M56)</f>
        <v>0.0709391147619426</v>
      </c>
      <c r="N58" s="1" t="n">
        <f aca="false">$B$20*(1+N56)</f>
        <v>0.0709665995125924</v>
      </c>
      <c r="O58" s="1" t="n">
        <f aca="false">$B$20*(1+O56)</f>
        <v>0.0709932653480645</v>
      </c>
      <c r="P58" s="1" t="n">
        <f aca="false">$B$20*(1+P56)</f>
        <v>0.0710167456756347</v>
      </c>
      <c r="Q58" s="1" t="n">
        <f aca="false">$B$20*(1+Q56)</f>
        <v>0.0710391900983756</v>
      </c>
      <c r="R58" s="1" t="n">
        <f aca="false">$B$20*(1+R56)</f>
        <v>0.0710589283251657</v>
      </c>
      <c r="S58" s="1" t="n">
        <f aca="false">$B$20*(1+S56)</f>
        <v>0.0710766532969911</v>
      </c>
      <c r="T58" s="1" t="n">
        <f aca="false">$B$20*(1+T56)</f>
        <v>0.0710887477482221</v>
      </c>
      <c r="U58" s="1" t="n">
        <f aca="false">$B$20*(1+U56)</f>
        <v>0.0711001474091428</v>
      </c>
      <c r="V58" s="1" t="n">
        <f aca="false">$B$20*(1+V56)</f>
        <v>0.0711077920590776</v>
      </c>
      <c r="W58" s="1" t="n">
        <f aca="false">$B$20*(1+W56)</f>
        <v>0.0711137677921059</v>
      </c>
      <c r="X58" s="1" t="n">
        <f aca="false">$B$20*(1+X56)</f>
        <v>0.0711147364068853</v>
      </c>
      <c r="Y58" s="1" t="n">
        <f aca="false">$B$20*(1+Y56)</f>
        <v>0.0711146624283655</v>
      </c>
      <c r="Z58" s="1" t="n">
        <f aca="false">$B$20*(1+Z56)</f>
        <v>0.0711118771282334</v>
      </c>
      <c r="AA58" s="1" t="n">
        <f aca="false">$B$20*(1+AA56)</f>
        <v>0.0711061030699305</v>
      </c>
      <c r="AB58" s="1" t="n">
        <f aca="false">$B$20*(1+AB56)</f>
        <v>0.0710988705894706</v>
      </c>
      <c r="AC58" s="1" t="n">
        <f aca="false">$B$20*(1+AC56)</f>
        <v>0.0710883034319233</v>
      </c>
      <c r="AD58" s="1" t="n">
        <f aca="false">$B$20*(1+AD56)</f>
        <v>0.0710760708914862</v>
      </c>
      <c r="AE58" s="1" t="n">
        <f aca="false">$B$20*(1+AE56)</f>
        <v>0.0710621736066545</v>
      </c>
      <c r="AF58" s="1" t="n">
        <f aca="false">$B$20*(1+AF56)</f>
        <v>0.0710445284259392</v>
      </c>
    </row>
    <row r="59" customFormat="false" ht="15" hidden="false" customHeight="false" outlineLevel="0" collapsed="false">
      <c r="A59" s="1" t="s">
        <v>726</v>
      </c>
      <c r="C59" s="1" t="n">
        <f aca="false">$C$20*(1+C56)</f>
        <v>0.0468173444685366</v>
      </c>
      <c r="D59" s="1" t="n">
        <f aca="false">$C$20*(1+D56)</f>
        <v>0.0466235473999321</v>
      </c>
      <c r="E59" s="1" t="n">
        <f aca="false">$C$20*(1+E56)</f>
        <v>0.0465008740517059</v>
      </c>
      <c r="F59" s="1" t="n">
        <f aca="false">$C$20*(1+F56)</f>
        <v>0.0464271021215358</v>
      </c>
      <c r="G59" s="1" t="n">
        <f aca="false">$C$20*(1+G56)</f>
        <v>0.0463871191826561</v>
      </c>
      <c r="H59" s="1" t="n">
        <f aca="false">$C$20*(1+H56)</f>
        <v>0.0463695985872022</v>
      </c>
      <c r="I59" s="1" t="n">
        <f aca="false">$C$20*(1+I56)</f>
        <v>0.0463668855174625</v>
      </c>
      <c r="J59" s="1" t="n">
        <f aca="false">$C$20*(1+J56)</f>
        <v>0.0463740861358785</v>
      </c>
      <c r="K59" s="1" t="n">
        <f aca="false">$C$20*(1+K56)</f>
        <v>0.0463866197183392</v>
      </c>
      <c r="L59" s="1" t="n">
        <f aca="false">$C$20*(1+L56)</f>
        <v>0.0464028500221929</v>
      </c>
      <c r="M59" s="1" t="n">
        <f aca="false">$C$20*(1+M56)</f>
        <v>0.0464204137433902</v>
      </c>
      <c r="N59" s="1" t="n">
        <f aca="false">$C$20*(1+N56)</f>
        <v>0.0464383989339452</v>
      </c>
      <c r="O59" s="1" t="n">
        <f aca="false">$C$20*(1+O56)</f>
        <v>0.0464558482511461</v>
      </c>
      <c r="P59" s="1" t="n">
        <f aca="false">$C$20*(1+P56)</f>
        <v>0.046471213068205</v>
      </c>
      <c r="Q59" s="1" t="n">
        <f aca="false">$C$20*(1+Q56)</f>
        <v>0.0464859000204367</v>
      </c>
      <c r="R59" s="1" t="n">
        <f aca="false">$C$20*(1+R56)</f>
        <v>0.046498816119788</v>
      </c>
      <c r="S59" s="1" t="n">
        <f aca="false">$C$20*(1+S56)</f>
        <v>0.0465104148059075</v>
      </c>
      <c r="T59" s="1" t="n">
        <f aca="false">$C$20*(1+T56)</f>
        <v>0.0465183290494391</v>
      </c>
      <c r="U59" s="1" t="n">
        <f aca="false">$C$20*(1+U56)</f>
        <v>0.0465257886431802</v>
      </c>
      <c r="V59" s="1" t="n">
        <f aca="false">$C$20*(1+V56)</f>
        <v>0.0465307910711649</v>
      </c>
      <c r="W59" s="1" t="n">
        <f aca="false">$C$20*(1+W56)</f>
        <v>0.0465347014103413</v>
      </c>
      <c r="X59" s="1" t="n">
        <f aca="false">$C$20*(1+X56)</f>
        <v>0.0465353352425926</v>
      </c>
      <c r="Y59" s="1" t="n">
        <f aca="false">$C$20*(1+Y56)</f>
        <v>0.046535286833284</v>
      </c>
      <c r="Z59" s="1" t="n">
        <f aca="false">$C$20*(1+Z56)</f>
        <v>0.0465334642170171</v>
      </c>
      <c r="AA59" s="1" t="n">
        <f aca="false">$C$20*(1+AA56)</f>
        <v>0.0465296858476887</v>
      </c>
      <c r="AB59" s="1" t="n">
        <f aca="false">$C$20*(1+AB56)</f>
        <v>0.0465249531309574</v>
      </c>
      <c r="AC59" s="1" t="n">
        <f aca="false">$C$20*(1+AC56)</f>
        <v>0.0465180383022752</v>
      </c>
      <c r="AD59" s="1" t="n">
        <f aca="false">$C$20*(1+AD56)</f>
        <v>0.0465100336973387</v>
      </c>
      <c r="AE59" s="1" t="n">
        <f aca="false">$C$20*(1+AE56)</f>
        <v>0.0465009397339594</v>
      </c>
      <c r="AF59" s="1" t="n">
        <f aca="false">$C$20*(1+AF56)</f>
        <v>0.046489393260732</v>
      </c>
    </row>
    <row r="60" customFormat="false" ht="15" hidden="false" customHeight="false" outlineLevel="0" collapsed="false">
      <c r="A60" s="1" t="s">
        <v>727</v>
      </c>
      <c r="C60" s="1" t="n">
        <f aca="false">$D$20*(1+C56)</f>
        <v>0.0618019218614081</v>
      </c>
      <c r="D60" s="1" t="n">
        <f aca="false">$D$20*(1+D56)</f>
        <v>0.0615460972001243</v>
      </c>
      <c r="E60" s="1" t="n">
        <f aca="false">$D$20*(1+E56)</f>
        <v>0.061384160448529</v>
      </c>
      <c r="F60" s="1" t="n">
        <f aca="false">$D$20*(1+F56)</f>
        <v>0.0612867767306848</v>
      </c>
      <c r="G60" s="1" t="n">
        <f aca="false">$D$20*(1+G56)</f>
        <v>0.0612339966661066</v>
      </c>
      <c r="H60" s="1" t="n">
        <f aca="false">$D$20*(1+H56)</f>
        <v>0.0612108683472431</v>
      </c>
      <c r="I60" s="1" t="n">
        <f aca="false">$D$20*(1+I56)</f>
        <v>0.0612072869197623</v>
      </c>
      <c r="J60" s="1" t="n">
        <f aca="false">$D$20*(1+J56)</f>
        <v>0.0612167922016563</v>
      </c>
      <c r="K60" s="1" t="n">
        <f aca="false">$D$20*(1+K56)</f>
        <v>0.0612333373409134</v>
      </c>
      <c r="L60" s="1" t="n">
        <f aca="false">$D$20*(1+L56)</f>
        <v>0.0612547623914356</v>
      </c>
      <c r="M60" s="1" t="n">
        <f aca="false">$D$20*(1+M56)</f>
        <v>0.0612779476390688</v>
      </c>
      <c r="N60" s="1" t="n">
        <f aca="false">$D$20*(1+N56)</f>
        <v>0.0613016892535059</v>
      </c>
      <c r="O60" s="1" t="n">
        <f aca="false">$D$20*(1+O56)</f>
        <v>0.0613247234804665</v>
      </c>
      <c r="P60" s="1" t="n">
        <f aca="false">$D$20*(1+P56)</f>
        <v>0.0613450060324581</v>
      </c>
      <c r="Q60" s="1" t="n">
        <f aca="false">$D$20*(1+Q56)</f>
        <v>0.0613643937590477</v>
      </c>
      <c r="R60" s="1" t="n">
        <f aca="false">$D$20*(1+R56)</f>
        <v>0.0613814438453335</v>
      </c>
      <c r="S60" s="1" t="n">
        <f aca="false">$D$20*(1+S56)</f>
        <v>0.0613967548609708</v>
      </c>
      <c r="T60" s="1" t="n">
        <f aca="false">$D$20*(1+T56)</f>
        <v>0.0614072021741597</v>
      </c>
      <c r="U60" s="1" t="n">
        <f aca="false">$D$20*(1+U56)</f>
        <v>0.0614170493202278</v>
      </c>
      <c r="V60" s="1" t="n">
        <f aca="false">$D$20*(1+V56)</f>
        <v>0.0614236528486196</v>
      </c>
      <c r="W60" s="1" t="n">
        <f aca="false">$D$20*(1+W56)</f>
        <v>0.0614288147491711</v>
      </c>
      <c r="X60" s="1" t="n">
        <f aca="false">$D$20*(1+X56)</f>
        <v>0.0614296514487258</v>
      </c>
      <c r="Y60" s="1" t="n">
        <f aca="false">$D$20*(1+Y56)</f>
        <v>0.0614295875453084</v>
      </c>
      <c r="Z60" s="1" t="n">
        <f aca="false">$D$20*(1+Z56)</f>
        <v>0.0614271815739874</v>
      </c>
      <c r="AA60" s="1" t="n">
        <f aca="false">$D$20*(1+AA56)</f>
        <v>0.0614221938821683</v>
      </c>
      <c r="AB60" s="1" t="n">
        <f aca="false">$D$20*(1+AB56)</f>
        <v>0.0614159463900703</v>
      </c>
      <c r="AC60" s="1" t="n">
        <f aca="false">$D$20*(1+AC56)</f>
        <v>0.0614068183691039</v>
      </c>
      <c r="AD60" s="1" t="n">
        <f aca="false">$D$20*(1+AD56)</f>
        <v>0.0613962517730178</v>
      </c>
      <c r="AE60" s="1" t="n">
        <f aca="false">$D$20*(1+AE56)</f>
        <v>0.0613842471533506</v>
      </c>
      <c r="AF60" s="1" t="n">
        <f aca="false">$D$20*(1+AF56)</f>
        <v>0.0613690050621069</v>
      </c>
    </row>
    <row r="61" customFormat="false" ht="15" hidden="false" customHeight="false" outlineLevel="0" collapsed="false">
      <c r="A61" s="1" t="s">
        <v>728</v>
      </c>
      <c r="C61" s="59" t="n">
        <f aca="false">C5-C56</f>
        <v>0.0517601879760001</v>
      </c>
      <c r="D61" s="59" t="n">
        <f aca="false">D5-D56</f>
        <v>0.0573576276036913</v>
      </c>
      <c r="E61" s="59" t="n">
        <f aca="false">E5-E56</f>
        <v>0.0612961583795895</v>
      </c>
      <c r="F61" s="59" t="n">
        <f aca="false">F5-F56</f>
        <v>0.0640779731275785</v>
      </c>
      <c r="G61" s="59" t="n">
        <f aca="false">G5-G56</f>
        <v>0.0660558635509021</v>
      </c>
      <c r="H61" s="59" t="n">
        <f aca="false">H5-H56</f>
        <v>0.0674552833989721</v>
      </c>
      <c r="I61" s="59" t="n">
        <f aca="false">I5-I56</f>
        <v>0.0684613454531271</v>
      </c>
      <c r="J61" s="59" t="n">
        <f aca="false">J5-J56</f>
        <v>0.0691866540245201</v>
      </c>
      <c r="K61" s="59" t="n">
        <f aca="false">K5-K56</f>
        <v>0.0696994473174202</v>
      </c>
      <c r="L61" s="59" t="n">
        <f aca="false">L5-L56</f>
        <v>0.07007721831803</v>
      </c>
      <c r="M61" s="59" t="n">
        <f aca="false">M5-M56</f>
        <v>0.0703480407081736</v>
      </c>
      <c r="N61" s="59" t="n">
        <f aca="false">N5-N56</f>
        <v>0.0705555197025629</v>
      </c>
      <c r="O61" s="59" t="n">
        <f aca="false">O5-O56</f>
        <v>0.0707011232385639</v>
      </c>
      <c r="P61" s="59" t="n">
        <f aca="false">P5-P56</f>
        <v>0.0708172778955414</v>
      </c>
      <c r="Q61" s="59" t="n">
        <f aca="false">Q5-Q56</f>
        <v>0.0708895958953053</v>
      </c>
      <c r="R61" s="59" t="n">
        <f aca="false">R5-R56</f>
        <v>0.0709615244519539</v>
      </c>
      <c r="S61" s="59" t="n">
        <f aca="false">S5-S56</f>
        <v>0.0710141837901517</v>
      </c>
      <c r="T61" s="59" t="n">
        <f aca="false">T5-T56</f>
        <v>0.0710274857620048</v>
      </c>
      <c r="U61" s="59" t="n">
        <f aca="false">U5-U56</f>
        <v>0.0710771956740313</v>
      </c>
      <c r="V61" s="59" t="n">
        <f aca="false">V5-V56</f>
        <v>0.0710821725588506</v>
      </c>
      <c r="W61" s="59" t="n">
        <f aca="false">W5-W56</f>
        <v>0.0710917301696157</v>
      </c>
      <c r="X61" s="59" t="n">
        <f aca="false">X5-X56</f>
        <v>0.0710922454957219</v>
      </c>
      <c r="Y61" s="59" t="n">
        <f aca="false">Y5-Y56</f>
        <v>0.0711194961621224</v>
      </c>
      <c r="Z61" s="59" t="n">
        <f aca="false">Z5-Z56</f>
        <v>0.0711102010821063</v>
      </c>
      <c r="AA61" s="59" t="n">
        <f aca="false">AA5-AA56</f>
        <v>0.0710897522216774</v>
      </c>
      <c r="AB61" s="59" t="n">
        <f aca="false">AB5-AB56</f>
        <v>0.0710904608214349</v>
      </c>
      <c r="AC61" s="59" t="n">
        <f aca="false">AC5-AC56</f>
        <v>0.0710909383751335</v>
      </c>
      <c r="AD61" s="59" t="n">
        <f aca="false">AD5-AD56</f>
        <v>0.071068233315289</v>
      </c>
      <c r="AE61" s="59" t="n">
        <f aca="false">AE5-AE56</f>
        <v>0.0710520945601134</v>
      </c>
      <c r="AF61" s="59" t="n">
        <f aca="false">AF5-AF56</f>
        <v>0.0710445284259393</v>
      </c>
    </row>
    <row r="62" customFormat="false" ht="15" hidden="false" customHeight="false" outlineLevel="0" collapsed="false">
      <c r="A62" s="1" t="s">
        <v>729</v>
      </c>
      <c r="C62" s="1" t="n">
        <f aca="false">IF(C4&gt;cfg_N,0,C16+IF(C4=cfg_N,C16/$B$20,D62))</f>
        <v>13.7296344254497</v>
      </c>
      <c r="D62" s="1" t="n">
        <f aca="false">IF(D4&gt;cfg_N,0,D16+IF(D4=cfg_N,D16/$B$20,E62))</f>
        <v>12.8052082850497</v>
      </c>
      <c r="E62" s="1" t="n">
        <f aca="false">IF(E4&gt;cfg_N,0,E16+IF(E4=cfg_N,E16/$B$20,F62))</f>
        <v>11.9516970231399</v>
      </c>
      <c r="F62" s="1" t="n">
        <f aca="false">IF(F4&gt;cfg_N,0,F16+IF(F4=cfg_N,F16/$B$20,G62))</f>
        <v>11.1645615421687</v>
      </c>
      <c r="G62" s="1" t="n">
        <f aca="false">IF(G4&gt;cfg_N,0,G16+IF(G4=cfg_N,G16/$B$20,H62))</f>
        <v>0</v>
      </c>
      <c r="H62" s="1" t="n">
        <f aca="false">IF(H4&gt;cfg_N,0,H16+IF(H4=cfg_N,H16/$B$20,I62))</f>
        <v>0</v>
      </c>
      <c r="I62" s="1" t="n">
        <f aca="false">IF(I4&gt;cfg_N,0,I16+IF(I4=cfg_N,I16/$B$20,J62))</f>
        <v>0</v>
      </c>
      <c r="J62" s="1" t="n">
        <f aca="false">IF(J4&gt;cfg_N,0,J16+IF(J4=cfg_N,J16/$B$20,K62))</f>
        <v>0</v>
      </c>
      <c r="K62" s="1" t="n">
        <f aca="false">IF(K4&gt;cfg_N,0,K16+IF(K4=cfg_N,K16/$B$20,L62))</f>
        <v>0</v>
      </c>
      <c r="L62" s="1" t="n">
        <f aca="false">IF(L4&gt;cfg_N,0,L16+IF(L4=cfg_N,L16/$B$20,M62))</f>
        <v>0</v>
      </c>
      <c r="M62" s="1" t="n">
        <f aca="false">IF(M4&gt;cfg_N,0,M16+IF(M4=cfg_N,M16/$B$20,N62))</f>
        <v>0</v>
      </c>
      <c r="N62" s="1" t="n">
        <f aca="false">IF(N4&gt;cfg_N,0,N16+IF(N4=cfg_N,N16/$B$20,O62))</f>
        <v>0</v>
      </c>
      <c r="O62" s="1" t="n">
        <f aca="false">IF(O4&gt;cfg_N,0,O16+IF(O4=cfg_N,O16/$B$20,P62))</f>
        <v>0</v>
      </c>
      <c r="P62" s="1" t="n">
        <f aca="false">IF(P4&gt;cfg_N,0,P16+IF(P4=cfg_N,P16/$B$20,Q62))</f>
        <v>0</v>
      </c>
      <c r="Q62" s="1" t="n">
        <f aca="false">IF(Q4&gt;cfg_N,0,Q16+IF(Q4=cfg_N,Q16/$B$20,R62))</f>
        <v>0</v>
      </c>
      <c r="R62" s="1" t="n">
        <f aca="false">IF(R4&gt;cfg_N,0,R16+IF(R4=cfg_N,R16/$B$20,S62))</f>
        <v>0</v>
      </c>
      <c r="S62" s="1" t="n">
        <f aca="false">IF(S4&gt;cfg_N,0,S16+IF(S4=cfg_N,S16/$B$20,T62))</f>
        <v>0</v>
      </c>
      <c r="T62" s="1" t="n">
        <f aca="false">IF(T4&gt;cfg_N,0,T16+IF(T4=cfg_N,T16/$B$20,U62))</f>
        <v>0</v>
      </c>
      <c r="U62" s="1" t="n">
        <f aca="false">IF(U4&gt;cfg_N,0,U16+IF(U4=cfg_N,U16/$B$20,V62))</f>
        <v>0</v>
      </c>
      <c r="V62" s="1" t="n">
        <f aca="false">IF(V4&gt;cfg_N,0,V16+IF(V4=cfg_N,V16/$B$20,W62))</f>
        <v>0</v>
      </c>
      <c r="W62" s="1" t="n">
        <f aca="false">IF(W4&gt;cfg_N,0,W16+IF(W4=cfg_N,W16/$B$20,X62))</f>
        <v>0</v>
      </c>
      <c r="X62" s="1" t="n">
        <f aca="false">IF(X4&gt;cfg_N,0,X16+IF(X4=cfg_N,X16/$B$20,Y62))</f>
        <v>0</v>
      </c>
      <c r="Y62" s="1" t="n">
        <f aca="false">IF(Y4&gt;cfg_N,0,Y16+IF(Y4=cfg_N,Y16/$B$20,Z62))</f>
        <v>0</v>
      </c>
      <c r="Z62" s="1" t="n">
        <f aca="false">IF(Z4&gt;cfg_N,0,Z16+IF(Z4=cfg_N,Z16/$B$20,AA62))</f>
        <v>0</v>
      </c>
      <c r="AA62" s="1" t="n">
        <f aca="false">IF(AA4&gt;cfg_N,0,AA16+IF(AA4=cfg_N,AA16/$B$20,AB62))</f>
        <v>0</v>
      </c>
      <c r="AB62" s="1" t="n">
        <f aca="false">IF(AB4&gt;cfg_N,0,AB16+IF(AB4=cfg_N,AB16/$B$20,AC62))</f>
        <v>0</v>
      </c>
      <c r="AC62" s="1" t="n">
        <f aca="false">IF(AC4&gt;cfg_N,0,AC16+IF(AC4=cfg_N,AC16/$B$20,AD62))</f>
        <v>0</v>
      </c>
      <c r="AD62" s="1" t="n">
        <f aca="false">IF(AD4&gt;cfg_N,0,AD16+IF(AD4=cfg_N,AD16/$B$20,AE62))</f>
        <v>0</v>
      </c>
      <c r="AE62" s="1" t="n">
        <f aca="false">IF(AE4&gt;cfg_N,0,AE16+IF(AE4=cfg_N,AE16/$B$20,AF62))</f>
        <v>0</v>
      </c>
      <c r="AF62" s="1" t="n">
        <f aca="false">IF(AF4&gt;cfg_N,0,AF16+IF(AF4=cfg_N,AF16/$B$20,AG62))</f>
        <v>0</v>
      </c>
    </row>
    <row r="63" customFormat="false" ht="15" hidden="false" customHeight="false" outlineLevel="0" collapsed="false">
      <c r="A63" s="1" t="s">
        <v>730</v>
      </c>
      <c r="C63" s="1" t="n">
        <f aca="false">C23+IF(C4=1,0,C56*B7+(B61-C61*(1+B56))*INDEX($B10:C10,MAX(1,C4-1)))</f>
        <v>-0.172646365481663</v>
      </c>
      <c r="D63" s="1" t="n">
        <f aca="false">D23+IF(D4=1,0,D56*C7+(C61-D61*(1+C56))*INDEX($B10:D10,MAX(1,D4-1)))</f>
        <v>0.399140147225064</v>
      </c>
      <c r="E63" s="1" t="n">
        <f aca="false">E23+IF(E4=1,0,E56*D7+(D61-E61*(1+D56))*INDEX($B10:E10,MAX(1,E4-1)))</f>
        <v>0.413468847847088</v>
      </c>
      <c r="F63" s="1" t="n">
        <f aca="false">F23+IF(F4=1,0,F56*E7+(E61-F61*(1+E56))*INDEX($B10:F10,MAX(1,F4-1)))</f>
        <v>0.430904896849785</v>
      </c>
      <c r="G63" s="1" t="n">
        <f aca="false">G23+IF(G4=1,0,G56*F7+(F61-G61*(1+F56))*INDEX($B10:G10,MAX(1,G4-1)))</f>
        <v>-9.04251994520599</v>
      </c>
      <c r="H63" s="1" t="n">
        <f aca="false">H23+IF(H4=1,0,H56*G7+(G61-H61*(1+G56))*INDEX($B10:H10,MAX(1,H4-1)))</f>
        <v>-6.45317133063372E-016</v>
      </c>
      <c r="I63" s="1" t="n">
        <f aca="false">I23+IF(I4=1,0,I56*H7+(H61-I61*(1+H56))*INDEX($B10:I10,MAX(1,I4-1)))</f>
        <v>2.34187669256869E-016</v>
      </c>
      <c r="J63" s="1" t="n">
        <f aca="false">J23+IF(J4=1,0,J56*I7+(I61-J61*(1+I56))*INDEX($B10:J10,MAX(1,J4-1)))</f>
        <v>-4.61436444609831E-016</v>
      </c>
      <c r="K63" s="1" t="n">
        <f aca="false">K23+IF(K4=1,0,K56*J7+(J61-K61*(1+J56))*INDEX($B10:K10,MAX(1,K4-1)))</f>
        <v>1.59594559789866E-015</v>
      </c>
      <c r="L63" s="1" t="n">
        <f aca="false">L23+IF(L4=1,0,L56*K7+(K61-L61*(1+K56))*INDEX($B10:L10,MAX(1,L4-1)))</f>
        <v>-3.29597460435593E-016</v>
      </c>
      <c r="M63" s="1" t="n">
        <f aca="false">M23+IF(M4=1,0,M56*L7+(L61-M61*(1+L56))*INDEX($B10:M10,MAX(1,M4-1)))</f>
        <v>-5.7072402359637E-016</v>
      </c>
      <c r="N63" s="1" t="n">
        <f aca="false">N23+IF(N4=1,0,N56*M7+(M61-N61*(1+M56))*INDEX($B10:N10,MAX(1,N4-1)))</f>
        <v>8.2572837456496E-016</v>
      </c>
      <c r="O63" s="1" t="n">
        <f aca="false">O23+IF(O4=1,0,O56*N7+(N61-O61*(1+N56))*INDEX($B10:O10,MAX(1,O4-1)))</f>
        <v>7.28583859910259E-017</v>
      </c>
      <c r="P63" s="1" t="n">
        <f aca="false">P23+IF(P4=1,0,P56*O7+(O61-P61*(1+O56))*INDEX($B10:P10,MAX(1,P4-1)))</f>
        <v>2.98372437868011E-016</v>
      </c>
      <c r="Q63" s="1" t="n">
        <f aca="false">Q23+IF(Q4=1,0,Q56*P7+(P61-Q61*(1+P56))*INDEX($B10:Q10,MAX(1,Q4-1)))</f>
        <v>5.89805981832114E-017</v>
      </c>
      <c r="R63" s="1" t="n">
        <f aca="false">R23+IF(R4=1,0,R56*Q7+(Q61-R61*(1+Q56))*INDEX($B10:R10,MAX(1,R4-1)))</f>
        <v>-2.50147125235856E-015</v>
      </c>
      <c r="S63" s="1" t="n">
        <f aca="false">S23+IF(S4=1,0,S56*R7+(R61-S61*(1+R56))*INDEX($B10:S10,MAX(1,S4-1)))</f>
        <v>6.6266436782314E-016</v>
      </c>
      <c r="T63" s="1" t="n">
        <f aca="false">T23+IF(T4=1,0,T56*S7+(S61-T61*(1+S56))*INDEX($B10:T10,MAX(1,T4-1)))</f>
        <v>1.870031907103E-015</v>
      </c>
      <c r="U63" s="1" t="n">
        <f aca="false">U23+IF(U4=1,0,U56*T7+(T61-U61*(1+T56))*INDEX($B10:U10,MAX(1,U4-1)))</f>
        <v>5.89805981832114E-017</v>
      </c>
      <c r="V63" s="1" t="n">
        <f aca="false">V23+IF(V4=1,0,V56*U7+(U61-V61*(1+U56))*INDEX($B10:V10,MAX(1,V4-1)))</f>
        <v>-5.79397640976254E-016</v>
      </c>
      <c r="W63" s="1" t="n">
        <f aca="false">W23+IF(W4=1,0,W56*V7+(V61-W61*(1+V56))*INDEX($B10:W10,MAX(1,W4-1)))</f>
        <v>-2.32799890476088E-015</v>
      </c>
      <c r="X63" s="1" t="n">
        <f aca="false">X23+IF(X4=1,0,X56*W7+(W61-X61*(1+W56))*INDEX($B10:X10,MAX(1,X4-1)))</f>
        <v>9.40220123979429E-016</v>
      </c>
      <c r="Y63" s="1" t="n">
        <f aca="false">Y23+IF(Y4=1,0,Y56*X7+(X61-Y61*(1+X56))*INDEX($B10:Y10,MAX(1,Y4-1)))</f>
        <v>-2.04697370165263E-016</v>
      </c>
      <c r="Z63" s="1" t="n">
        <f aca="false">Z23+IF(Z4=1,0,Z56*Y7+(Y61-Z61*(1+Y56))*INDEX($B10:Z10,MAX(1,Z4-1)))</f>
        <v>1.91860416443035E-015</v>
      </c>
      <c r="AA63" s="1" t="n">
        <f aca="false">AA23+IF(AA4=1,0,AA56*Z7+(Z61-AA61*(1+Z56))*INDEX($B10:AA10,MAX(1,AA4-1)))</f>
        <v>2.53269627492614E-016</v>
      </c>
      <c r="AB63" s="1" t="n">
        <f aca="false">AB23+IF(AB4=1,0,AB56*AA7+(AA61-AB61*(1+AA56))*INDEX($B10:AB10,MAX(1,AB4-1)))</f>
        <v>1.20736753927986E-015</v>
      </c>
      <c r="AC63" s="1" t="n">
        <f aca="false">AC23+IF(AC4=1,0,AC56*AB7+(AB61-AC61*(1+AB56))*INDEX($B10:AC10,MAX(1,AC4-1)))</f>
        <v>-1.58206781009085E-015</v>
      </c>
      <c r="AD63" s="1" t="n">
        <f aca="false">AD23+IF(AD4=1,0,AD56*AC7+(AC61-AD61*(1+AC56))*INDEX($B10:AD10,MAX(1,AD4-1)))</f>
        <v>-8.95117313604033E-016</v>
      </c>
      <c r="AE63" s="1" t="n">
        <f aca="false">AE23+IF(AE4=1,0,AE56*AD7+(AD61-AE61*(1+AD56))*INDEX($B10:AE10,MAX(1,AE4-1)))</f>
        <v>-1.8249290967276E-015</v>
      </c>
      <c r="AF63" s="1" t="n">
        <f aca="false">AF23+IF(AF4=1,0,AF56*AE7+(AE61-AF61*(1+AE56))*INDEX($B10:AF10,MAX(1,AF4-1)))</f>
        <v>1.52655665885959E-016</v>
      </c>
    </row>
    <row r="64" customFormat="false" ht="15" hidden="false" customHeight="false" outlineLevel="0" collapsed="false">
      <c r="A64" s="1" t="s">
        <v>731</v>
      </c>
      <c r="C64" s="59" t="n">
        <f aca="false">C6-C56</f>
        <v>0.020008</v>
      </c>
      <c r="D64" s="59" t="n">
        <f aca="false">D6-D56</f>
        <v>0.0242715786491547</v>
      </c>
      <c r="E64" s="59" t="n">
        <f aca="false">E6-E56</f>
        <v>0.0269704196176148</v>
      </c>
      <c r="F64" s="59" t="n">
        <f aca="false">F6-F56</f>
        <v>0.0285934185032268</v>
      </c>
      <c r="G64" s="59" t="n">
        <f aca="false">G6-G56</f>
        <v>0.0294730520589104</v>
      </c>
      <c r="H64" s="59" t="n">
        <f aca="false">H6-H56</f>
        <v>0.0298585090590378</v>
      </c>
      <c r="I64" s="59" t="n">
        <f aca="false">I6-I56</f>
        <v>0.02991819719725</v>
      </c>
      <c r="J64" s="59" t="n">
        <f aca="false">J6-J56</f>
        <v>0.0297597819892164</v>
      </c>
      <c r="K64" s="59" t="n">
        <f aca="false">K6-K56</f>
        <v>0.0294840403850645</v>
      </c>
      <c r="L64" s="59" t="n">
        <f aca="false">L6-L56</f>
        <v>0.0291269700873655</v>
      </c>
      <c r="M64" s="59" t="n">
        <f aca="false">M6-M56</f>
        <v>0.0287405643112839</v>
      </c>
      <c r="N64" s="59" t="n">
        <f aca="false">N6-N56</f>
        <v>0.0283448861155122</v>
      </c>
      <c r="O64" s="59" t="n">
        <f aca="false">O6-O56</f>
        <v>0.0279609972528192</v>
      </c>
      <c r="P64" s="59" t="n">
        <f aca="false">P6-P56</f>
        <v>0.0276229678572653</v>
      </c>
      <c r="Q64" s="59" t="n">
        <f aca="false">Q6-Q56</f>
        <v>0.0272998516388048</v>
      </c>
      <c r="R64" s="59" t="n">
        <f aca="false">R6-R56</f>
        <v>0.027015694577911</v>
      </c>
      <c r="S64" s="59" t="n">
        <f aca="false">S6-S56</f>
        <v>0.0267605209013764</v>
      </c>
      <c r="T64" s="59" t="n">
        <f aca="false">T6-T56</f>
        <v>0.0265864057819438</v>
      </c>
      <c r="U64" s="59" t="n">
        <f aca="false">U6-U56</f>
        <v>0.0264222930591116</v>
      </c>
      <c r="V64" s="59" t="n">
        <f aca="false">V6-V56</f>
        <v>0.0263122385298911</v>
      </c>
      <c r="W64" s="59" t="n">
        <f aca="false">W6-W56</f>
        <v>0.0262262101975561</v>
      </c>
      <c r="X64" s="59" t="n">
        <f aca="false">X6-X56</f>
        <v>0.0262122657469337</v>
      </c>
      <c r="Y64" s="59" t="n">
        <f aca="false">Y6-Y56</f>
        <v>0.0262133307624988</v>
      </c>
      <c r="Z64" s="59" t="n">
        <f aca="false">Z6-Z56</f>
        <v>0.0262534287260923</v>
      </c>
      <c r="AA64" s="59" t="n">
        <f aca="false">AA6-AA56</f>
        <v>0.0263365536923945</v>
      </c>
      <c r="AB64" s="59" t="n">
        <f aca="false">AB6-AB56</f>
        <v>0.0264406745140011</v>
      </c>
      <c r="AC64" s="59" t="n">
        <f aca="false">AC6-AC56</f>
        <v>0.0265928022842707</v>
      </c>
      <c r="AD64" s="59" t="n">
        <f aca="false">AD6-AD56</f>
        <v>0.0267689053747264</v>
      </c>
      <c r="AE64" s="59" t="n">
        <f aca="false">AE6-AE56</f>
        <v>0.48748722276395</v>
      </c>
      <c r="AF64" s="59" t="n">
        <f aca="false">AF6-AF56</f>
        <v>0.046489393260732</v>
      </c>
    </row>
    <row r="65" customFormat="false" ht="15" hidden="false" customHeight="false" outlineLevel="0" collapsed="false">
      <c r="A65" s="1" t="s">
        <v>732</v>
      </c>
      <c r="C65" s="1" t="n">
        <f aca="false">IF(C4&gt;cfg_N,0,C17+IF(C4=cfg_N,C17/$C$20,D65))</f>
        <v>21.6455880858137</v>
      </c>
      <c r="D65" s="1" t="n">
        <f aca="false">IF(D4&gt;cfg_N,0,D17+IF(D4=cfg_N,D17/$C$20,E65))</f>
        <v>20.6932071334327</v>
      </c>
      <c r="E65" s="1" t="n">
        <f aca="false">IF(E4&gt;cfg_N,0,E17+IF(E4=cfg_N,E17/$C$20,F65))</f>
        <v>19.7861776549746</v>
      </c>
      <c r="F65" s="1" t="n">
        <f aca="false">IF(F4&gt;cfg_N,0,F17+IF(F4=cfg_N,F17/$C$20,G65))</f>
        <v>18.9223400564432</v>
      </c>
      <c r="G65" s="1" t="n">
        <f aca="false">IF(G4&gt;cfg_N,0,G17+IF(G4=cfg_N,G17/$C$20,H65))</f>
        <v>0</v>
      </c>
      <c r="H65" s="1" t="n">
        <f aca="false">IF(H4&gt;cfg_N,0,H17+IF(H4=cfg_N,H17/$C$20,I65))</f>
        <v>0</v>
      </c>
      <c r="I65" s="1" t="n">
        <f aca="false">IF(I4&gt;cfg_N,0,I17+IF(I4=cfg_N,I17/$C$20,J65))</f>
        <v>0</v>
      </c>
      <c r="J65" s="1" t="n">
        <f aca="false">IF(J4&gt;cfg_N,0,J17+IF(J4=cfg_N,J17/$C$20,K65))</f>
        <v>0</v>
      </c>
      <c r="K65" s="1" t="n">
        <f aca="false">IF(K4&gt;cfg_N,0,K17+IF(K4=cfg_N,K17/$C$20,L65))</f>
        <v>0</v>
      </c>
      <c r="L65" s="1" t="n">
        <f aca="false">IF(L4&gt;cfg_N,0,L17+IF(L4=cfg_N,L17/$C$20,M65))</f>
        <v>0</v>
      </c>
      <c r="M65" s="1" t="n">
        <f aca="false">IF(M4&gt;cfg_N,0,M17+IF(M4=cfg_N,M17/$C$20,N65))</f>
        <v>0</v>
      </c>
      <c r="N65" s="1" t="n">
        <f aca="false">IF(N4&gt;cfg_N,0,N17+IF(N4=cfg_N,N17/$C$20,O65))</f>
        <v>0</v>
      </c>
      <c r="O65" s="1" t="n">
        <f aca="false">IF(O4&gt;cfg_N,0,O17+IF(O4=cfg_N,O17/$C$20,P65))</f>
        <v>0</v>
      </c>
      <c r="P65" s="1" t="n">
        <f aca="false">IF(P4&gt;cfg_N,0,P17+IF(P4=cfg_N,P17/$C$20,Q65))</f>
        <v>0</v>
      </c>
      <c r="Q65" s="1" t="n">
        <f aca="false">IF(Q4&gt;cfg_N,0,Q17+IF(Q4=cfg_N,Q17/$C$20,R65))</f>
        <v>0</v>
      </c>
      <c r="R65" s="1" t="n">
        <f aca="false">IF(R4&gt;cfg_N,0,R17+IF(R4=cfg_N,R17/$C$20,S65))</f>
        <v>0</v>
      </c>
      <c r="S65" s="1" t="n">
        <f aca="false">IF(S4&gt;cfg_N,0,S17+IF(S4=cfg_N,S17/$C$20,T65))</f>
        <v>0</v>
      </c>
      <c r="T65" s="1" t="n">
        <f aca="false">IF(T4&gt;cfg_N,0,T17+IF(T4=cfg_N,T17/$C$20,U65))</f>
        <v>0</v>
      </c>
      <c r="U65" s="1" t="n">
        <f aca="false">IF(U4&gt;cfg_N,0,U17+IF(U4=cfg_N,U17/$C$20,V65))</f>
        <v>0</v>
      </c>
      <c r="V65" s="1" t="n">
        <f aca="false">IF(V4&gt;cfg_N,0,V17+IF(V4=cfg_N,V17/$C$20,W65))</f>
        <v>0</v>
      </c>
      <c r="W65" s="1" t="n">
        <f aca="false">IF(W4&gt;cfg_N,0,W17+IF(W4=cfg_N,W17/$C$20,X65))</f>
        <v>0</v>
      </c>
      <c r="X65" s="1" t="n">
        <f aca="false">IF(X4&gt;cfg_N,0,X17+IF(X4=cfg_N,X17/$C$20,Y65))</f>
        <v>0</v>
      </c>
      <c r="Y65" s="1" t="n">
        <f aca="false">IF(Y4&gt;cfg_N,0,Y17+IF(Y4=cfg_N,Y17/$C$20,Z65))</f>
        <v>0</v>
      </c>
      <c r="Z65" s="1" t="n">
        <f aca="false">IF(Z4&gt;cfg_N,0,Z17+IF(Z4=cfg_N,Z17/$C$20,AA65))</f>
        <v>0</v>
      </c>
      <c r="AA65" s="1" t="n">
        <f aca="false">IF(AA4&gt;cfg_N,0,AA17+IF(AA4=cfg_N,AA17/$C$20,AB65))</f>
        <v>0</v>
      </c>
      <c r="AB65" s="1" t="n">
        <f aca="false">IF(AB4&gt;cfg_N,0,AB17+IF(AB4=cfg_N,AB17/$C$20,AC65))</f>
        <v>0</v>
      </c>
      <c r="AC65" s="1" t="n">
        <f aca="false">IF(AC4&gt;cfg_N,0,AC17+IF(AC4=cfg_N,AC17/$C$20,AD65))</f>
        <v>0</v>
      </c>
      <c r="AD65" s="1" t="n">
        <f aca="false">IF(AD4&gt;cfg_N,0,AD17+IF(AD4=cfg_N,AD17/$C$20,AE65))</f>
        <v>0</v>
      </c>
      <c r="AE65" s="1" t="n">
        <f aca="false">IF(AE4&gt;cfg_N,0,AE17+IF(AE4=cfg_N,AE17/$C$20,AF65))</f>
        <v>0</v>
      </c>
      <c r="AF65" s="1" t="n">
        <f aca="false">IF(AF4&gt;cfg_N,0,AF17+IF(AF4=cfg_N,AF17/$C$20,AG65))</f>
        <v>0</v>
      </c>
    </row>
    <row r="66" customFormat="false" ht="15" hidden="false" customHeight="false" outlineLevel="0" collapsed="false">
      <c r="A66" s="1" t="s">
        <v>733</v>
      </c>
      <c r="C66" s="1" t="n">
        <f aca="false">C27+IF(C4=1,0,C56*B12+(B64-C64*(1+B56))*INDEX($B11:C11,MAX(1,C4-1)))</f>
        <v>0.211223493688025</v>
      </c>
      <c r="D66" s="1" t="n">
        <f aca="false">D27+IF(D4=1,0,D56*C12+(C64-D64*(1+C56))*INDEX($B11:D11,MAX(1,D4-1)))</f>
        <v>-0.00912233640050501</v>
      </c>
      <c r="E66" s="1" t="n">
        <f aca="false">E27+IF(E4=1,0,E56*D12+(D64-E64*(1+D56))*INDEX($B11:E11,MAX(1,E4-1)))</f>
        <v>-0.00353856197973074</v>
      </c>
      <c r="F66" s="1" t="n">
        <f aca="false">F27+IF(F4=1,0,F56*E12+(E64-F64*(1+E56))*INDEX($B11:F11,MAX(1,F4-1)))</f>
        <v>0.000798023941954325</v>
      </c>
      <c r="G66" s="1" t="n">
        <f aca="false">G27+IF(G4=1,0,G56*F12+(F64-G64*(1+F56))*INDEX($B11:G11,MAX(1,G4-1)))</f>
        <v>0.00418937408183921</v>
      </c>
      <c r="H66" s="1" t="n">
        <f aca="false">H27+IF(H4=1,0,H56*G12+(G64-H64*(1+G56))*INDEX($B11:H11,MAX(1,H4-1)))</f>
        <v>0.006772585540592</v>
      </c>
      <c r="I66" s="1" t="n">
        <f aca="false">I27+IF(I4=1,0,I56*H12+(H64-I64*(1+H56))*INDEX($B11:I11,MAX(1,I4-1)))</f>
        <v>0.00877763180591734</v>
      </c>
      <c r="J66" s="1" t="n">
        <f aca="false">J27+IF(J4=1,0,J56*I12+(I64-J64*(1+I56))*INDEX($B11:J11,MAX(1,J4-1)))</f>
        <v>0.0104125172528795</v>
      </c>
      <c r="K66" s="1" t="n">
        <f aca="false">K27+IF(K4=1,0,K56*J12+(J64-K64*(1+J56))*INDEX($B11:K11,MAX(1,K4-1)))</f>
        <v>0.0116307331334933</v>
      </c>
      <c r="L66" s="1" t="n">
        <f aca="false">L27+IF(L4=1,0,L56*K12+(K64-L64*(1+K56))*INDEX($B11:L11,MAX(1,L4-1)))</f>
        <v>0.0127477945820176</v>
      </c>
      <c r="M66" s="1" t="n">
        <f aca="false">M27+IF(M4=1,0,M56*L12+(L64-M64*(1+L56))*INDEX($B11:M11,MAX(1,M4-1)))</f>
        <v>0.0136308444306873</v>
      </c>
      <c r="N66" s="1" t="n">
        <f aca="false">N27+IF(N4=1,0,N56*M12+(M64-N64*(1+M56))*INDEX($B11:N11,MAX(1,N4-1)))</f>
        <v>0.0144466447370632</v>
      </c>
      <c r="O66" s="1" t="n">
        <f aca="false">O27+IF(O4=1,0,O56*N12+(N64-O64*(1+N56))*INDEX($B11:O11,MAX(1,O4-1)))</f>
        <v>0.0151685077951813</v>
      </c>
      <c r="P66" s="1" t="n">
        <f aca="false">P27+IF(P4=1,0,P56*O12+(O64-P64*(1+O56))*INDEX($B11:P11,MAX(1,P4-1)))</f>
        <v>0.0156740885163344</v>
      </c>
      <c r="Q66" s="1" t="n">
        <f aca="false">Q27+IF(Q4=1,0,Q56*P12+(P64-Q64*(1+P56))*INDEX($B11:Q11,MAX(1,Q4-1)))</f>
        <v>0.0164285486168142</v>
      </c>
      <c r="R66" s="1" t="n">
        <f aca="false">R27+IF(R4=1,0,R56*Q12+(Q64-R64*(1+Q56))*INDEX($B11:R11,MAX(1,R4-1)))</f>
        <v>0.0170220109154139</v>
      </c>
      <c r="S66" s="1" t="n">
        <f aca="false">S27+IF(S4=1,0,S56*R12+(R64-S64*(1+R56))*INDEX($B11:S11,MAX(1,S4-1)))</f>
        <v>0.0177117690807359</v>
      </c>
      <c r="T66" s="1" t="n">
        <f aca="false">T27+IF(T4=1,0,T56*S12+(S64-T64*(1+S56))*INDEX($B11:T11,MAX(1,T4-1)))</f>
        <v>0.0179483704915159</v>
      </c>
      <c r="U66" s="1" t="n">
        <f aca="false">U27+IF(U4=1,0,U56*T12+(T64-U64*(1+T56))*INDEX($B11:U11,MAX(1,U4-1)))</f>
        <v>0.0188110796065645</v>
      </c>
      <c r="V66" s="1" t="n">
        <f aca="false">V27+IF(V4=1,0,V56*U12+(U64-V64*(1+U56))*INDEX($B11:V11,MAX(1,V4-1)))</f>
        <v>0.0192732828745872</v>
      </c>
      <c r="W66" s="1" t="n">
        <f aca="false">W27+IF(W4=1,0,W56*V12+(V64-W64*(1+V56))*INDEX($B11:W11,MAX(1,W4-1)))</f>
        <v>0.0200261730512191</v>
      </c>
      <c r="X66" s="1" t="n">
        <f aca="false">X27+IF(X4=1,0,X56*W12+(W64-X64*(1+W56))*INDEX($B11:X11,MAX(1,X4-1)))</f>
        <v>0.0202661346814927</v>
      </c>
      <c r="Y66" s="1" t="n">
        <f aca="false">Y27+IF(Y4=1,0,Y56*X12+(X64-Y64*(1+X56))*INDEX($B11:Y11,MAX(1,Y4-1)))</f>
        <v>0.0211011394223327</v>
      </c>
      <c r="Z66" s="1" t="n">
        <f aca="false">Z27+IF(Z4=1,0,Z56*Y12+(Y64-Z64*(1+Y56))*INDEX($B11:Z11,MAX(1,Z4-1)))</f>
        <v>0.0216688776863223</v>
      </c>
      <c r="AA66" s="1" t="n">
        <f aca="false">AA27+IF(AA4=1,0,AA56*Z12+(Z64-AA64*(1+Z56))*INDEX($B11:AA11,MAX(1,AA4-1)))</f>
        <v>0.0221655558840271</v>
      </c>
      <c r="AB66" s="1" t="n">
        <f aca="false">AB27+IF(AB4=1,0,AB56*AA12+(AA64-AB64*(1+AA56))*INDEX($B11:AB11,MAX(1,AB4-1)))</f>
        <v>0.022923424613367</v>
      </c>
      <c r="AC66" s="1" t="n">
        <f aca="false">AC27+IF(AC4=1,0,AC56*AB12+(AB64-AC64*(1+AB56))*INDEX($B11:AC11,MAX(1,AC4-1)))</f>
        <v>0.0233072603468111</v>
      </c>
      <c r="AD66" s="1" t="n">
        <f aca="false">AD27+IF(AD4=1,0,AD56*AC12+(AC64-AD64*(1+AC56))*INDEX($B11:AD11,MAX(1,AD4-1)))</f>
        <v>0.0239900107800968</v>
      </c>
      <c r="AE66" s="1" t="n">
        <f aca="false">AE27+IF(AE4=1,0,AE56*AD12+(AD64-AE64*(1+AD56))*INDEX($B11:AE11,MAX(1,AE4-1)))</f>
        <v>0.529513688416285</v>
      </c>
      <c r="AF66" s="1" t="n">
        <f aca="false">AF27+IF(AF4=1,0,AF56*AE12+(AE64-AF64*(1+AE56))*INDEX($B11:AF11,MAX(1,AF4-1)))</f>
        <v>-0.289261079955725</v>
      </c>
    </row>
    <row r="67" customFormat="false" ht="15" hidden="false" customHeight="false" outlineLevel="0" collapsed="false">
      <c r="A67" s="1" t="s">
        <v>734</v>
      </c>
      <c r="C67" s="59" t="n">
        <f aca="false">C15-C56</f>
        <v>0.0392487912947108</v>
      </c>
      <c r="D67" s="59" t="n">
        <f aca="false">D15-D56</f>
        <v>0.0443206462341035</v>
      </c>
      <c r="E67" s="59" t="n">
        <f aca="false">E15-E56</f>
        <v>0.0477706988316055</v>
      </c>
      <c r="F67" s="59" t="n">
        <f aca="false">F15-F56</f>
        <v>0.0500959023707629</v>
      </c>
      <c r="G67" s="59" t="n">
        <f aca="false">G15-G56</f>
        <v>0.0516410438024459</v>
      </c>
      <c r="H67" s="59" t="n">
        <f aca="false">H15-H56</f>
        <v>0.052640929249287</v>
      </c>
      <c r="I67" s="59" t="n">
        <f aca="false">I15-I56</f>
        <v>0.0532740891437504</v>
      </c>
      <c r="J67" s="59" t="n">
        <f aca="false">J15-J56</f>
        <v>0.0536511817506419</v>
      </c>
      <c r="K67" s="59" t="n">
        <f aca="false">K15-K56</f>
        <v>0.053853266600347</v>
      </c>
      <c r="L67" s="59" t="n">
        <f aca="false">L15-L56</f>
        <v>0.0539414861852282</v>
      </c>
      <c r="M67" s="59" t="n">
        <f aca="false">M15-M56</f>
        <v>0.0539533392626436</v>
      </c>
      <c r="N67" s="59" t="n">
        <f aca="false">N15-N56</f>
        <v>0.053923154670732</v>
      </c>
      <c r="O67" s="59" t="n">
        <f aca="false">O15-O56</f>
        <v>0.0538601209485763</v>
      </c>
      <c r="P67" s="59" t="n">
        <f aca="false">P15-P56</f>
        <v>0.0537973122896453</v>
      </c>
      <c r="Q67" s="59" t="n">
        <f aca="false">Q15-Q56</f>
        <v>0.0537138163225323</v>
      </c>
      <c r="R67" s="59" t="n">
        <f aca="false">R15-R56</f>
        <v>0.0536454355431143</v>
      </c>
      <c r="S67" s="59" t="n">
        <f aca="false">S15-S56</f>
        <v>0.0535767986430237</v>
      </c>
      <c r="T67" s="59" t="n">
        <f aca="false">T15-T56</f>
        <v>0.0535162521740796</v>
      </c>
      <c r="U67" s="59" t="n">
        <f aca="false">U15-U56</f>
        <v>0.0534817090007383</v>
      </c>
      <c r="V67" s="59" t="n">
        <f aca="false">V15-V56</f>
        <v>0.0534413597602226</v>
      </c>
      <c r="W67" s="59" t="n">
        <f aca="false">W15-W56</f>
        <v>0.0534132533948174</v>
      </c>
      <c r="X67" s="59" t="n">
        <f aca="false">X15-X56</f>
        <v>0.0534080710977327</v>
      </c>
      <c r="Y67" s="59" t="n">
        <f aca="false">Y15-Y56</f>
        <v>0.0534250037644664</v>
      </c>
      <c r="Z67" s="59" t="n">
        <f aca="false">Z15-Z56</f>
        <v>0.0534351711530638</v>
      </c>
      <c r="AA67" s="59" t="n">
        <f aca="false">AA15-AA56</f>
        <v>0.0534555337552343</v>
      </c>
      <c r="AB67" s="59" t="n">
        <f aca="false">AB15-AB56</f>
        <v>0.053496990140002</v>
      </c>
      <c r="AC67" s="59" t="n">
        <f aca="false">AC15-AC56</f>
        <v>0.0535572228204263</v>
      </c>
      <c r="AD67" s="59" t="n">
        <f aca="false">AD15-AD56</f>
        <v>0.053612854649799</v>
      </c>
      <c r="AE67" s="59" t="n">
        <f aca="false">AE15-AE56</f>
        <v>0.23514110426615</v>
      </c>
      <c r="AF67" s="59" t="n">
        <f aca="false">AF15-AF56</f>
        <v>0.061369005062107</v>
      </c>
    </row>
    <row r="68" customFormat="false" ht="15" hidden="false" customHeight="false" outlineLevel="0" collapsed="false">
      <c r="A68" s="1" t="s">
        <v>735</v>
      </c>
      <c r="C68" s="1" t="n">
        <f aca="false">IF(C4&gt;cfg_N,0,C18+IF(C4=cfg_N,C18/$D$20,D68))</f>
        <v>16.0827879402207</v>
      </c>
      <c r="D68" s="1" t="n">
        <f aca="false">IF(D4&gt;cfg_N,0,D18+IF(D4=cfg_N,D18/$D$20,E68))</f>
        <v>15.1475449078359</v>
      </c>
      <c r="E68" s="1" t="n">
        <f aca="false">IF(E4&gt;cfg_N,0,E18+IF(E4=cfg_N,E18/$D$20,F68))</f>
        <v>14.2735260794324</v>
      </c>
      <c r="F68" s="1" t="n">
        <f aca="false">IF(F4&gt;cfg_N,0,F18+IF(F4=cfg_N,F18/$D$20,G68))</f>
        <v>13.4572965309633</v>
      </c>
      <c r="G68" s="1" t="n">
        <f aca="false">IF(G4&gt;cfg_N,0,G18+IF(G4=cfg_N,G18/$D$20,H68))</f>
        <v>0</v>
      </c>
      <c r="H68" s="1" t="n">
        <f aca="false">IF(H4&gt;cfg_N,0,H18+IF(H4=cfg_N,H18/$D$20,I68))</f>
        <v>0</v>
      </c>
      <c r="I68" s="1" t="n">
        <f aca="false">IF(I4&gt;cfg_N,0,I18+IF(I4=cfg_N,I18/$D$20,J68))</f>
        <v>0</v>
      </c>
      <c r="J68" s="1" t="n">
        <f aca="false">IF(J4&gt;cfg_N,0,J18+IF(J4=cfg_N,J18/$D$20,K68))</f>
        <v>0</v>
      </c>
      <c r="K68" s="1" t="n">
        <f aca="false">IF(K4&gt;cfg_N,0,K18+IF(K4=cfg_N,K18/$D$20,L68))</f>
        <v>0</v>
      </c>
      <c r="L68" s="1" t="n">
        <f aca="false">IF(L4&gt;cfg_N,0,L18+IF(L4=cfg_N,L18/$D$20,M68))</f>
        <v>0</v>
      </c>
      <c r="M68" s="1" t="n">
        <f aca="false">IF(M4&gt;cfg_N,0,M18+IF(M4=cfg_N,M18/$D$20,N68))</f>
        <v>0</v>
      </c>
      <c r="N68" s="1" t="n">
        <f aca="false">IF(N4&gt;cfg_N,0,N18+IF(N4=cfg_N,N18/$D$20,O68))</f>
        <v>0</v>
      </c>
      <c r="O68" s="1" t="n">
        <f aca="false">IF(O4&gt;cfg_N,0,O18+IF(O4=cfg_N,O18/$D$20,P68))</f>
        <v>0</v>
      </c>
      <c r="P68" s="1" t="n">
        <f aca="false">IF(P4&gt;cfg_N,0,P18+IF(P4=cfg_N,P18/$D$20,Q68))</f>
        <v>0</v>
      </c>
      <c r="Q68" s="1" t="n">
        <f aca="false">IF(Q4&gt;cfg_N,0,Q18+IF(Q4=cfg_N,Q18/$D$20,R68))</f>
        <v>0</v>
      </c>
      <c r="R68" s="1" t="n">
        <f aca="false">IF(R4&gt;cfg_N,0,R18+IF(R4=cfg_N,R18/$D$20,S68))</f>
        <v>0</v>
      </c>
      <c r="S68" s="1" t="n">
        <f aca="false">IF(S4&gt;cfg_N,0,S18+IF(S4=cfg_N,S18/$D$20,T68))</f>
        <v>0</v>
      </c>
      <c r="T68" s="1" t="n">
        <f aca="false">IF(T4&gt;cfg_N,0,T18+IF(T4=cfg_N,T18/$D$20,U68))</f>
        <v>0</v>
      </c>
      <c r="U68" s="1" t="n">
        <f aca="false">IF(U4&gt;cfg_N,0,U18+IF(U4=cfg_N,U18/$D$20,V68))</f>
        <v>0</v>
      </c>
      <c r="V68" s="1" t="n">
        <f aca="false">IF(V4&gt;cfg_N,0,V18+IF(V4=cfg_N,V18/$D$20,W68))</f>
        <v>0</v>
      </c>
      <c r="W68" s="1" t="n">
        <f aca="false">IF(W4&gt;cfg_N,0,W18+IF(W4=cfg_N,W18/$D$20,X68))</f>
        <v>0</v>
      </c>
      <c r="X68" s="1" t="n">
        <f aca="false">IF(X4&gt;cfg_N,0,X18+IF(X4=cfg_N,X18/$D$20,Y68))</f>
        <v>0</v>
      </c>
      <c r="Y68" s="1" t="n">
        <f aca="false">IF(Y4&gt;cfg_N,0,Y18+IF(Y4=cfg_N,Y18/$D$20,Z68))</f>
        <v>0</v>
      </c>
      <c r="Z68" s="1" t="n">
        <f aca="false">IF(Z4&gt;cfg_N,0,Z18+IF(Z4=cfg_N,Z18/$D$20,AA68))</f>
        <v>0</v>
      </c>
      <c r="AA68" s="1" t="n">
        <f aca="false">IF(AA4&gt;cfg_N,0,AA18+IF(AA4=cfg_N,AA18/$D$20,AB68))</f>
        <v>0</v>
      </c>
      <c r="AB68" s="1" t="n">
        <f aca="false">IF(AB4&gt;cfg_N,0,AB18+IF(AB4=cfg_N,AB18/$D$20,AC68))</f>
        <v>0</v>
      </c>
      <c r="AC68" s="1" t="n">
        <f aca="false">IF(AC4&gt;cfg_N,0,AC18+IF(AC4=cfg_N,AC18/$D$20,AD68))</f>
        <v>0</v>
      </c>
      <c r="AD68" s="1" t="n">
        <f aca="false">IF(AD4&gt;cfg_N,0,AD18+IF(AD4=cfg_N,AD18/$D$20,AE68))</f>
        <v>0</v>
      </c>
      <c r="AE68" s="1" t="n">
        <f aca="false">IF(AE4&gt;cfg_N,0,AE18+IF(AE4=cfg_N,AE18/$D$20,AF68))</f>
        <v>0</v>
      </c>
      <c r="AF68" s="1" t="n">
        <f aca="false">IF(AF4&gt;cfg_N,0,AF18+IF(AF4=cfg_N,AF18/$D$20,AG68))</f>
        <v>0</v>
      </c>
    </row>
    <row r="69" customFormat="false" ht="15" hidden="false" customHeight="false" outlineLevel="0" collapsed="false">
      <c r="A69" s="1" t="s">
        <v>736</v>
      </c>
      <c r="C69" s="1" t="n">
        <f aca="false">C31+IF(C4=1,0,C56*B13+(B67-C67*(1+B56))*INDEX($B70:C70,MAX(1,C4-1)))</f>
        <v>0.122555618448548</v>
      </c>
      <c r="D69" s="1" t="n">
        <f aca="false">D31+IF(D4=1,0,D56*C13+(C67-D67*(1+C56))*INDEX($B70:D70,MAX(1,D4-1)))</f>
        <v>0.392083583556499</v>
      </c>
      <c r="E69" s="1" t="n">
        <f aca="false">E31+IF(E4=1,0,E56*D13+(D67-E67*(1+D56))*INDEX($B70:E70,MAX(1,E4-1)))</f>
        <v>0.412183558697943</v>
      </c>
      <c r="F69" s="1" t="n">
        <f aca="false">F31+IF(F4=1,0,F56*E13+(E67-F67*(1+E56))*INDEX($B70:F70,MAX(1,F4-1)))</f>
        <v>0.434145481139449</v>
      </c>
      <c r="G69" s="1" t="n">
        <f aca="false">G31+IF(G4=1,0,G56*F13+(F67-G67*(1+F56))*INDEX($B70:G70,MAX(1,G4-1)))</f>
        <v>-9.035694206106</v>
      </c>
      <c r="H69" s="1" t="n">
        <f aca="false">H31+IF(H4=1,0,H56*G13+(G67-H67*(1+G56))*INDEX($B70:H70,MAX(1,H4-1)))</f>
        <v>0.00960676528230106</v>
      </c>
      <c r="I69" s="1" t="n">
        <f aca="false">I31+IF(I4=1,0,I56*H13+(H67-I67*(1+H56))*INDEX($B70:I70,MAX(1,I4-1)))</f>
        <v>0.011815775187897</v>
      </c>
      <c r="J69" s="1" t="n">
        <f aca="false">J31+IF(J4=1,0,J56*I13+(I67-J67*(1+I56))*INDEX($B70:J70,MAX(1,J4-1)))</f>
        <v>0.0136619852906273</v>
      </c>
      <c r="K69" s="1" t="n">
        <f aca="false">K31+IF(K4=1,0,K56*J13+(J67-K67*(1+J56))*INDEX($B70:K70,MAX(1,K4-1)))</f>
        <v>0.0150968142215698</v>
      </c>
      <c r="L69" s="1" t="n">
        <f aca="false">L31+IF(L4=1,0,L56*K13+(K67-L67*(1+K56))*INDEX($B70:L70,MAX(1,L4-1)))</f>
        <v>0.0164396650588692</v>
      </c>
      <c r="M69" s="1" t="n">
        <f aca="false">M31+IF(M4=1,0,M56*L13+(L67-M67*(1+L56))*INDEX($B70:M70,MAX(1,M4-1)))</f>
        <v>0.0175560001317829</v>
      </c>
      <c r="N69" s="1" t="n">
        <f aca="false">N31+IF(N4=1,0,N56*M13+(M67-N67*(1+M56))*INDEX($B70:N70,MAX(1,N4-1)))</f>
        <v>0.0186150250093668</v>
      </c>
      <c r="O69" s="1" t="n">
        <f aca="false">O31+IF(O4=1,0,O56*N13+(N67-O67*(1+N56))*INDEX($B70:O70,MAX(1,O4-1)))</f>
        <v>0.019588377201131</v>
      </c>
      <c r="P69" s="1" t="n">
        <f aca="false">P31+IF(P4=1,0,P56*O13+(O67-P67*(1+O56))*INDEX($B70:P70,MAX(1,P4-1)))</f>
        <v>0.0203535030065597</v>
      </c>
      <c r="Q69" s="1" t="n">
        <f aca="false">Q31+IF(Q4=1,0,Q56*P13+(P67-Q67*(1+P56))*INDEX($B70:Q70,MAX(1,Q4-1)))</f>
        <v>0.0213771702022822</v>
      </c>
      <c r="R69" s="1" t="n">
        <f aca="false">R31+IF(R4=1,0,R56*Q13+(Q67-R67*(1+Q56))*INDEX($B70:R70,MAX(1,R4-1)))</f>
        <v>0.0222518674879605</v>
      </c>
      <c r="S69" s="1" t="n">
        <f aca="false">S31+IF(S4=1,0,S56*R13+(R67-S67*(1+R56))*INDEX($B70:S70,MAX(1,S4-1)))</f>
        <v>0.0232339949731917</v>
      </c>
      <c r="T69" s="1" t="n">
        <f aca="false">T31+IF(T4=1,0,T56*S13+(S67-T67*(1+S56))*INDEX($B70:T70,MAX(1,T4-1)))</f>
        <v>0.0237647227687348</v>
      </c>
      <c r="U69" s="1" t="n">
        <f aca="false">U31+IF(U4=1,0,U56*T13+(T67-U67*(1+T56))*INDEX($B70:U70,MAX(1,U4-1)))</f>
        <v>0.0249417828065077</v>
      </c>
      <c r="V69" s="1" t="n">
        <f aca="false">V31+IF(V4=1,0,V56*U13+(U67-V67*(1+U56))*INDEX($B70:V70,MAX(1,V4-1)))</f>
        <v>0.0257219845045115</v>
      </c>
      <c r="W69" s="1" t="n">
        <f aca="false">W31+IF(W4=1,0,W56*V13+(V67-W67*(1+V56))*INDEX($B70:W70,MAX(1,W4-1)))</f>
        <v>0.0268071131963864</v>
      </c>
      <c r="X69" s="1" t="n">
        <f aca="false">X31+IF(X4=1,0,X56*W13+(W67-X67*(1+W56))*INDEX($B70:X70,MAX(1,X4-1)))</f>
        <v>0.0273841305227024</v>
      </c>
      <c r="Y69" s="1" t="n">
        <f aca="false">Y31+IF(Y4=1,0,Y56*X13+(X67-Y67*(1+X56))*INDEX($B70:Y70,MAX(1,Y4-1)))</f>
        <v>0.0285749973285352</v>
      </c>
      <c r="Z69" s="1" t="n">
        <f aca="false">Z31+IF(Z4=1,0,Z56*Y13+(Y67-Z67*(1+Y56))*INDEX($B70:Z70,MAX(1,Z4-1)))</f>
        <v>0.0295031781139841</v>
      </c>
      <c r="AA69" s="1" t="n">
        <f aca="false">AA31+IF(AA4=1,0,AA56*Z13+(Z67-AA67*(1+Z56))*INDEX($B70:AA70,MAX(1,AA4-1)))</f>
        <v>0.0303674206896937</v>
      </c>
      <c r="AB69" s="1" t="n">
        <f aca="false">AB31+IF(AB4=1,0,AB56*AA13+(AA67-AB67*(1+AA56))*INDEX($B70:AB70,MAX(1,AB4-1)))</f>
        <v>0.0315093868100681</v>
      </c>
      <c r="AC69" s="1" t="n">
        <f aca="false">AC31+IF(AC4=1,0,AC56*AB13+(AB67-AC67*(1+AB56))*INDEX($B70:AC70,MAX(1,AC4-1)))</f>
        <v>0.0322846131303441</v>
      </c>
      <c r="AD69" s="1" t="n">
        <f aca="false">AD31+IF(AD4=1,0,AD56*AC13+(AC67-AD67*(1+AC56))*INDEX($B70:AD70,MAX(1,AD4-1)))</f>
        <v>0.0333651115003754</v>
      </c>
      <c r="AE69" s="1" t="n">
        <f aca="false">AE31+IF(AE4=1,0,AE56*AD13+(AD67-AE67*(1+AD56))*INDEX($B70:AE70,MAX(1,AE4-1)))</f>
        <v>0.437081389137305</v>
      </c>
      <c r="AF69" s="1" t="n">
        <f aca="false">AF31+IF(AF4=1,0,AF56*AE13+(AE67-AF67*(1+AE56))*INDEX($B70:AF70,MAX(1,AF4-1)))</f>
        <v>-0.283545880408532</v>
      </c>
    </row>
    <row r="70" customFormat="false" ht="15" hidden="false" customHeight="false" outlineLevel="0" collapsed="false">
      <c r="A70" s="1" t="s">
        <v>737</v>
      </c>
      <c r="B70" s="1" t="n">
        <f aca="false">B10+B11</f>
        <v>10.1550569553607</v>
      </c>
      <c r="C70" s="1" t="n">
        <f aca="false">C10+C11</f>
        <v>10.721118109155</v>
      </c>
      <c r="D70" s="1" t="n">
        <f aca="false">D10+D11</f>
        <v>11.27187944205</v>
      </c>
      <c r="E70" s="1" t="n">
        <f aca="false">E10+E11</f>
        <v>11.8197527481143</v>
      </c>
      <c r="F70" s="1" t="n">
        <f aca="false">F10+F11</f>
        <v>12.3745925798032</v>
      </c>
      <c r="G70" s="1" t="n">
        <f aca="false">G10+G11</f>
        <v>12.944320327418</v>
      </c>
      <c r="H70" s="1" t="n">
        <f aca="false">H10+H11</f>
        <v>13.5351641939804</v>
      </c>
      <c r="I70" s="1" t="n">
        <f aca="false">I10+I11</f>
        <v>14.1521490595324</v>
      </c>
      <c r="J70" s="1" t="n">
        <f aca="false">J10+J11</f>
        <v>14.7995564328639</v>
      </c>
      <c r="K70" s="1" t="n">
        <f aca="false">K10+K11</f>
        <v>15.4807631233335</v>
      </c>
      <c r="L70" s="1" t="n">
        <f aca="false">L10+L11</f>
        <v>16.1989908939542</v>
      </c>
      <c r="M70" s="1" t="n">
        <f aca="false">M10+M11</f>
        <v>16.9569566065635</v>
      </c>
      <c r="N70" s="1" t="n">
        <f aca="false">N10+N11</f>
        <v>17.7572654688382</v>
      </c>
      <c r="O70" s="1" t="n">
        <f aca="false">O10+O11</f>
        <v>18.6023333385706</v>
      </c>
      <c r="P70" s="1" t="n">
        <f aca="false">P10+P11</f>
        <v>19.4940633083581</v>
      </c>
      <c r="Q70" s="1" t="n">
        <f aca="false">Q10+Q11</f>
        <v>20.4349959735608</v>
      </c>
      <c r="R70" s="1" t="n">
        <f aca="false">R10+R11</f>
        <v>21.4272971663742</v>
      </c>
      <c r="S70" s="1" t="n">
        <f aca="false">S10+S11</f>
        <v>22.4733878007875</v>
      </c>
      <c r="T70" s="1" t="n">
        <f aca="false">T10+T11</f>
        <v>23.5745598480466</v>
      </c>
      <c r="U70" s="1" t="n">
        <f aca="false">U10+U11</f>
        <v>24.7336537591894</v>
      </c>
      <c r="V70" s="1" t="n">
        <f aca="false">V10+V11</f>
        <v>25.9525271159644</v>
      </c>
      <c r="W70" s="1" t="n">
        <f aca="false">W10+W11</f>
        <v>27.2337549664731</v>
      </c>
      <c r="X70" s="1" t="n">
        <f aca="false">X10+X11</f>
        <v>28.5786238996369</v>
      </c>
      <c r="Y70" s="1" t="n">
        <f aca="false">Y10+Y11</f>
        <v>29.9898745279405</v>
      </c>
      <c r="Z70" s="1" t="n">
        <f aca="false">Z10+Z11</f>
        <v>31.4695820014367</v>
      </c>
      <c r="AA70" s="1" t="n">
        <f aca="false">AA10+AA11</f>
        <v>33.0196172845867</v>
      </c>
      <c r="AB70" s="1" t="n">
        <f aca="false">AB10+AB11</f>
        <v>34.6424756255078</v>
      </c>
      <c r="AC70" s="1" t="n">
        <f aca="false">AC10+AC11</f>
        <v>36.3396928743823</v>
      </c>
      <c r="AD70" s="1" t="n">
        <f aca="false">AD10+AD11</f>
        <v>38.1135013111555</v>
      </c>
      <c r="AE70" s="1" t="n">
        <f aca="false">AE10+AE11</f>
        <v>39.9660766863913</v>
      </c>
      <c r="AF70" s="1" t="n">
        <f aca="false">AF10+AF11</f>
        <v>41.8982936328766</v>
      </c>
    </row>
    <row r="71" customFormat="false" ht="15" hidden="false" customHeight="false" outlineLevel="0" collapsed="false">
      <c r="A71" s="1" t="s">
        <v>738</v>
      </c>
      <c r="B71" s="1" t="n">
        <f aca="false">anchor_real_cse0/anchor_shares0</f>
        <v>6.15363362082897</v>
      </c>
      <c r="C71" s="1" t="n">
        <f aca="false">INDEX(fc_cse,C4)/anchor_shares0</f>
        <v>6.4966482353945</v>
      </c>
      <c r="D71" s="1" t="n">
        <f aca="false">INDEX(fc_cse,D4)/anchor_shares0</f>
        <v>6.83039165702703</v>
      </c>
      <c r="E71" s="1" t="n">
        <f aca="false">INDEX(fc_cse,E4)/anchor_shares0</f>
        <v>7.1623850285041</v>
      </c>
      <c r="F71" s="1" t="n">
        <f aca="false">INDEX(fc_cse,F4)/anchor_shares0</f>
        <v>7.49859988751124</v>
      </c>
      <c r="G71" s="1" t="n">
        <f aca="false">INDEX(fc_cse,G4)/anchor_shares0</f>
        <v>7.84383633845907</v>
      </c>
      <c r="H71" s="1" t="n">
        <f aca="false">INDEX(fc_cse,H4)/anchor_shares0</f>
        <v>8.20186846943785</v>
      </c>
      <c r="I71" s="1" t="n">
        <f aca="false">INDEX(fc_cse,I4)/anchor_shares0</f>
        <v>8.57574119402158</v>
      </c>
      <c r="J71" s="1" t="n">
        <f aca="false">INDEX(fc_cse,J4)/anchor_shares0</f>
        <v>8.96804896702744</v>
      </c>
      <c r="K71" s="1" t="n">
        <f aca="false">INDEX(fc_cse,K4)/anchor_shares0</f>
        <v>9.38083802489624</v>
      </c>
      <c r="L71" s="1" t="n">
        <f aca="false">INDEX(fc_cse,L4)/anchor_shares0</f>
        <v>9.81606065103536</v>
      </c>
      <c r="M71" s="1" t="n">
        <f aca="false">INDEX(fc_cse,M4)/anchor_shares0</f>
        <v>10.2753631751916</v>
      </c>
      <c r="N71" s="1" t="n">
        <f aca="false">INDEX(fc_cse,N4)/anchor_shares0</f>
        <v>10.7603242683288</v>
      </c>
      <c r="O71" s="1" t="n">
        <f aca="false">INDEX(fc_cse,O4)/anchor_shares0</f>
        <v>11.27240786155</v>
      </c>
      <c r="P71" s="1" t="n">
        <f aca="false">INDEX(fc_cse,P4)/anchor_shares0</f>
        <v>11.8127671669588</v>
      </c>
      <c r="Q71" s="1" t="n">
        <f aca="false">INDEX(fc_cse,Q4)/anchor_shares0</f>
        <v>12.3829417025601</v>
      </c>
      <c r="R71" s="1" t="n">
        <f aca="false">INDEX(fc_cse,R4)/anchor_shares0</f>
        <v>12.9842438920926</v>
      </c>
      <c r="S71" s="1" t="n">
        <f aca="false">INDEX(fc_cse,S4)/anchor_shares0</f>
        <v>13.6181407305501</v>
      </c>
      <c r="T71" s="1" t="n">
        <f aca="false">INDEX(fc_cse,T4)/anchor_shares0</f>
        <v>14.2854151104101</v>
      </c>
      <c r="U71" s="1" t="n">
        <f aca="false">INDEX(fc_cse,U4)/anchor_shares0</f>
        <v>14.9877882524476</v>
      </c>
      <c r="V71" s="1" t="n">
        <f aca="false">INDEX(fc_cse,V4)/anchor_shares0</f>
        <v>15.7263857906745</v>
      </c>
      <c r="W71" s="1" t="n">
        <f aca="false">INDEX(fc_cse,W4)/anchor_shares0</f>
        <v>16.5027681203345</v>
      </c>
      <c r="X71" s="1" t="n">
        <f aca="false">INDEX(fc_cse,X4)/anchor_shares0</f>
        <v>17.3177148723915</v>
      </c>
      <c r="Y71" s="1" t="n">
        <f aca="false">INDEX(fc_cse,Y4)/anchor_shares0</f>
        <v>18.1728867687107</v>
      </c>
      <c r="Z71" s="1" t="n">
        <f aca="false">INDEX(fc_cse,Z4)/anchor_shares0</f>
        <v>19.0695412826069</v>
      </c>
      <c r="AA71" s="1" t="n">
        <f aca="false">INDEX(fc_cse,AA4)/anchor_shares0</f>
        <v>20.00881215758</v>
      </c>
      <c r="AB71" s="1" t="n">
        <f aca="false">INDEX(fc_cse,AB4)/anchor_shares0</f>
        <v>20.9922114326834</v>
      </c>
      <c r="AC71" s="1" t="n">
        <f aca="false">INDEX(fc_cse,AC4)/anchor_shares0</f>
        <v>22.0206697830831</v>
      </c>
      <c r="AD71" s="1" t="n">
        <f aca="false">INDEX(fc_cse,AD4)/anchor_shares0</f>
        <v>23.0955398976889</v>
      </c>
      <c r="AE71" s="1" t="n">
        <f aca="false">INDEX(fc_cse,AE4)/anchor_shares0</f>
        <v>24.2181402104477</v>
      </c>
      <c r="AF71" s="1" t="n">
        <f aca="false">INDEX(fc_cse,AF4)/anchor_shares0</f>
        <v>25.389000720329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2"/>
  </cols>
  <sheetData>
    <row r="1" customFormat="false" ht="15" hidden="false" customHeight="true" outlineLevel="0" collapsed="false">
      <c r="A1" s="2" t="s">
        <v>739</v>
      </c>
    </row>
    <row r="2" customFormat="false" ht="15" hidden="false" customHeight="true" outlineLevel="0" collapsed="false">
      <c r="A2" s="3" t="s">
        <v>740</v>
      </c>
    </row>
    <row r="4" customFormat="false" ht="15" hidden="false" customHeight="true" outlineLevel="0" collapsed="false">
      <c r="A4" s="23" t="s">
        <v>741</v>
      </c>
      <c r="B4" s="38" t="s">
        <v>742</v>
      </c>
      <c r="C4" s="38" t="s">
        <v>100</v>
      </c>
      <c r="D4" s="38" t="s">
        <v>743</v>
      </c>
      <c r="E4" s="38" t="s">
        <v>744</v>
      </c>
    </row>
    <row r="5" customFormat="false" ht="15" hidden="false" customHeight="true" outlineLevel="0" collapsed="false">
      <c r="A5" s="26" t="s">
        <v>745</v>
      </c>
      <c r="B5" s="30" t="n">
        <v>-0.015</v>
      </c>
      <c r="C5" s="30" t="n">
        <v>0.03</v>
      </c>
      <c r="D5" s="30" t="n">
        <v>0.025</v>
      </c>
      <c r="E5" s="30" t="n">
        <v>0</v>
      </c>
    </row>
    <row r="6" customFormat="false" ht="15" hidden="false" customHeight="true" outlineLevel="0" collapsed="false">
      <c r="A6" s="26" t="s">
        <v>746</v>
      </c>
      <c r="B6" s="30" t="n">
        <v>-0.01</v>
      </c>
      <c r="C6" s="30" t="n">
        <v>0.025</v>
      </c>
      <c r="D6" s="30" t="n">
        <v>0.03</v>
      </c>
      <c r="E6" s="30" t="n">
        <v>0</v>
      </c>
    </row>
    <row r="7" customFormat="false" ht="15" hidden="false" customHeight="true" outlineLevel="0" collapsed="false">
      <c r="A7" s="26" t="s">
        <v>747</v>
      </c>
      <c r="B7" s="30" t="n">
        <v>0</v>
      </c>
      <c r="C7" s="30" t="n">
        <v>0.03</v>
      </c>
      <c r="D7" s="30" t="n">
        <v>0.03</v>
      </c>
      <c r="E7" s="3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748</v>
      </c>
    </row>
    <row r="2" customFormat="false" ht="15" hidden="false" customHeight="true" outlineLevel="0" collapsed="false">
      <c r="A2" s="3" t="s">
        <v>749</v>
      </c>
    </row>
    <row r="4" customFormat="false" ht="15" hidden="false" customHeight="true" outlineLevel="0" collapsed="false">
      <c r="A4" s="4" t="s">
        <v>750</v>
      </c>
    </row>
    <row r="5" customFormat="false" ht="15" hidden="false" customHeight="true" outlineLevel="0" collapsed="false">
      <c r="A5" s="26" t="s">
        <v>751</v>
      </c>
      <c r="B5" s="47" t="n">
        <f aca="false">val_active*0+val_realprice</f>
        <v>327.895761050869</v>
      </c>
    </row>
    <row r="6" customFormat="false" ht="15" hidden="false" customHeight="true" outlineLevel="0" collapsed="false">
      <c r="A6" s="26" t="s">
        <v>752</v>
      </c>
      <c r="B6" s="47" t="n">
        <f aca="false">val_normalval</f>
        <v>115.601507097235</v>
      </c>
    </row>
    <row r="7" customFormat="false" ht="15" hidden="false" customHeight="true" outlineLevel="0" collapsed="false">
      <c r="A7" s="26" t="s">
        <v>753</v>
      </c>
      <c r="B7" s="47" t="n">
        <f aca="false">val_realprice-val_normalval</f>
        <v>212.294253953635</v>
      </c>
    </row>
    <row r="8" customFormat="false" ht="15" hidden="false" customHeight="true" outlineLevel="0" collapsed="false">
      <c r="A8" s="26" t="s">
        <v>754</v>
      </c>
      <c r="B8" s="46" t="n">
        <f aca="false">val_realprice/val_eps1</f>
        <v>40.3935918707263</v>
      </c>
    </row>
    <row r="9" customFormat="false" ht="15" hidden="false" customHeight="true" outlineLevel="0" collapsed="false">
      <c r="A9" s="26" t="s">
        <v>755</v>
      </c>
      <c r="B9" s="46" t="n">
        <f aca="false">val_normalPE</f>
        <v>14.3962810801327</v>
      </c>
    </row>
    <row r="10" customFormat="false" ht="15" hidden="false" customHeight="true" outlineLevel="0" collapsed="false">
      <c r="A10" s="26" t="s">
        <v>756</v>
      </c>
      <c r="B10" s="46" t="n">
        <f aca="false">val_realprice/val_eps1-val_normalPE</f>
        <v>25.9973107905936</v>
      </c>
    </row>
    <row r="12" customFormat="false" ht="15" hidden="false" customHeight="true" outlineLevel="0" collapsed="false">
      <c r="A12" s="4" t="s">
        <v>757</v>
      </c>
    </row>
    <row r="13" customFormat="false" ht="15" hidden="false" customHeight="true" outlineLevel="0" collapsed="false">
      <c r="A13" s="26" t="s">
        <v>758</v>
      </c>
      <c r="B13" s="47" t="n">
        <f aca="false">val_eps1</f>
        <v>8.1175192862336</v>
      </c>
    </row>
    <row r="14" customFormat="false" ht="15" hidden="false" customHeight="true" outlineLevel="0" collapsed="false">
      <c r="A14" s="26" t="s">
        <v>759</v>
      </c>
      <c r="B14" s="54" t="n">
        <f aca="false">val_rhoe_lr</f>
        <v>0.0694623836832437</v>
      </c>
    </row>
    <row r="15" customFormat="false" ht="15" hidden="false" customHeight="true" outlineLevel="0" collapsed="false">
      <c r="A15" s="23" t="s">
        <v>760</v>
      </c>
      <c r="B15" s="60" t="n">
        <f aca="false">B14-B13/val_realprice</f>
        <v>0.0447059816479815</v>
      </c>
      <c r="D15" s="7" t="str">
        <f aca="false">IF(B15&lt;0,"market implies real EPS DECLINE","market implies real EPS growth")</f>
        <v>market implies real EPS growth</v>
      </c>
    </row>
    <row r="17" customFormat="false" ht="15" hidden="false" customHeight="true" outlineLevel="0" collapsed="false">
      <c r="A17" s="4" t="s">
        <v>761</v>
      </c>
    </row>
    <row r="18" customFormat="false" ht="15" hidden="false" customHeight="true" outlineLevel="0" collapsed="false">
      <c r="A18" s="23" t="s">
        <v>762</v>
      </c>
      <c r="B18" s="61" t="n">
        <f aca="false">in_implied_g_start</f>
        <v>-0.08</v>
      </c>
      <c r="C18" s="61" t="n">
        <f aca="false">B18+in_implied_g_step</f>
        <v>-0.07</v>
      </c>
      <c r="D18" s="61" t="n">
        <f aca="false">C18+in_implied_g_step</f>
        <v>-0.06</v>
      </c>
      <c r="E18" s="61" t="n">
        <f aca="false">D18+in_implied_g_step</f>
        <v>-0.05</v>
      </c>
      <c r="F18" s="61" t="n">
        <f aca="false">E18+in_implied_g_step</f>
        <v>-0.04</v>
      </c>
      <c r="G18" s="61" t="n">
        <f aca="false">F18+in_implied_g_step</f>
        <v>-0.03</v>
      </c>
      <c r="H18" s="61" t="n">
        <f aca="false">G18+in_implied_g_step</f>
        <v>-0.02</v>
      </c>
      <c r="I18" s="61" t="n">
        <f aca="false">H18+in_implied_g_step</f>
        <v>-0.01</v>
      </c>
      <c r="J18" s="61" t="n">
        <f aca="false">I18+in_implied_g_step</f>
        <v>0</v>
      </c>
      <c r="K18" s="61" t="n">
        <f aca="false">J18+in_implied_g_step</f>
        <v>0.01</v>
      </c>
      <c r="L18" s="61" t="n">
        <f aca="false">K18+in_implied_g_step</f>
        <v>0.02</v>
      </c>
      <c r="M18" s="61" t="n">
        <f aca="false">L18+in_implied_g_step</f>
        <v>0.03</v>
      </c>
      <c r="N18" s="61" t="n">
        <f aca="false">M18+in_implied_g_step</f>
        <v>0.04</v>
      </c>
      <c r="O18" s="61" t="n">
        <f aca="false">N18+in_implied_g_step</f>
        <v>0.05</v>
      </c>
    </row>
    <row r="19" customFormat="false" ht="15" hidden="false" customHeight="true" outlineLevel="0" collapsed="false">
      <c r="A19" s="26" t="s">
        <v>763</v>
      </c>
      <c r="B19" s="47" t="n">
        <f aca="false">IF($B$14-B18&gt;in_tie_tol,$B$13/($B$14-B18),"n/m")</f>
        <v>54.311453398449</v>
      </c>
      <c r="C19" s="47" t="n">
        <f aca="false">IF($B$14-C18&gt;in_tie_tol,$B$13/($B$14-C18),"n/m")</f>
        <v>58.2057976627637</v>
      </c>
      <c r="D19" s="47" t="n">
        <f aca="false">IF($B$14-D18&gt;in_tie_tol,$B$13/($B$14-D18),"n/m")</f>
        <v>62.7017598107476</v>
      </c>
      <c r="E19" s="47" t="n">
        <f aca="false">IF($B$14-E18&gt;in_tie_tol,$B$13/($B$14-E18),"n/m")</f>
        <v>67.9504211782457</v>
      </c>
      <c r="F19" s="47" t="n">
        <f aca="false">IF($B$14-F18&gt;in_tie_tol,$B$13/($B$14-F18),"n/m")</f>
        <v>74.1580715958427</v>
      </c>
      <c r="G19" s="47" t="n">
        <f aca="false">IF($B$14-G18&gt;in_tie_tol,$B$13/($B$14-G18),"n/m")</f>
        <v>81.6139628433331</v>
      </c>
      <c r="H19" s="47" t="n">
        <f aca="false">IF($B$14-H18&gt;in_tie_tol,$B$13/($B$14-H18),"n/m")</f>
        <v>90.7366755951307</v>
      </c>
      <c r="I19" s="47" t="n">
        <f aca="false">IF($B$14-I18&gt;in_tie_tol,$B$13/($B$14-I18),"n/m")</f>
        <v>102.155496852347</v>
      </c>
      <c r="J19" s="47" t="n">
        <f aca="false">IF($B$14-J18&gt;in_tie_tol,$B$13/($B$14-J18),"n/m")</f>
        <v>116.862089318017</v>
      </c>
      <c r="K19" s="47" t="n">
        <f aca="false">IF($B$14-K18&gt;in_tie_tol,$B$13/($B$14-K18),"n/m")</f>
        <v>136.515201433492</v>
      </c>
      <c r="L19" s="47" t="n">
        <f aca="false">IF($B$14-L18&gt;in_tie_tol,$B$13/($B$14-L18),"n/m")</f>
        <v>164.115003802042</v>
      </c>
      <c r="M19" s="47" t="n">
        <f aca="false">IF($B$14-M18&gt;in_tie_tol,$B$13/($B$14-M18),"n/m")</f>
        <v>205.702710494916</v>
      </c>
      <c r="N19" s="47" t="n">
        <f aca="false">IF($B$14-N18&gt;in_tie_tol,$B$13/($B$14-N18),"n/m")</f>
        <v>275.521470818748</v>
      </c>
      <c r="O19" s="47" t="n">
        <f aca="false">IF($B$14-O18&gt;in_tie_tol,$B$13/($B$14-O18),"n/m")</f>
        <v>417.08761980797</v>
      </c>
    </row>
    <row r="20" customFormat="false" ht="15" hidden="false" customHeight="true" outlineLevel="0" collapsed="false">
      <c r="A20" s="7" t="s">
        <v>764</v>
      </c>
      <c r="B20" s="7" t="str">
        <f aca="false">IF(ISNUMBER(B19),IF(B19&gt;=val_realprice,"≥price","&lt;price"),"")</f>
        <v>&lt;price</v>
      </c>
      <c r="C20" s="7" t="str">
        <f aca="false">IF(ISNUMBER(C19),IF(C19&gt;=val_realprice,"≥price","&lt;price"),"")</f>
        <v>&lt;price</v>
      </c>
      <c r="D20" s="7" t="str">
        <f aca="false">IF(ISNUMBER(D19),IF(D19&gt;=val_realprice,"≥price","&lt;price"),"")</f>
        <v>&lt;price</v>
      </c>
      <c r="E20" s="7" t="str">
        <f aca="false">IF(ISNUMBER(E19),IF(E19&gt;=val_realprice,"≥price","&lt;price"),"")</f>
        <v>&lt;price</v>
      </c>
      <c r="F20" s="7" t="str">
        <f aca="false">IF(ISNUMBER(F19),IF(F19&gt;=val_realprice,"≥price","&lt;price"),"")</f>
        <v>&lt;price</v>
      </c>
      <c r="G20" s="7" t="str">
        <f aca="false">IF(ISNUMBER(G19),IF(G19&gt;=val_realprice,"≥price","&lt;price"),"")</f>
        <v>&lt;price</v>
      </c>
      <c r="H20" s="7" t="str">
        <f aca="false">IF(ISNUMBER(H19),IF(H19&gt;=val_realprice,"≥price","&lt;price"),"")</f>
        <v>&lt;price</v>
      </c>
      <c r="I20" s="7" t="str">
        <f aca="false">IF(ISNUMBER(I19),IF(I19&gt;=val_realprice,"≥price","&lt;price"),"")</f>
        <v>&lt;price</v>
      </c>
      <c r="J20" s="7" t="str">
        <f aca="false">IF(ISNUMBER(J19),IF(J19&gt;=val_realprice,"≥price","&lt;price"),"")</f>
        <v>&lt;price</v>
      </c>
      <c r="K20" s="7" t="str">
        <f aca="false">IF(ISNUMBER(K19),IF(K19&gt;=val_realprice,"≥price","&lt;price"),"")</f>
        <v>&lt;price</v>
      </c>
      <c r="L20" s="7" t="str">
        <f aca="false">IF(ISNUMBER(L19),IF(L19&gt;=val_realprice,"≥price","&lt;price"),"")</f>
        <v>&lt;price</v>
      </c>
      <c r="M20" s="7" t="str">
        <f aca="false">IF(ISNUMBER(M19),IF(M19&gt;=val_realprice,"≥price","&lt;price"),"")</f>
        <v>&lt;price</v>
      </c>
      <c r="N20" s="7" t="str">
        <f aca="false">IF(ISNUMBER(N19),IF(N19&gt;=val_realprice,"≥price","&lt;price"),"")</f>
        <v>&lt;price</v>
      </c>
      <c r="O20" s="7" t="str">
        <f aca="false">IF(ISNUMBER(O19),IF(O19&gt;=val_realprice,"≥price","&lt;price"),"")</f>
        <v>≥price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15" min="2" style="1" width="9"/>
  </cols>
  <sheetData>
    <row r="1" customFormat="false" ht="15" hidden="false" customHeight="true" outlineLevel="0" collapsed="false">
      <c r="A1" s="2" t="s">
        <v>765</v>
      </c>
    </row>
    <row r="2" customFormat="false" ht="15" hidden="false" customHeight="true" outlineLevel="0" collapsed="false">
      <c r="A2" s="3" t="s">
        <v>766</v>
      </c>
    </row>
    <row r="4" customFormat="false" ht="15" hidden="false" customHeight="true" outlineLevel="0" collapsed="false">
      <c r="A4" s="23" t="s">
        <v>767</v>
      </c>
      <c r="B4" s="50" t="n">
        <v>0</v>
      </c>
      <c r="C4" s="50" t="n">
        <v>1</v>
      </c>
      <c r="D4" s="50" t="n">
        <v>2</v>
      </c>
      <c r="E4" s="50" t="n">
        <v>3</v>
      </c>
      <c r="F4" s="50" t="n">
        <v>4</v>
      </c>
      <c r="G4" s="50" t="n">
        <v>5</v>
      </c>
      <c r="H4" s="50" t="n">
        <v>6</v>
      </c>
      <c r="I4" s="50" t="n">
        <v>7</v>
      </c>
      <c r="J4" s="50" t="n">
        <v>8</v>
      </c>
      <c r="K4" s="50" t="n">
        <v>9</v>
      </c>
      <c r="L4" s="50" t="n">
        <v>10</v>
      </c>
      <c r="M4" s="50" t="n">
        <v>11</v>
      </c>
      <c r="N4" s="50" t="n">
        <v>12</v>
      </c>
      <c r="O4" s="50" t="n">
        <v>13</v>
      </c>
      <c r="P4" s="1" t="n">
        <v>14</v>
      </c>
      <c r="Q4" s="1" t="n">
        <v>15</v>
      </c>
      <c r="R4" s="1" t="n">
        <v>16</v>
      </c>
      <c r="S4" s="1" t="n">
        <v>17</v>
      </c>
      <c r="T4" s="1" t="n">
        <v>18</v>
      </c>
      <c r="U4" s="1" t="n">
        <v>19</v>
      </c>
      <c r="V4" s="1" t="n">
        <v>20</v>
      </c>
      <c r="W4" s="1" t="n">
        <v>21</v>
      </c>
      <c r="X4" s="1" t="n">
        <v>22</v>
      </c>
      <c r="Y4" s="1" t="n">
        <v>23</v>
      </c>
      <c r="Z4" s="1" t="n">
        <v>24</v>
      </c>
      <c r="AA4" s="1" t="n">
        <v>25</v>
      </c>
      <c r="AB4" s="1" t="n">
        <v>26</v>
      </c>
      <c r="AC4" s="1" t="n">
        <v>27</v>
      </c>
      <c r="AD4" s="1" t="n">
        <v>28</v>
      </c>
      <c r="AE4" s="1" t="n">
        <v>29</v>
      </c>
      <c r="AF4" s="1" t="n">
        <v>30</v>
      </c>
    </row>
    <row r="5" customFormat="false" ht="15" hidden="false" customHeight="true" outlineLevel="0" collapsed="false">
      <c r="A5" s="26" t="s">
        <v>768</v>
      </c>
      <c r="C5" s="54" t="n">
        <f aca="false">(1+INDEX(finrate_coe,C4))*(1+INDEX(finrate_infl,C4))-1</f>
        <v>0.0817521879760002</v>
      </c>
      <c r="D5" s="54" t="n">
        <f aca="false">(1+INDEX(finrate_coe,D4))*(1+INDEX(finrate_infl,D4))-1</f>
        <v>0.0830860489545366</v>
      </c>
      <c r="E5" s="54" t="n">
        <f aca="false">(1+INDEX(finrate_coe,E4))*(1+INDEX(finrate_infl,E4))-1</f>
        <v>0.0843257387619747</v>
      </c>
      <c r="F5" s="54" t="n">
        <f aca="false">(1+INDEX(finrate_coe,F4))*(1+INDEX(finrate_infl,F4))-1</f>
        <v>0.0854845546243517</v>
      </c>
      <c r="G5" s="54" t="n">
        <f aca="false">(1+INDEX(finrate_coe,G4))*(1+INDEX(finrate_infl,G4))-1</f>
        <v>0.0865828114919918</v>
      </c>
      <c r="H5" s="54" t="n">
        <f aca="false">(1+INDEX(finrate_coe,H4))*(1+INDEX(finrate_infl,H4))-1</f>
        <v>0.0875967743399344</v>
      </c>
      <c r="I5" s="54" t="n">
        <f aca="false">(1+INDEX(finrate_coe,I4))*(1+INDEX(finrate_infl,I4))-1</f>
        <v>0.0885431482558772</v>
      </c>
      <c r="J5" s="54" t="n">
        <f aca="false">(1+INDEX(finrate_coe,J4))*(1+INDEX(finrate_infl,J4))-1</f>
        <v>0.0894268720353038</v>
      </c>
      <c r="K5" s="54" t="n">
        <f aca="false">(1+INDEX(finrate_coe,K4))*(1+INDEX(finrate_infl,K4))-1</f>
        <v>0.0902154069323558</v>
      </c>
      <c r="L5" s="54" t="n">
        <f aca="false">(1+INDEX(finrate_coe,L4))*(1+INDEX(finrate_infl,L4))-1</f>
        <v>0.0909502482306646</v>
      </c>
      <c r="M5" s="54" t="n">
        <f aca="false">(1+INDEX(finrate_coe,M4))*(1+INDEX(finrate_infl,M4))-1</f>
        <v>0.0916074763968897</v>
      </c>
      <c r="N5" s="54" t="n">
        <f aca="false">(1+INDEX(finrate_coe,N4))*(1+INDEX(finrate_infl,N4))-1</f>
        <v>0.0922106335870507</v>
      </c>
      <c r="O5" s="54" t="n">
        <f aca="false">(1+INDEX(finrate_coe,O4))*(1+INDEX(finrate_infl,O4))-1</f>
        <v>0.0927401259857448</v>
      </c>
      <c r="P5" s="36" t="n">
        <f aca="false">(1+INDEX(finrate_coe,P4))*(1+INDEX(finrate_infl,P4))-1</f>
        <v>0.0931943100382762</v>
      </c>
      <c r="Q5" s="36" t="n">
        <f aca="false">(1+INDEX(finrate_coe,Q4))*(1+INDEX(finrate_infl,Q4))-1</f>
        <v>0.0935897442565006</v>
      </c>
      <c r="R5" s="36" t="n">
        <f aca="false">(1+INDEX(finrate_coe,R4))*(1+INDEX(finrate_infl,R4))-1</f>
        <v>0.0939458298740428</v>
      </c>
      <c r="S5" s="36" t="n">
        <f aca="false">(1+INDEX(finrate_coe,S4))*(1+INDEX(finrate_infl,S4))-1</f>
        <v>0.0942536628887754</v>
      </c>
      <c r="T5" s="36" t="n">
        <f aca="false">(1+INDEX(finrate_coe,T4))*(1+INDEX(finrate_infl,T4))-1</f>
        <v>0.094441079980061</v>
      </c>
      <c r="U5" s="36" t="n">
        <f aca="false">(1+INDEX(finrate_coe,U4))*(1+INDEX(finrate_infl,U4))-1</f>
        <v>0.0946549026149199</v>
      </c>
      <c r="V5" s="36" t="n">
        <f aca="false">(1+INDEX(finrate_coe,V4))*(1+INDEX(finrate_infl,V4))-1</f>
        <v>0.0947699340289594</v>
      </c>
      <c r="W5" s="36" t="n">
        <f aca="false">(1+INDEX(finrate_coe,W4))*(1+INDEX(finrate_infl,W4))-1</f>
        <v>0.0948655199720596</v>
      </c>
      <c r="X5" s="36" t="n">
        <f aca="false">(1+INDEX(finrate_coe,X4))*(1+INDEX(finrate_infl,X4))-1</f>
        <v>0.0948799797487883</v>
      </c>
      <c r="Y5" s="36" t="n">
        <f aca="false">(1+INDEX(finrate_coe,Y4))*(1+INDEX(finrate_infl,Y4))-1</f>
        <v>0.0949061653996237</v>
      </c>
      <c r="Z5" s="36" t="n">
        <f aca="false">(1+INDEX(finrate_coe,Z4))*(1+INDEX(finrate_infl,Z4))-1</f>
        <v>0.0948567723560141</v>
      </c>
      <c r="AA5" s="36" t="n">
        <f aca="false">(1+INDEX(finrate_coe,AA4))*(1+INDEX(finrate_infl,AA4))-1</f>
        <v>0.0947531985292829</v>
      </c>
      <c r="AB5" s="36" t="n">
        <f aca="false">(1+INDEX(finrate_coe,AB4))*(1+INDEX(finrate_infl,AB4))-1</f>
        <v>0.0946497863074338</v>
      </c>
      <c r="AC5" s="36" t="n">
        <f aca="false">(1+INDEX(finrate_coe,AC4))*(1+INDEX(finrate_infl,AC4))-1</f>
        <v>0.0944981360908628</v>
      </c>
      <c r="AD5" s="36" t="n">
        <f aca="false">(1+INDEX(finrate_coe,AD4))*(1+INDEX(finrate_infl,AD4))-1</f>
        <v>0.0942993279405626</v>
      </c>
      <c r="AE5" s="36" t="n">
        <f aca="false">(1+INDEX(finrate_coe,AE4))*(1+INDEX(finrate_infl,AE4))-1</f>
        <v>0.0940831199666983</v>
      </c>
      <c r="AF5" s="36" t="n">
        <f aca="false">(1+INDEX(finrate_coe,AF4))*(1+INDEX(finrate_infl,AF4))-1</f>
        <v>0.0938215288512381</v>
      </c>
    </row>
    <row r="6" customFormat="false" ht="15" hidden="false" customHeight="true" outlineLevel="0" collapsed="false">
      <c r="A6" s="26" t="s">
        <v>769</v>
      </c>
      <c r="C6" s="54" t="n">
        <f aca="false">(1+INDEX(finrate_cod,C4))*(1+INDEX(finrate_infl,C4))-1</f>
        <v>0.05</v>
      </c>
      <c r="D6" s="54" t="n">
        <f aca="false">(1+INDEX(finrate_cod,D4))*(1+INDEX(finrate_infl,D4))-1</f>
        <v>0.05</v>
      </c>
      <c r="E6" s="54" t="n">
        <f aca="false">(1+INDEX(finrate_cod,E4))*(1+INDEX(finrate_infl,E4))-1</f>
        <v>0.05</v>
      </c>
      <c r="F6" s="54" t="n">
        <f aca="false">(1+INDEX(finrate_cod,F4))*(1+INDEX(finrate_infl,F4))-1</f>
        <v>0.05</v>
      </c>
      <c r="G6" s="54" t="n">
        <f aca="false">(1+INDEX(finrate_cod,G4))*(1+INDEX(finrate_infl,G4))-1</f>
        <v>0.05</v>
      </c>
      <c r="H6" s="54" t="n">
        <f aca="false">(1+INDEX(finrate_cod,H4))*(1+INDEX(finrate_infl,H4))-1</f>
        <v>0.05</v>
      </c>
      <c r="I6" s="54" t="n">
        <f aca="false">(1+INDEX(finrate_cod,I4))*(1+INDEX(finrate_infl,I4))-1</f>
        <v>0.05</v>
      </c>
      <c r="J6" s="54" t="n">
        <f aca="false">(1+INDEX(finrate_cod,J4))*(1+INDEX(finrate_infl,J4))-1</f>
        <v>0.05</v>
      </c>
      <c r="K6" s="54" t="n">
        <f aca="false">(1+INDEX(finrate_cod,K4))*(1+INDEX(finrate_infl,K4))-1</f>
        <v>0.05</v>
      </c>
      <c r="L6" s="54" t="n">
        <f aca="false">(1+INDEX(finrate_cod,L4))*(1+INDEX(finrate_infl,L4))-1</f>
        <v>0.05</v>
      </c>
      <c r="M6" s="54" t="n">
        <f aca="false">(1+INDEX(finrate_cod,M4))*(1+INDEX(finrate_infl,M4))-1</f>
        <v>0.05</v>
      </c>
      <c r="N6" s="54" t="n">
        <f aca="false">(1+INDEX(finrate_cod,N4))*(1+INDEX(finrate_infl,N4))-1</f>
        <v>0.05</v>
      </c>
      <c r="O6" s="54" t="n">
        <f aca="false">(1+INDEX(finrate_cod,O4))*(1+INDEX(finrate_infl,O4))-1</f>
        <v>0.05</v>
      </c>
      <c r="P6" s="36" t="n">
        <f aca="false">(1+INDEX(finrate_cod,P4))*(1+INDEX(finrate_infl,P4))-1</f>
        <v>0.05</v>
      </c>
      <c r="Q6" s="36" t="n">
        <f aca="false">(1+INDEX(finrate_cod,Q4))*(1+INDEX(finrate_infl,Q4))-1</f>
        <v>0.05</v>
      </c>
      <c r="R6" s="36" t="n">
        <f aca="false">(1+INDEX(finrate_cod,R4))*(1+INDEX(finrate_infl,R4))-1</f>
        <v>0.0499999999999998</v>
      </c>
      <c r="S6" s="36" t="n">
        <f aca="false">(1+INDEX(finrate_cod,S4))*(1+INDEX(finrate_infl,S4))-1</f>
        <v>0.05</v>
      </c>
      <c r="T6" s="36" t="n">
        <f aca="false">(1+INDEX(finrate_cod,T4))*(1+INDEX(finrate_infl,T4))-1</f>
        <v>0.05</v>
      </c>
      <c r="U6" s="36" t="n">
        <f aca="false">(1+INDEX(finrate_cod,U4))*(1+INDEX(finrate_infl,U4))-1</f>
        <v>0.0500000000000003</v>
      </c>
      <c r="V6" s="36" t="n">
        <f aca="false">(1+INDEX(finrate_cod,V4))*(1+INDEX(finrate_infl,V4))-1</f>
        <v>0.0499999999999998</v>
      </c>
      <c r="W6" s="36" t="n">
        <f aca="false">(1+INDEX(finrate_cod,W4))*(1+INDEX(finrate_infl,W4))-1</f>
        <v>0.05</v>
      </c>
      <c r="X6" s="36" t="n">
        <f aca="false">(1+INDEX(finrate_cod,X4))*(1+INDEX(finrate_infl,X4))-1</f>
        <v>0.05</v>
      </c>
      <c r="Y6" s="36" t="n">
        <f aca="false">(1+INDEX(finrate_cod,Y4))*(1+INDEX(finrate_infl,Y4))-1</f>
        <v>0.05</v>
      </c>
      <c r="Z6" s="36" t="n">
        <f aca="false">(1+INDEX(finrate_cod,Z4))*(1+INDEX(finrate_infl,Z4))-1</f>
        <v>0.05</v>
      </c>
      <c r="AA6" s="36" t="n">
        <f aca="false">(1+INDEX(finrate_cod,AA4))*(1+INDEX(finrate_infl,AA4))-1</f>
        <v>0.05</v>
      </c>
      <c r="AB6" s="36" t="n">
        <f aca="false">(1+INDEX(finrate_cod,AB4))*(1+INDEX(finrate_infl,AB4))-1</f>
        <v>0.05</v>
      </c>
      <c r="AC6" s="36" t="n">
        <f aca="false">(1+INDEX(finrate_cod,AC4))*(1+INDEX(finrate_infl,AC4))-1</f>
        <v>0.05</v>
      </c>
      <c r="AD6" s="36" t="n">
        <f aca="false">(1+INDEX(finrate_cod,AD4))*(1+INDEX(finrate_infl,AD4))-1</f>
        <v>0.05</v>
      </c>
      <c r="AE6" s="36" t="n">
        <f aca="false">(1+INDEX(finrate_cod,AE4))*(1+INDEX(finrate_infl,AE4))-1</f>
        <v>0.510518248170535</v>
      </c>
      <c r="AF6" s="36" t="n">
        <f aca="false">(1+INDEX(finrate_cod,AF4))*(1+INDEX(finrate_infl,AF4))-1</f>
        <v>0.0692663936860307</v>
      </c>
    </row>
    <row r="7" customFormat="false" ht="15" hidden="false" customHeight="true" outlineLevel="0" collapsed="false">
      <c r="A7" s="26" t="s">
        <v>770</v>
      </c>
      <c r="B7" s="42" t="n">
        <f aca="false">anchor_ni0</f>
        <v>0.115710470488936</v>
      </c>
      <c r="C7" s="42" t="n">
        <f aca="false">INDEX(fc_ni,C4)</f>
        <v>0.121803376889935</v>
      </c>
      <c r="D7" s="42" t="n">
        <f aca="false">INDEX(fc_ni,D4)</f>
        <v>0.128604531852659</v>
      </c>
      <c r="E7" s="42" t="n">
        <f aca="false">INDEX(fc_ni,E4)</f>
        <v>0.135499528716485</v>
      </c>
      <c r="F7" s="42" t="n">
        <f aca="false">INDEX(fc_ni,F4)</f>
        <v>0.142569573264181</v>
      </c>
      <c r="G7" s="42" t="n">
        <f aca="false">INDEX(fc_ni,G4)</f>
        <v>0.00743237399733874</v>
      </c>
      <c r="H7" s="42" t="n">
        <f aca="false">INDEX(fc_ni,H4)</f>
        <v>0.0079392685882044</v>
      </c>
      <c r="I7" s="42" t="n">
        <f aca="false">INDEX(fc_ni,I4)</f>
        <v>0.00842547181446266</v>
      </c>
      <c r="J7" s="42" t="n">
        <f aca="false">INDEX(fc_ni,J4)</f>
        <v>0.00890286921911388</v>
      </c>
      <c r="K7" s="42" t="n">
        <f aca="false">INDEX(fc_ni,K4)</f>
        <v>0.0093791461880432</v>
      </c>
      <c r="L7" s="42" t="n">
        <f aca="false">INDEX(fc_ni,L4)</f>
        <v>0.00986403242932235</v>
      </c>
      <c r="M7" s="42" t="n">
        <f aca="false">INDEX(fc_ni,M4)</f>
        <v>0.0103615622172654</v>
      </c>
      <c r="N7" s="42" t="n">
        <f aca="false">INDEX(fc_ni,N4)</f>
        <v>0.0108783787523182</v>
      </c>
      <c r="O7" s="42" t="n">
        <f aca="false">INDEX(fc_ni,O4)</f>
        <v>0.0114153090177913</v>
      </c>
      <c r="P7" s="26" t="n">
        <f aca="false">INDEX(fc_ni,P4)</f>
        <v>0.0119782100074495</v>
      </c>
      <c r="Q7" s="26" t="n">
        <f aca="false">INDEX(fc_ni,Q4)</f>
        <v>0.0125652213745199</v>
      </c>
      <c r="R7" s="26" t="n">
        <f aca="false">INDEX(fc_ni,R4)</f>
        <v>0.0131850798683021</v>
      </c>
      <c r="S7" s="26" t="n">
        <f aca="false">INDEX(fc_ni,S4)</f>
        <v>0.0138355925593489</v>
      </c>
      <c r="T7" s="26" t="n">
        <f aca="false">INDEX(fc_ni,T4)</f>
        <v>0.0145137707641461</v>
      </c>
      <c r="U7" s="26" t="n">
        <f aca="false">INDEX(fc_ni,U4)</f>
        <v>0.0152355855125362</v>
      </c>
      <c r="V7" s="26" t="n">
        <f aca="false">INDEX(fc_ni,V4)</f>
        <v>0.0159857950852941</v>
      </c>
      <c r="W7" s="26" t="n">
        <f aca="false">INDEX(fc_ni,W4)</f>
        <v>0.0167758297074845</v>
      </c>
      <c r="X7" s="26" t="n">
        <f aca="false">INDEX(fc_ni,X4)</f>
        <v>0.0176041487327597</v>
      </c>
      <c r="Y7" s="26" t="n">
        <f aca="false">INDEX(fc_ni,Y4)</f>
        <v>0.0184805654818387</v>
      </c>
      <c r="Z7" s="26" t="n">
        <f aca="false">INDEX(fc_ni,Z4)</f>
        <v>0.0193906258736423</v>
      </c>
      <c r="AA7" s="26" t="n">
        <f aca="false">INDEX(fc_ni,AA4)</f>
        <v>0.0203415127162474</v>
      </c>
      <c r="AB7" s="26" t="n">
        <f aca="false">INDEX(fc_ni,AB4)</f>
        <v>0.0213436473299623</v>
      </c>
      <c r="AC7" s="26" t="n">
        <f aca="false">INDEX(fc_ni,AC4)</f>
        <v>0.0223928019198266</v>
      </c>
      <c r="AD7" s="26" t="n">
        <f aca="false">INDEX(fc_ni,AD4)</f>
        <v>0.0234823763190357</v>
      </c>
      <c r="AE7" s="26" t="n">
        <f aca="false">INDEX(fc_ni,AE4)</f>
        <v>0.0246230022033356</v>
      </c>
      <c r="AF7" s="26" t="n">
        <f aca="false">INDEX(fc_ni,AF4)</f>
        <v>0.025817098090821</v>
      </c>
    </row>
    <row r="8" customFormat="false" ht="15" hidden="false" customHeight="true" outlineLevel="0" collapsed="false">
      <c r="A8" s="26" t="s">
        <v>771</v>
      </c>
      <c r="B8" s="42" t="n">
        <f aca="false">anchor_oi_at0</f>
        <v>0.115710470488936</v>
      </c>
      <c r="C8" s="42" t="n">
        <f aca="false">INDEX(fc_oiat,C4)</f>
        <v>0.123004684363485</v>
      </c>
      <c r="D8" s="42" t="n">
        <f aca="false">INDEX(fc_oiat,D4)</f>
        <v>0.130143062817303</v>
      </c>
      <c r="E8" s="42" t="n">
        <f aca="false">INDEX(fc_oiat,E4)</f>
        <v>0.13729695949976</v>
      </c>
      <c r="F8" s="42" t="n">
        <f aca="false">INDEX(fc_oiat,F4)</f>
        <v>0.144567790079456</v>
      </c>
      <c r="G8" s="42" t="n">
        <f aca="false">INDEX(fc_oiat,G4)</f>
        <v>0.00958874834615285</v>
      </c>
      <c r="H8" s="42" t="n">
        <f aca="false">INDEX(fc_oiat,H4)</f>
        <v>0.0102244227632885</v>
      </c>
      <c r="I8" s="42" t="n">
        <f aca="false">INDEX(fc_oiat,I4)</f>
        <v>0.0108197085254004</v>
      </c>
      <c r="J8" s="42" t="n">
        <f aca="false">INDEX(fc_oiat,J4)</f>
        <v>0.011392989217934</v>
      </c>
      <c r="K8" s="42" t="n">
        <f aca="false">INDEX(fc_oiat,K4)</f>
        <v>0.0119590518944793</v>
      </c>
      <c r="L8" s="42" t="n">
        <f aca="false">INDEX(fc_oiat,L4)</f>
        <v>0.012530005829162</v>
      </c>
      <c r="M8" s="42" t="n">
        <f aca="false">INDEX(fc_oiat,M4)</f>
        <v>0.0131142147194668</v>
      </c>
      <c r="N8" s="42" t="n">
        <f aca="false">INDEX(fc_oiat,N4)</f>
        <v>0.0137201607705784</v>
      </c>
      <c r="O8" s="42" t="n">
        <f aca="false">INDEX(fc_oiat,O4)</f>
        <v>0.0143509090303434</v>
      </c>
      <c r="P8" s="26" t="n">
        <f aca="false">INDEX(fc_oiat,P4)</f>
        <v>0.0150163368166471</v>
      </c>
      <c r="Q8" s="26" t="n">
        <f aca="false">INDEX(fc_oiat,Q4)</f>
        <v>0.0157117435415541</v>
      </c>
      <c r="R8" s="26" t="n">
        <f aca="false">INDEX(fc_oiat,R4)</f>
        <v>0.0164491451111485</v>
      </c>
      <c r="S8" s="26" t="n">
        <f aca="false">INDEX(fc_oiat,S4)</f>
        <v>0.0172258298161347</v>
      </c>
      <c r="T8" s="26" t="n">
        <f aca="false">INDEX(fc_oiat,T4)</f>
        <v>0.0180463857887362</v>
      </c>
      <c r="U8" s="26" t="n">
        <f aca="false">INDEX(fc_oiat,U4)</f>
        <v>0.0189184202829538</v>
      </c>
      <c r="V8" s="26" t="n">
        <f aca="false">INDEX(fc_oiat,V4)</f>
        <v>0.019833610331388</v>
      </c>
      <c r="W8" s="26" t="n">
        <f aca="false">INDEX(fc_oiat,W4)</f>
        <v>0.0208000646507485</v>
      </c>
      <c r="X8" s="26" t="n">
        <f aca="false">INDEX(fc_oiat,X4)</f>
        <v>0.0218248073342219</v>
      </c>
      <c r="Y8" s="26" t="n">
        <f aca="false">INDEX(fc_oiat,Y4)</f>
        <v>0.0229098304067676</v>
      </c>
      <c r="Z8" s="26" t="n">
        <f aca="false">INDEX(fc_oiat,Z4)</f>
        <v>0.0240457237442825</v>
      </c>
      <c r="AA8" s="26" t="n">
        <f aca="false">INDEX(fc_oiat,AA4)</f>
        <v>0.0252417606606284</v>
      </c>
      <c r="AB8" s="26" t="n">
        <f aca="false">INDEX(fc_oiat,AB4)</f>
        <v>0.0265055843552041</v>
      </c>
      <c r="AC8" s="26" t="n">
        <f aca="false">INDEX(fc_oiat,AC4)</f>
        <v>0.0278395985658282</v>
      </c>
      <c r="AD8" s="26" t="n">
        <f aca="false">INDEX(fc_oiat,AD4)</f>
        <v>0.0292338614547494</v>
      </c>
      <c r="AE8" s="26" t="n">
        <f aca="false">INDEX(fc_oiat,AE4)</f>
        <v>0.134475572040246</v>
      </c>
      <c r="AF8" s="26" t="n">
        <f aca="false">INDEX(fc_oiat,AF4)</f>
        <v>0.0368024388290079</v>
      </c>
    </row>
    <row r="9" customFormat="false" ht="15" hidden="false" customHeight="true" outlineLevel="0" collapsed="false">
      <c r="A9" s="26" t="s">
        <v>772</v>
      </c>
      <c r="B9" s="42" t="n">
        <f aca="false">anchor_real_cse0</f>
        <v>0.0923352724805388</v>
      </c>
      <c r="C9" s="42" t="n">
        <f aca="false">INDEX(fc_cse,C4)</f>
        <v>0.0974822067720945</v>
      </c>
      <c r="D9" s="42" t="n">
        <f aca="false">INDEX(fc_cse,D4)</f>
        <v>0.102490026813691</v>
      </c>
      <c r="E9" s="42" t="n">
        <f aca="false">INDEX(fc_cse,E4)</f>
        <v>0.107471587352704</v>
      </c>
      <c r="F9" s="42" t="n">
        <f aca="false">INDEX(fc_cse,F4)</f>
        <v>0.112516491312106</v>
      </c>
      <c r="G9" s="42" t="n">
        <f aca="false">INDEX(fc_cse,G4)</f>
        <v>0.117696764258578</v>
      </c>
      <c r="H9" s="42" t="n">
        <f aca="false">INDEX(fc_cse,H4)</f>
        <v>0.123069036383915</v>
      </c>
      <c r="I9" s="42" t="n">
        <f aca="false">INDEX(fc_cse,I4)</f>
        <v>0.128678996616294</v>
      </c>
      <c r="J9" s="42" t="n">
        <f aca="false">INDEX(fc_cse,J4)</f>
        <v>0.134565574750247</v>
      </c>
      <c r="K9" s="42" t="n">
        <f aca="false">INDEX(fc_cse,K4)</f>
        <v>0.140759474563568</v>
      </c>
      <c r="L9" s="42" t="n">
        <f aca="false">INDEX(fc_cse,L4)</f>
        <v>0.147289990068786</v>
      </c>
      <c r="M9" s="42" t="n">
        <f aca="false">INDEX(fc_cse,M4)</f>
        <v>0.154181824443751</v>
      </c>
      <c r="N9" s="42" t="n">
        <f aca="false">INDEX(fc_cse,N4)</f>
        <v>0.161458665646273</v>
      </c>
      <c r="O9" s="42" t="n">
        <f aca="false">INDEX(fc_cse,O4)</f>
        <v>0.169142479962558</v>
      </c>
      <c r="P9" s="26" t="n">
        <f aca="false">INDEX(fc_cse,P4)</f>
        <v>0.177250571340216</v>
      </c>
      <c r="Q9" s="26" t="n">
        <f aca="false">INDEX(fc_cse,Q4)</f>
        <v>0.185806040246914</v>
      </c>
      <c r="R9" s="26" t="n">
        <f aca="false">INDEX(fc_cse,R4)</f>
        <v>0.194828579600849</v>
      </c>
      <c r="S9" s="26" t="n">
        <f aca="false">INDEX(fc_cse,S4)</f>
        <v>0.204340201661905</v>
      </c>
      <c r="T9" s="26" t="n">
        <f aca="false">INDEX(fc_cse,T4)</f>
        <v>0.214352653731704</v>
      </c>
      <c r="U9" s="26" t="n">
        <f aca="false">INDEX(fc_cse,U4)</f>
        <v>0.224891762727976</v>
      </c>
      <c r="V9" s="26" t="n">
        <f aca="false">INDEX(fc_cse,V4)</f>
        <v>0.235974418789071</v>
      </c>
      <c r="W9" s="26" t="n">
        <f aca="false">INDEX(fc_cse,W4)</f>
        <v>0.247624035645619</v>
      </c>
      <c r="X9" s="26" t="n">
        <f aca="false">INDEX(fc_cse,X4)</f>
        <v>0.259852311660234</v>
      </c>
      <c r="Y9" s="26" t="n">
        <f aca="false">INDEX(fc_cse,Y4)</f>
        <v>0.272684165964504</v>
      </c>
      <c r="Z9" s="26" t="n">
        <f aca="false">INDEX(fc_cse,Z4)</f>
        <v>0.286138466945517</v>
      </c>
      <c r="AA9" s="26" t="n">
        <f aca="false">INDEX(fc_cse,AA4)</f>
        <v>0.300232226424488</v>
      </c>
      <c r="AB9" s="26" t="n">
        <f aca="false">INDEX(fc_cse,AB4)</f>
        <v>0.314988132547414</v>
      </c>
      <c r="AC9" s="26" t="n">
        <f aca="false">INDEX(fc_cse,AC4)</f>
        <v>0.330420150095161</v>
      </c>
      <c r="AD9" s="26" t="n">
        <f aca="false">INDEX(fc_cse,AD4)</f>
        <v>0.346548576164822</v>
      </c>
      <c r="AE9" s="26" t="n">
        <f aca="false">INDEX(fc_cse,AE4)</f>
        <v>0.363393193857767</v>
      </c>
      <c r="AF9" s="26" t="n">
        <f aca="false">INDEX(fc_cse,AF4)</f>
        <v>0.380961955808537</v>
      </c>
    </row>
    <row r="10" customFormat="false" ht="15" hidden="false" customHeight="true" outlineLevel="0" collapsed="false">
      <c r="A10" s="26" t="s">
        <v>773</v>
      </c>
      <c r="B10" s="42" t="n">
        <f aca="false">anchor_real_noa0</f>
        <v>0.152376629615187</v>
      </c>
      <c r="C10" s="42" t="n">
        <f aca="false">INDEX(fc_noa,C4)</f>
        <v>0.160870377227871</v>
      </c>
      <c r="D10" s="42" t="n">
        <f aca="false">INDEX(fc_noa,D4)</f>
        <v>0.16913455102796</v>
      </c>
      <c r="E10" s="42" t="n">
        <f aca="false">INDEX(fc_noa,E4)</f>
        <v>0.177355389985455</v>
      </c>
      <c r="F10" s="42" t="n">
        <f aca="false">INDEX(fc_noa,F4)</f>
        <v>0.185680761659947</v>
      </c>
      <c r="G10" s="42" t="n">
        <f aca="false">INDEX(fc_noa,G4)</f>
        <v>0.194229526512908</v>
      </c>
      <c r="H10" s="42" t="n">
        <f aca="false">INDEX(fc_noa,H4)</f>
        <v>0.203095138730676</v>
      </c>
      <c r="I10" s="42" t="n">
        <f aca="false">INDEX(fc_noa,I4)</f>
        <v>0.212352996638284</v>
      </c>
      <c r="J10" s="42" t="n">
        <f aca="false">INDEX(fc_noa,J4)</f>
        <v>0.222067344275123</v>
      </c>
      <c r="K10" s="42" t="n">
        <f aca="false">INDEX(fc_noa,K4)</f>
        <v>0.232288850665619</v>
      </c>
      <c r="L10" s="42" t="n">
        <f aca="false">INDEX(fc_noa,L4)</f>
        <v>0.243065858363782</v>
      </c>
      <c r="M10" s="42" t="n">
        <f aca="false">INDEX(fc_noa,M4)</f>
        <v>0.254439133881485</v>
      </c>
      <c r="N10" s="42" t="n">
        <f aca="false">INDEX(fc_noa,N4)</f>
        <v>0.266447768359917</v>
      </c>
      <c r="O10" s="42" t="n">
        <f aca="false">INDEX(fc_noa,O4)</f>
        <v>0.279128011745251</v>
      </c>
      <c r="P10" s="26" t="n">
        <f aca="false">INDEX(fc_noa,P4)</f>
        <v>0.292508419941913</v>
      </c>
      <c r="Q10" s="26" t="n">
        <f aca="false">INDEX(fc_noa,Q4)</f>
        <v>0.30662711458328</v>
      </c>
      <c r="R10" s="26" t="n">
        <f aca="false">INDEX(fc_noa,R4)</f>
        <v>0.321516593981445</v>
      </c>
      <c r="S10" s="26" t="n">
        <f aca="false">INDEX(fc_noa,S4)</f>
        <v>0.337213183950816</v>
      </c>
      <c r="T10" s="26" t="n">
        <f aca="false">INDEX(fc_noa,T4)</f>
        <v>0.35373627051994</v>
      </c>
      <c r="U10" s="26" t="n">
        <f aca="false">INDEX(fc_noa,U4)</f>
        <v>0.371128474656637</v>
      </c>
      <c r="V10" s="26" t="n">
        <f aca="false">INDEX(fc_noa,V4)</f>
        <v>0.389417669375046</v>
      </c>
      <c r="W10" s="26" t="n">
        <f aca="false">INDEX(fc_noa,W4)</f>
        <v>0.408642493271929</v>
      </c>
      <c r="X10" s="26" t="n">
        <f aca="false">INDEX(fc_noa,X4)</f>
        <v>0.428822251614052</v>
      </c>
      <c r="Y10" s="26" t="n">
        <f aca="false">INDEX(fc_noa,Y4)</f>
        <v>0.449998067291748</v>
      </c>
      <c r="Z10" s="26" t="n">
        <f aca="false">INDEX(fc_noa,Z4)</f>
        <v>0.472201077931557</v>
      </c>
      <c r="AA10" s="26" t="n">
        <f aca="false">INDEX(fc_noa,AA4)</f>
        <v>0.495459357355223</v>
      </c>
      <c r="AB10" s="26" t="n">
        <f aca="false">INDEX(fc_noa,AB4)</f>
        <v>0.519810346760745</v>
      </c>
      <c r="AC10" s="26" t="n">
        <f aca="false">INDEX(fc_noa,AC4)</f>
        <v>0.545277091580107</v>
      </c>
      <c r="AD10" s="26" t="n">
        <f aca="false">INDEX(fc_noa,AD4)</f>
        <v>0.571893087173888</v>
      </c>
      <c r="AE10" s="26" t="n">
        <f aca="false">INDEX(fc_noa,AE4)</f>
        <v>0.599690980679301</v>
      </c>
      <c r="AF10" s="26" t="n">
        <f aca="false">INDEX(fc_noa,AF4)</f>
        <v>0.628683895961314</v>
      </c>
    </row>
    <row r="11" customFormat="false" ht="15" hidden="false" customHeight="true" outlineLevel="0" collapsed="false">
      <c r="A11" s="26" t="s">
        <v>774</v>
      </c>
      <c r="B11" s="42" t="n">
        <f aca="false">anchor_real_nfo0</f>
        <v>0.0600413571346481</v>
      </c>
      <c r="C11" s="42" t="n">
        <f aca="false">INDEX(fc_nfo,C4)</f>
        <v>0.0633881704557762</v>
      </c>
      <c r="D11" s="42" t="n">
        <f aca="false">INDEX(fc_nfo,D4)</f>
        <v>0.0666445242142696</v>
      </c>
      <c r="E11" s="42" t="n">
        <f aca="false">INDEX(fc_nfo,E4)</f>
        <v>0.0698838026327507</v>
      </c>
      <c r="F11" s="42" t="n">
        <f aca="false">INDEX(fc_nfo,F4)</f>
        <v>0.0731642703478409</v>
      </c>
      <c r="G11" s="42" t="n">
        <f aca="false">INDEX(fc_nfo,G4)</f>
        <v>0.0765327622543293</v>
      </c>
      <c r="H11" s="42" t="n">
        <f aca="false">INDEX(fc_nfo,H4)</f>
        <v>0.0800261023467608</v>
      </c>
      <c r="I11" s="42" t="n">
        <f aca="false">INDEX(fc_nfo,I4)</f>
        <v>0.0836740000219901</v>
      </c>
      <c r="J11" s="42" t="n">
        <f aca="false">INDEX(fc_nfo,J4)</f>
        <v>0.0875017695248763</v>
      </c>
      <c r="K11" s="42" t="n">
        <f aca="false">INDEX(fc_nfo,K4)</f>
        <v>0.0915293761020511</v>
      </c>
      <c r="L11" s="42" t="n">
        <f aca="false">INDEX(fc_nfo,L4)</f>
        <v>0.0957758682949968</v>
      </c>
      <c r="M11" s="42" t="n">
        <f aca="false">INDEX(fc_nfo,M4)</f>
        <v>0.100257309437734</v>
      </c>
      <c r="N11" s="42" t="n">
        <f aca="false">INDEX(fc_nfo,N4)</f>
        <v>0.104989102713644</v>
      </c>
      <c r="O11" s="42" t="n">
        <f aca="false">INDEX(fc_nfo,O4)</f>
        <v>0.109985531782694</v>
      </c>
      <c r="P11" s="26" t="n">
        <f aca="false">INDEX(fc_nfo,P4)</f>
        <v>0.115257848601697</v>
      </c>
      <c r="Q11" s="26" t="n">
        <f aca="false">INDEX(fc_nfo,Q4)</f>
        <v>0.120821074336366</v>
      </c>
      <c r="R11" s="26" t="n">
        <f aca="false">INDEX(fc_nfo,R4)</f>
        <v>0.126688014380596</v>
      </c>
      <c r="S11" s="26" t="n">
        <f aca="false">INDEX(fc_nfo,S4)</f>
        <v>0.132872982288911</v>
      </c>
      <c r="T11" s="26" t="n">
        <f aca="false">INDEX(fc_nfo,T4)</f>
        <v>0.139383616788236</v>
      </c>
      <c r="U11" s="26" t="n">
        <f aca="false">INDEX(fc_nfo,U4)</f>
        <v>0.146236711928661</v>
      </c>
      <c r="V11" s="26" t="n">
        <f aca="false">INDEX(fc_nfo,V4)</f>
        <v>0.153443250585975</v>
      </c>
      <c r="W11" s="26" t="n">
        <f aca="false">INDEX(fc_nfo,W4)</f>
        <v>0.16101845762631</v>
      </c>
      <c r="X11" s="26" t="n">
        <f aca="false">INDEX(fc_nfo,X4)</f>
        <v>0.168969939953817</v>
      </c>
      <c r="Y11" s="26" t="n">
        <f aca="false">INDEX(fc_nfo,Y4)</f>
        <v>0.177313901327244</v>
      </c>
      <c r="Z11" s="26" t="n">
        <f aca="false">INDEX(fc_nfo,Z4)</f>
        <v>0.18606261098604</v>
      </c>
      <c r="AA11" s="26" t="n">
        <f aca="false">INDEX(fc_nfo,AA4)</f>
        <v>0.195227130930735</v>
      </c>
      <c r="AB11" s="26" t="n">
        <f aca="false">INDEX(fc_nfo,AB4)</f>
        <v>0.204822214213331</v>
      </c>
      <c r="AC11" s="26" t="n">
        <f aca="false">INDEX(fc_nfo,AC4)</f>
        <v>0.214856941484945</v>
      </c>
      <c r="AD11" s="26" t="n">
        <f aca="false">INDEX(fc_nfo,AD4)</f>
        <v>0.225344511009066</v>
      </c>
      <c r="AE11" s="26" t="n">
        <f aca="false">INDEX(fc_nfo,AE4)</f>
        <v>0.236297786821534</v>
      </c>
      <c r="AF11" s="26" t="n">
        <f aca="false">INDEX(fc_nfo,AF4)</f>
        <v>0.247721940152777</v>
      </c>
    </row>
    <row r="12" customFormat="false" ht="15" hidden="false" customHeight="true" outlineLevel="0" collapsed="false">
      <c r="A12" s="26" t="s">
        <v>775</v>
      </c>
      <c r="C12" s="42" t="n">
        <f aca="false">C8-C7</f>
        <v>0.00120130747355006</v>
      </c>
      <c r="D12" s="42" t="n">
        <f aca="false">D8-D7</f>
        <v>0.00153853096464343</v>
      </c>
      <c r="E12" s="42" t="n">
        <f aca="false">E8-E7</f>
        <v>0.00179743078327516</v>
      </c>
      <c r="F12" s="42" t="n">
        <f aca="false">F8-F7</f>
        <v>0.00199821681527512</v>
      </c>
      <c r="G12" s="42" t="n">
        <f aca="false">G8-G7</f>
        <v>0.00215637434881411</v>
      </c>
      <c r="H12" s="42" t="n">
        <f aca="false">H8-H7</f>
        <v>0.00228515417508408</v>
      </c>
      <c r="I12" s="42" t="n">
        <f aca="false">I8-I7</f>
        <v>0.0023942367109377</v>
      </c>
      <c r="J12" s="42" t="n">
        <f aca="false">J8-J7</f>
        <v>0.0024901199988201</v>
      </c>
      <c r="K12" s="42" t="n">
        <f aca="false">K8-K7</f>
        <v>0.00257990570643606</v>
      </c>
      <c r="L12" s="42" t="n">
        <f aca="false">L8-L7</f>
        <v>0.00266597339983966</v>
      </c>
      <c r="M12" s="42" t="n">
        <f aca="false">M8-M7</f>
        <v>0.00275265250220141</v>
      </c>
      <c r="N12" s="42" t="n">
        <f aca="false">N8-N7</f>
        <v>0.00284178201826023</v>
      </c>
      <c r="O12" s="42" t="n">
        <f aca="false">O8-O7</f>
        <v>0.00293560001255217</v>
      </c>
      <c r="P12" s="26" t="n">
        <f aca="false">P8-P7</f>
        <v>0.00303812680919757</v>
      </c>
      <c r="Q12" s="26" t="n">
        <f aca="false">Q8-Q7</f>
        <v>0.00314652216703413</v>
      </c>
      <c r="R12" s="26" t="n">
        <f aca="false">R8-R7</f>
        <v>0.00326406524284635</v>
      </c>
      <c r="S12" s="26" t="n">
        <f aca="false">S8-S7</f>
        <v>0.00339023725678582</v>
      </c>
      <c r="T12" s="26" t="n">
        <f aca="false">T8-T7</f>
        <v>0.00353261502459003</v>
      </c>
      <c r="U12" s="26" t="n">
        <f aca="false">U8-U7</f>
        <v>0.00368283477041767</v>
      </c>
      <c r="V12" s="26" t="n">
        <f aca="false">V8-V7</f>
        <v>0.00384781524609389</v>
      </c>
      <c r="W12" s="26" t="n">
        <f aca="false">W8-W7</f>
        <v>0.00402423494326406</v>
      </c>
      <c r="X12" s="26" t="n">
        <f aca="false">X8-X7</f>
        <v>0.00422065860146222</v>
      </c>
      <c r="Y12" s="26" t="n">
        <f aca="false">Y8-Y7</f>
        <v>0.00442926492492896</v>
      </c>
      <c r="Z12" s="26" t="n">
        <f aca="false">Z8-Z7</f>
        <v>0.00465509787064014</v>
      </c>
      <c r="AA12" s="26" t="n">
        <f aca="false">AA8-AA7</f>
        <v>0.00490024794438097</v>
      </c>
      <c r="AB12" s="26" t="n">
        <f aca="false">AB8-AB7</f>
        <v>0.00516193702524184</v>
      </c>
      <c r="AC12" s="26" t="n">
        <f aca="false">AC8-AC7</f>
        <v>0.00544679664600164</v>
      </c>
      <c r="AD12" s="26" t="n">
        <f aca="false">AD8-AD7</f>
        <v>0.00575148513571364</v>
      </c>
      <c r="AE12" s="26" t="n">
        <f aca="false">AE8-AE7</f>
        <v>0.10985256983691</v>
      </c>
      <c r="AF12" s="26" t="n">
        <f aca="false">AF8-AF7</f>
        <v>0.0109853407381869</v>
      </c>
    </row>
    <row r="13" customFormat="false" ht="15" hidden="false" customHeight="true" outlineLevel="0" collapsed="false">
      <c r="A13" s="26" t="s">
        <v>776</v>
      </c>
      <c r="C13" s="46" t="n">
        <f aca="false">IF(B9=0,"",B11/B9)</f>
        <v>0.650253749424986</v>
      </c>
      <c r="D13" s="46" t="n">
        <f aca="false">IF(C9=0,"",C11/C9)</f>
        <v>0.650253749424986</v>
      </c>
      <c r="E13" s="46" t="n">
        <f aca="false">IF(D9=0,"",D11/D9)</f>
        <v>0.650253749424986</v>
      </c>
      <c r="F13" s="46" t="n">
        <f aca="false">IF(E9=0,"",E11/E9)</f>
        <v>0.650253749424986</v>
      </c>
      <c r="G13" s="46" t="n">
        <f aca="false">IF(F9=0,"",F11/F9)</f>
        <v>0.650253749424986</v>
      </c>
      <c r="H13" s="46" t="n">
        <f aca="false">IF(G9=0,"",G11/G9)</f>
        <v>0.650253749424986</v>
      </c>
      <c r="I13" s="46" t="n">
        <f aca="false">IF(H9=0,"",H11/H9)</f>
        <v>0.650253749424986</v>
      </c>
      <c r="J13" s="46" t="n">
        <f aca="false">IF(I9=0,"",I11/I9)</f>
        <v>0.650253749424986</v>
      </c>
      <c r="K13" s="46" t="n">
        <f aca="false">IF(J9=0,"",J11/J9)</f>
        <v>0.650253749424986</v>
      </c>
      <c r="L13" s="46" t="n">
        <f aca="false">IF(K9=0,"",K11/K9)</f>
        <v>0.650253749424986</v>
      </c>
      <c r="M13" s="46" t="n">
        <f aca="false">IF(L9=0,"",L11/L9)</f>
        <v>0.650253749424986</v>
      </c>
      <c r="N13" s="46" t="n">
        <f aca="false">IF(M9=0,"",M11/M9)</f>
        <v>0.650253749424986</v>
      </c>
      <c r="O13" s="46" t="n">
        <f aca="false">IF(N9=0,"",N11/N9)</f>
        <v>0.650253749424986</v>
      </c>
      <c r="P13" s="26" t="n">
        <f aca="false">IF(O9=0,"",O11/O9)</f>
        <v>0.650253749424986</v>
      </c>
      <c r="Q13" s="26" t="n">
        <f aca="false">IF(P9=0,"",P11/P9)</f>
        <v>0.650253749424986</v>
      </c>
      <c r="R13" s="26" t="n">
        <f aca="false">IF(Q9=0,"",Q11/Q9)</f>
        <v>0.650253749424986</v>
      </c>
      <c r="S13" s="26" t="n">
        <f aca="false">IF(R9=0,"",R11/R9)</f>
        <v>0.650253749424986</v>
      </c>
      <c r="T13" s="26" t="n">
        <f aca="false">IF(S9=0,"",S11/S9)</f>
        <v>0.650253749424986</v>
      </c>
      <c r="U13" s="26" t="n">
        <f aca="false">IF(T9=0,"",T11/T9)</f>
        <v>0.650253749424986</v>
      </c>
      <c r="V13" s="26" t="n">
        <f aca="false">IF(U9=0,"",U11/U9)</f>
        <v>0.650253749424986</v>
      </c>
      <c r="W13" s="26" t="n">
        <f aca="false">IF(V9=0,"",V11/V9)</f>
        <v>0.650253749424986</v>
      </c>
      <c r="X13" s="26" t="n">
        <f aca="false">IF(W9=0,"",W11/W9)</f>
        <v>0.650253749424986</v>
      </c>
      <c r="Y13" s="26" t="n">
        <f aca="false">IF(X9=0,"",X11/X9)</f>
        <v>0.650253749424986</v>
      </c>
      <c r="Z13" s="26" t="n">
        <f aca="false">IF(Y9=0,"",Y11/Y9)</f>
        <v>0.650253749424986</v>
      </c>
      <c r="AA13" s="26" t="n">
        <f aca="false">IF(Z9=0,"",Z11/Z9)</f>
        <v>0.650253749424986</v>
      </c>
      <c r="AB13" s="26" t="n">
        <f aca="false">IF(AA9=0,"",AA11/AA9)</f>
        <v>0.650253749424986</v>
      </c>
      <c r="AC13" s="26" t="n">
        <f aca="false">IF(AB9=0,"",AB11/AB9)</f>
        <v>0.650253749424986</v>
      </c>
      <c r="AD13" s="26" t="n">
        <f aca="false">IF(AC9=0,"",AC11/AC9)</f>
        <v>0.650253749424986</v>
      </c>
      <c r="AE13" s="26" t="n">
        <f aca="false">IF(AD9=0,"",AD11/AD9)</f>
        <v>0.650253749424986</v>
      </c>
      <c r="AF13" s="26" t="n">
        <f aca="false">IF(AE9=0,"",AE11/AE9)</f>
        <v>0.650253749424986</v>
      </c>
    </row>
    <row r="14" customFormat="false" ht="15" hidden="false" customHeight="true" outlineLevel="0" collapsed="false">
      <c r="A14" s="26" t="s">
        <v>777</v>
      </c>
      <c r="C14" s="54" t="n">
        <f aca="false">IF(cfg_rf_mode="Single",(1+in_rf_single)*(1+INDEX(finrate_infl,C4))-1,(C5+C13*C6)/(1+C13))</f>
        <v>0.0692407912947108</v>
      </c>
      <c r="D14" s="54" t="n">
        <f aca="false">IF(cfg_rf_mode="Single",(1+in_rf_single)*(1+INDEX(finrate_infl,D4))-1,(D5+D13*D6)/(1+D13))</f>
        <v>0.0700490675849488</v>
      </c>
      <c r="E14" s="54" t="n">
        <f aca="false">IF(cfg_rf_mode="Single",(1+in_rf_single)*(1+INDEX(finrate_infl,E4))-1,(E5+E13*E6)/(1+E13))</f>
        <v>0.0708002792139907</v>
      </c>
      <c r="F14" s="54" t="n">
        <f aca="false">IF(cfg_rf_mode="Single",(1+in_rf_single)*(1+INDEX(finrate_infl,F4))-1,(F5+F13*F6)/(1+F13))</f>
        <v>0.0715024838675361</v>
      </c>
      <c r="G14" s="54" t="n">
        <f aca="false">IF(cfg_rf_mode="Single",(1+in_rf_single)*(1+INDEX(finrate_infl,G4))-1,(G5+G13*G6)/(1+G13))</f>
        <v>0.0721679917435356</v>
      </c>
      <c r="H14" s="54" t="n">
        <f aca="false">IF(cfg_rf_mode="Single",(1+in_rf_single)*(1+INDEX(finrate_infl,H4))-1,(H5+H13*H6)/(1+H13))</f>
        <v>0.0727824201902493</v>
      </c>
      <c r="I14" s="54" t="n">
        <f aca="false">IF(cfg_rf_mode="Single",(1+in_rf_single)*(1+INDEX(finrate_infl,I4))-1,(I5+I13*I6)/(1+I13))</f>
        <v>0.0733558919465005</v>
      </c>
      <c r="J14" s="54" t="n">
        <f aca="false">IF(cfg_rf_mode="Single",(1+in_rf_single)*(1+INDEX(finrate_infl,J4))-1,(J5+J13*J6)/(1+J13))</f>
        <v>0.0738913997614256</v>
      </c>
      <c r="K14" s="54" t="n">
        <f aca="false">IF(cfg_rf_mode="Single",(1+in_rf_single)*(1+INDEX(finrate_infl,K4))-1,(K5+K13*K6)/(1+K13))</f>
        <v>0.0743692262152826</v>
      </c>
      <c r="L14" s="54" t="n">
        <f aca="false">IF(cfg_rf_mode="Single",(1+in_rf_single)*(1+INDEX(finrate_infl,L4))-1,(L5+L13*L6)/(1+L13))</f>
        <v>0.0748145160978627</v>
      </c>
      <c r="M14" s="54" t="n">
        <f aca="false">IF(cfg_rf_mode="Single",(1+in_rf_single)*(1+INDEX(finrate_infl,M4))-1,(M5+M13*M6)/(1+M13))</f>
        <v>0.0752127749513597</v>
      </c>
      <c r="N14" s="54" t="n">
        <f aca="false">IF(cfg_rf_mode="Single",(1+in_rf_single)*(1+INDEX(finrate_infl,N4))-1,(N5+N13*N6)/(1+N13))</f>
        <v>0.0755782685552199</v>
      </c>
      <c r="O14" s="54" t="n">
        <f aca="false">IF(cfg_rf_mode="Single",(1+in_rf_single)*(1+INDEX(finrate_infl,O4))-1,(O5+O13*O6)/(1+O13))</f>
        <v>0.0758991236957572</v>
      </c>
      <c r="P14" s="26" t="n">
        <f aca="false">IF(cfg_rf_mode="Single",(1+in_rf_single)*(1+INDEX(finrate_infl,P4))-1,(P5+P13*P6)/(1+P13))</f>
        <v>0.0761743444323801</v>
      </c>
      <c r="Q14" s="26" t="n">
        <f aca="false">IF(cfg_rf_mode="Single",(1+in_rf_single)*(1+INDEX(finrate_infl,Q4))-1,(Q5+Q13*Q6)/(1+Q13))</f>
        <v>0.0764139646837276</v>
      </c>
      <c r="R14" s="26" t="n">
        <f aca="false">IF(cfg_rf_mode="Single",(1+in_rf_single)*(1+INDEX(finrate_infl,R4))-1,(R5+R13*R6)/(1+R13))</f>
        <v>0.0766297409652032</v>
      </c>
      <c r="S14" s="26" t="n">
        <f aca="false">IF(cfg_rf_mode="Single",(1+in_rf_single)*(1+INDEX(finrate_infl,S4))-1,(S5+S13*S6)/(1+S13))</f>
        <v>0.0768162777416474</v>
      </c>
      <c r="T14" s="26" t="n">
        <f aca="false">IF(cfg_rf_mode="Single",(1+in_rf_single)*(1+INDEX(finrate_infl,T4))-1,(T5+T13*T6)/(1+T13))</f>
        <v>0.0769298463921358</v>
      </c>
      <c r="U14" s="26" t="n">
        <f aca="false">IF(cfg_rf_mode="Single",(1+in_rf_single)*(1+INDEX(finrate_infl,U4))-1,(U5+U13*U6)/(1+U13))</f>
        <v>0.077059415941627</v>
      </c>
      <c r="V14" s="26" t="n">
        <f aca="false">IF(cfg_rf_mode="Single",(1+in_rf_single)*(1+INDEX(finrate_infl,V4))-1,(V5+V13*V6)/(1+V13))</f>
        <v>0.0771291212303313</v>
      </c>
      <c r="W14" s="26" t="n">
        <f aca="false">IF(cfg_rf_mode="Single",(1+in_rf_single)*(1+INDEX(finrate_infl,W4))-1,(W5+W13*W6)/(1+W13))</f>
        <v>0.0771870431972614</v>
      </c>
      <c r="X14" s="26" t="n">
        <f aca="false">IF(cfg_rf_mode="Single",(1+in_rf_single)*(1+INDEX(finrate_infl,X4))-1,(X5+X13*X6)/(1+X13))</f>
        <v>0.0771958053507991</v>
      </c>
      <c r="Y14" s="26" t="n">
        <f aca="false">IF(cfg_rf_mode="Single",(1+in_rf_single)*(1+INDEX(finrate_infl,Y4))-1,(Y5+Y13*Y6)/(1+Y13))</f>
        <v>0.0772116730019676</v>
      </c>
      <c r="Z14" s="26" t="n">
        <f aca="false">IF(cfg_rf_mode="Single",(1+in_rf_single)*(1+INDEX(finrate_infl,Z4))-1,(Z5+Z13*Z6)/(1+Z13))</f>
        <v>0.0771817424269716</v>
      </c>
      <c r="AA14" s="26" t="n">
        <f aca="false">IF(cfg_rf_mode="Single",(1+in_rf_single)*(1+INDEX(finrate_infl,AA4))-1,(AA5+AA13*AA6)/(1+AA13))</f>
        <v>0.0771189800628399</v>
      </c>
      <c r="AB14" s="26" t="n">
        <f aca="false">IF(cfg_rf_mode="Single",(1+in_rf_single)*(1+INDEX(finrate_infl,AB4))-1,(AB5+AB13*AB6)/(1+AB13))</f>
        <v>0.0770563156260009</v>
      </c>
      <c r="AC14" s="26" t="n">
        <f aca="false">IF(cfg_rf_mode="Single",(1+in_rf_single)*(1+INDEX(finrate_infl,AC4))-1,(AC5+AC13*AC6)/(1+AC13))</f>
        <v>0.0769644205361556</v>
      </c>
      <c r="AD14" s="26" t="n">
        <f aca="false">IF(cfg_rf_mode="Single",(1+in_rf_single)*(1+INDEX(finrate_infl,AD4))-1,(AD5+AD13*AD6)/(1+AD13))</f>
        <v>0.0768439492750726</v>
      </c>
      <c r="AE14" s="26" t="n">
        <f aca="false">IF(cfg_rf_mode="Single",(1+in_rf_single)*(1+INDEX(finrate_infl,AE4))-1,(AE5+AE13*AE6)/(1+AE13))</f>
        <v>0.258172129672735</v>
      </c>
      <c r="AF14" s="26" t="n">
        <f aca="false">IF(cfg_rf_mode="Single",(1+in_rf_single)*(1+INDEX(finrate_infl,AF4))-1,(AF5+AF13*AF6)/(1+AF13))</f>
        <v>0.0841460054874057</v>
      </c>
    </row>
    <row r="15" customFormat="false" ht="15" hidden="false" customHeight="true" outlineLevel="0" collapsed="false">
      <c r="A15" s="26" t="s">
        <v>778</v>
      </c>
      <c r="B15" s="41" t="n">
        <v>1</v>
      </c>
      <c r="C15" s="41" t="n">
        <f aca="false">B15/(1+C5)</f>
        <v>0.924426140400084</v>
      </c>
      <c r="D15" s="41" t="n">
        <f aca="false">C15/(1+D5)</f>
        <v>0.853511261909798</v>
      </c>
      <c r="E15" s="41" t="n">
        <f aca="false">D15/(1+E5)</f>
        <v>0.787135480971144</v>
      </c>
      <c r="F15" s="41" t="n">
        <f aca="false">E15/(1+F5)</f>
        <v>0.725146643144585</v>
      </c>
      <c r="G15" s="41" t="n">
        <f aca="false">F15/(1+G5)</f>
        <v>0.667364360521112</v>
      </c>
      <c r="H15" s="41" t="n">
        <f aca="false">G15/(1+H5)</f>
        <v>0.613613773290324</v>
      </c>
      <c r="I15" s="41" t="n">
        <f aca="false">H15/(1+I5)</f>
        <v>0.563701837886251</v>
      </c>
      <c r="J15" s="41" t="n">
        <f aca="false">I15/(1+J5)</f>
        <v>0.517429716813507</v>
      </c>
      <c r="K15" s="41" t="n">
        <f aca="false">J15/(1+K5)</f>
        <v>0.474612368824844</v>
      </c>
      <c r="L15" s="41" t="n">
        <f aca="false">K15/(1+L5)</f>
        <v>0.435044924912556</v>
      </c>
      <c r="M15" s="41" t="n">
        <f aca="false">L15/(1+M5)</f>
        <v>0.398536043696334</v>
      </c>
      <c r="N15" s="41" t="n">
        <f aca="false">M15/(1+N5)</f>
        <v>0.364889364231382</v>
      </c>
      <c r="O15" s="41" t="n">
        <f aca="false">N15/(1+O5)</f>
        <v>0.333921447153065</v>
      </c>
      <c r="P15" s="26" t="n">
        <f aca="false">O15/(1+P5)</f>
        <v>0.305454798005099</v>
      </c>
      <c r="Q15" s="26" t="n">
        <f aca="false">P15/(1+Q5)</f>
        <v>0.279313883116898</v>
      </c>
      <c r="R15" s="26" t="n">
        <f aca="false">Q15/(1+R5)</f>
        <v>0.255326978255458</v>
      </c>
      <c r="S15" s="26" t="n">
        <f aca="false">R15/(1+S5)</f>
        <v>0.233334360134932</v>
      </c>
      <c r="T15" s="26" t="n">
        <f aca="false">S15/(1+T5)</f>
        <v>0.213199563140651</v>
      </c>
      <c r="U15" s="26" t="n">
        <f aca="false">T15/(1+U5)</f>
        <v>0.194764178766622</v>
      </c>
      <c r="V15" s="26" t="n">
        <f aca="false">U15/(1+V5)</f>
        <v>0.17790420864944</v>
      </c>
      <c r="W15" s="26" t="n">
        <f aca="false">V15/(1+W5)</f>
        <v>0.162489552738842</v>
      </c>
      <c r="X15" s="26" t="n">
        <f aca="false">W15/(1+X5)</f>
        <v>0.148408552301892</v>
      </c>
      <c r="Y15" s="26" t="n">
        <f aca="false">X15/(1+Y5)</f>
        <v>0.135544539789604</v>
      </c>
      <c r="Z15" s="26" t="n">
        <f aca="false">Y15/(1+Z5)</f>
        <v>0.123801161222145</v>
      </c>
      <c r="AA15" s="26" t="n">
        <f aca="false">Z15/(1+AA5)</f>
        <v>0.113085909580773</v>
      </c>
      <c r="AB15" s="26" t="n">
        <f aca="false">AA15/(1+AB5)</f>
        <v>0.103307844203071</v>
      </c>
      <c r="AC15" s="26" t="n">
        <f aca="false">AB15/(1+AC5)</f>
        <v>0.0943883235580901</v>
      </c>
      <c r="AD15" s="26" t="n">
        <f aca="false">AC15/(1+AD5)</f>
        <v>0.0862545750948472</v>
      </c>
      <c r="AE15" s="26" t="n">
        <f aca="false">AD15/(1+AE5)</f>
        <v>0.0788373145702793</v>
      </c>
      <c r="AF15" s="26" t="n">
        <f aca="false">AE15/(1+AF5)</f>
        <v>0.0720751169096813</v>
      </c>
    </row>
    <row r="16" customFormat="false" ht="15" hidden="false" customHeight="true" outlineLevel="0" collapsed="false">
      <c r="A16" s="26" t="s">
        <v>779</v>
      </c>
      <c r="B16" s="41" t="n">
        <v>1</v>
      </c>
      <c r="C16" s="41" t="n">
        <f aca="false">B16/(1+C14)</f>
        <v>0.935243032384811</v>
      </c>
      <c r="D16" s="41" t="n">
        <f aca="false">C16/(1+D14)</f>
        <v>0.874018828403459</v>
      </c>
      <c r="E16" s="41" t="n">
        <f aca="false">D16/(1+E14)</f>
        <v>0.816229548469135</v>
      </c>
      <c r="F16" s="41" t="n">
        <f aca="false">E16/(1+F14)</f>
        <v>0.761761695150714</v>
      </c>
      <c r="G16" s="41" t="n">
        <f aca="false">F16/(1+G14)</f>
        <v>0.710487256676964</v>
      </c>
      <c r="H16" s="41" t="n">
        <f aca="false">G16/(1+H14)</f>
        <v>0.662284581948094</v>
      </c>
      <c r="I16" s="41" t="n">
        <f aca="false">H16/(1+I14)</f>
        <v>0.617022356626803</v>
      </c>
      <c r="J16" s="41" t="n">
        <f aca="false">I16/(1+J14)</f>
        <v>0.574566810725814</v>
      </c>
      <c r="K16" s="41" t="n">
        <f aca="false">J16/(1+K14)</f>
        <v>0.534794553591097</v>
      </c>
      <c r="L16" s="41" t="n">
        <f aca="false">K16/(1+L14)</f>
        <v>0.497569157823324</v>
      </c>
      <c r="M16" s="41" t="n">
        <f aca="false">L16/(1+M14)</f>
        <v>0.46276343567982</v>
      </c>
      <c r="N16" s="41" t="n">
        <f aca="false">M16/(1+N14)</f>
        <v>0.430246174740431</v>
      </c>
      <c r="O16" s="41" t="n">
        <f aca="false">N16/(1+O14)</f>
        <v>0.399894530318529</v>
      </c>
      <c r="P16" s="26" t="n">
        <f aca="false">O16/(1+P14)</f>
        <v>0.371588983130284</v>
      </c>
      <c r="Q16" s="26" t="n">
        <f aca="false">P16/(1+Q14)</f>
        <v>0.345210109977963</v>
      </c>
      <c r="R16" s="26" t="n">
        <f aca="false">Q16/(1+R14)</f>
        <v>0.320639581875641</v>
      </c>
      <c r="S16" s="26" t="n">
        <f aca="false">R16/(1+S14)</f>
        <v>0.29776628428027</v>
      </c>
      <c r="T16" s="26" t="n">
        <f aca="false">S16/(1+T14)</f>
        <v>0.276495525941479</v>
      </c>
      <c r="U16" s="26" t="n">
        <f aca="false">T16/(1+U14)</f>
        <v>0.256713345474772</v>
      </c>
      <c r="V16" s="26" t="n">
        <f aca="false">U16/(1+V14)</f>
        <v>0.238331078804689</v>
      </c>
      <c r="W16" s="26" t="n">
        <f aca="false">V16/(1+W14)</f>
        <v>0.22125319860633</v>
      </c>
      <c r="X16" s="26" t="n">
        <f aca="false">W16/(1+X14)</f>
        <v>0.205397382265406</v>
      </c>
      <c r="Y16" s="26" t="n">
        <f aca="false">X16/(1+Y14)</f>
        <v>0.19067504318163</v>
      </c>
      <c r="Z16" s="26" t="n">
        <f aca="false">Y16/(1+Z14)</f>
        <v>0.17701288062312</v>
      </c>
      <c r="AA16" s="26" t="n">
        <f aca="false">Z16/(1+AA14)</f>
        <v>0.16433920848075</v>
      </c>
      <c r="AB16" s="26" t="n">
        <f aca="false">AA16/(1+AB14)</f>
        <v>0.152581815914829</v>
      </c>
      <c r="AC16" s="26" t="n">
        <f aca="false">AB16/(1+AC14)</f>
        <v>0.14167767570155</v>
      </c>
      <c r="AD16" s="26" t="n">
        <f aca="false">AC16/(1+AD14)</f>
        <v>0.131567508734136</v>
      </c>
      <c r="AE16" s="26" t="n">
        <f aca="false">AD16/(1+AE14)</f>
        <v>0.104570356973619</v>
      </c>
      <c r="AF16" s="26" t="n">
        <f aca="false">AE16/(1+AF14)</f>
        <v>0.0964541274370204</v>
      </c>
    </row>
    <row r="17" customFormat="false" ht="15" hidden="false" customHeight="true" outlineLevel="0" collapsed="false">
      <c r="A17" s="26" t="s">
        <v>780</v>
      </c>
      <c r="B17" s="41" t="n">
        <v>1</v>
      </c>
      <c r="C17" s="41" t="n">
        <f aca="false">B17/(1+C6)</f>
        <v>0.952380952380952</v>
      </c>
      <c r="D17" s="41" t="n">
        <f aca="false">C17/(1+D6)</f>
        <v>0.90702947845805</v>
      </c>
      <c r="E17" s="41" t="n">
        <f aca="false">D17/(1+E6)</f>
        <v>0.863837598531476</v>
      </c>
      <c r="F17" s="41" t="n">
        <f aca="false">E17/(1+F6)</f>
        <v>0.822702474791882</v>
      </c>
      <c r="G17" s="41" t="n">
        <f aca="false">F17/(1+G6)</f>
        <v>0.783526166468459</v>
      </c>
      <c r="H17" s="41" t="n">
        <f aca="false">G17/(1+H6)</f>
        <v>0.746215396636627</v>
      </c>
      <c r="I17" s="41" t="n">
        <f aca="false">H17/(1+I6)</f>
        <v>0.710681330130121</v>
      </c>
      <c r="J17" s="41" t="n">
        <f aca="false">I17/(1+J6)</f>
        <v>0.676839362028687</v>
      </c>
      <c r="K17" s="41" t="n">
        <f aca="false">J17/(1+K6)</f>
        <v>0.644608916217797</v>
      </c>
      <c r="L17" s="41" t="n">
        <f aca="false">K17/(1+L6)</f>
        <v>0.613913253540759</v>
      </c>
      <c r="M17" s="41" t="n">
        <f aca="false">L17/(1+M6)</f>
        <v>0.584679289086437</v>
      </c>
      <c r="N17" s="41" t="n">
        <f aca="false">M17/(1+N6)</f>
        <v>0.556837418177559</v>
      </c>
      <c r="O17" s="41" t="n">
        <f aca="false">N17/(1+O6)</f>
        <v>0.530321350645294</v>
      </c>
      <c r="P17" s="26" t="n">
        <f aca="false">O17/(1+P6)</f>
        <v>0.505067952995518</v>
      </c>
      <c r="Q17" s="26" t="n">
        <f aca="false">P17/(1+Q6)</f>
        <v>0.48101709809097</v>
      </c>
      <c r="R17" s="26" t="n">
        <f aca="false">Q17/(1+R6)</f>
        <v>0.4581115219914</v>
      </c>
      <c r="S17" s="26" t="n">
        <f aca="false">R17/(1+S6)</f>
        <v>0.436296687610857</v>
      </c>
      <c r="T17" s="26" t="n">
        <f aca="false">S17/(1+T6)</f>
        <v>0.415520654867483</v>
      </c>
      <c r="U17" s="26" t="n">
        <f aca="false">T17/(1+U6)</f>
        <v>0.39573395701665</v>
      </c>
      <c r="V17" s="26" t="n">
        <f aca="false">U17/(1+V6)</f>
        <v>0.376889482873</v>
      </c>
      <c r="W17" s="26" t="n">
        <f aca="false">V17/(1+W6)</f>
        <v>0.358942364640953</v>
      </c>
      <c r="X17" s="26" t="n">
        <f aca="false">W17/(1+X6)</f>
        <v>0.341849871086622</v>
      </c>
      <c r="Y17" s="26" t="n">
        <f aca="false">X17/(1+Y6)</f>
        <v>0.325571305796783</v>
      </c>
      <c r="Z17" s="26" t="n">
        <f aca="false">Y17/(1+Z6)</f>
        <v>0.31006791028265</v>
      </c>
      <c r="AA17" s="26" t="n">
        <f aca="false">Z17/(1+AA6)</f>
        <v>0.295302771697762</v>
      </c>
      <c r="AB17" s="26" t="n">
        <f aca="false">AA17/(1+AB6)</f>
        <v>0.281240734950249</v>
      </c>
      <c r="AC17" s="26" t="n">
        <f aca="false">AB17/(1+AC6)</f>
        <v>0.267848319000238</v>
      </c>
      <c r="AD17" s="26" t="n">
        <f aca="false">AC17/(1+AD6)</f>
        <v>0.255093637143083</v>
      </c>
      <c r="AE17" s="26" t="n">
        <f aca="false">AD17/(1+AE6)</f>
        <v>0.168878222723916</v>
      </c>
      <c r="AF17" s="26" t="n">
        <f aca="false">AE17/(1+AF6)</f>
        <v>0.157938399374688</v>
      </c>
    </row>
    <row r="19" customFormat="false" ht="15" hidden="false" customHeight="true" outlineLevel="0" collapsed="false">
      <c r="A19" s="23" t="s">
        <v>781</v>
      </c>
      <c r="D19" s="7" t="s">
        <v>782</v>
      </c>
    </row>
    <row r="20" customFormat="false" ht="15" hidden="false" customHeight="true" outlineLevel="0" collapsed="false">
      <c r="A20" s="26" t="s">
        <v>783</v>
      </c>
      <c r="C20" s="42" t="n">
        <f aca="false">INDEX(fc_dep,C4)</f>
        <v>0.0137857539239553</v>
      </c>
      <c r="D20" s="42" t="n">
        <f aca="false">INDEX(fc_dep,D4)</f>
        <v>0.0143098456748358</v>
      </c>
      <c r="E20" s="42" t="n">
        <f aca="false">INDEX(fc_dep,E4)</f>
        <v>0.01486962268151</v>
      </c>
      <c r="F20" s="42" t="n">
        <f aca="false">INDEX(fc_dep,F4)</f>
        <v>0.0154724870007457</v>
      </c>
      <c r="G20" s="42" t="n">
        <f aca="false">INDEX(fc_dep,G4)</f>
        <v>0.0161238405376267</v>
      </c>
      <c r="H20" s="42" t="n">
        <f aca="false">INDEX(fc_dep,H4)</f>
        <v>0.0168276129601155</v>
      </c>
      <c r="I20" s="42" t="n">
        <f aca="false">INDEX(fc_dep,I4)</f>
        <v>0.0175869288524587</v>
      </c>
      <c r="J20" s="42" t="n">
        <f aca="false">INDEX(fc_dep,J4)</f>
        <v>0.0184046485256504</v>
      </c>
      <c r="K20" s="42" t="n">
        <f aca="false">INDEX(fc_dep,K4)</f>
        <v>0.019283100148212</v>
      </c>
      <c r="L20" s="42" t="n">
        <f aca="false">INDEX(fc_dep,L4)</f>
        <v>0.0202249341545444</v>
      </c>
      <c r="M20" s="42" t="n">
        <f aca="false">INDEX(fc_dep,M4)</f>
        <v>0.0212326130013088</v>
      </c>
      <c r="N20" s="42" t="n">
        <f aca="false">INDEX(fc_dep,N4)</f>
        <v>0.0223088340225401</v>
      </c>
      <c r="O20" s="42" t="n">
        <f aca="false">INDEX(fc_dep,O4)</f>
        <v>0.0234563753775951</v>
      </c>
      <c r="P20" s="26" t="n">
        <f aca="false">INDEX(fc_dep,P4)</f>
        <v>0.0246776373324449</v>
      </c>
      <c r="Q20" s="26" t="n">
        <f aca="false">INDEX(fc_dep,Q4)</f>
        <v>0.025976053883646</v>
      </c>
      <c r="R20" s="26" t="n">
        <f aca="false">INDEX(fc_dep,R4)</f>
        <v>0.027354786616457</v>
      </c>
      <c r="S20" s="26" t="n">
        <f aca="false">INDEX(fc_dep,S4)</f>
        <v>0.0288174977693454</v>
      </c>
      <c r="T20" s="26" t="n">
        <f aca="false">INDEX(fc_dep,T4)</f>
        <v>0.0303665548780562</v>
      </c>
      <c r="U20" s="26" t="n">
        <f aca="false">INDEX(fc_dep,U4)</f>
        <v>0.0320064462221555</v>
      </c>
      <c r="V20" s="26" t="n">
        <f aca="false">INDEX(fc_dep,V4)</f>
        <v>0.033740522798997</v>
      </c>
      <c r="W20" s="26" t="n">
        <f aca="false">INDEX(fc_dep,W4)</f>
        <v>0.0355731796233641</v>
      </c>
      <c r="X20" s="26" t="n">
        <f aca="false">INDEX(fc_dep,X4)</f>
        <v>0.0375072369341613</v>
      </c>
      <c r="Y20" s="26" t="n">
        <f aca="false">INDEX(fc_dep,Y4)</f>
        <v>0.0395475100843533</v>
      </c>
      <c r="Z20" s="26" t="n">
        <f aca="false">INDEX(fc_dep,Z4)</f>
        <v>0.0416980415433067</v>
      </c>
      <c r="AA20" s="26" t="n">
        <f aca="false">INDEX(fc_dep,AA4)</f>
        <v>0.0439626901423091</v>
      </c>
      <c r="AB20" s="26" t="n">
        <f aca="false">INDEX(fc_dep,AB4)</f>
        <v>0.0463462297236816</v>
      </c>
      <c r="AC20" s="26" t="n">
        <f aca="false">INDEX(fc_dep,AC4)</f>
        <v>0.0488522378833711</v>
      </c>
      <c r="AD20" s="26" t="n">
        <f aca="false">INDEX(fc_dep,AD4)</f>
        <v>0.0514852998299562</v>
      </c>
      <c r="AE20" s="26" t="n">
        <f aca="false">INDEX(fc_dep,AE4)</f>
        <v>0.0542500076155245</v>
      </c>
      <c r="AF20" s="26" t="n">
        <f aca="false">INDEX(fc_dep,AF4)</f>
        <v>0.0571492597913553</v>
      </c>
    </row>
    <row r="21" customFormat="false" ht="15" hidden="false" customHeight="true" outlineLevel="0" collapsed="false">
      <c r="A21" s="26" t="s">
        <v>784</v>
      </c>
      <c r="C21" s="42" t="n">
        <f aca="false">INDEX(fc_capex,C4)</f>
        <v>0.0146181548216121</v>
      </c>
      <c r="D21" s="42" t="n">
        <f aca="false">INDEX(fc_capex,D4)</f>
        <v>0.0154440845742815</v>
      </c>
      <c r="E21" s="42" t="n">
        <f aca="false">INDEX(fc_capex,E4)</f>
        <v>0.0162737480222598</v>
      </c>
      <c r="F21" s="42" t="n">
        <f aca="false">INDEX(fc_capex,F4)</f>
        <v>0.0171207767356229</v>
      </c>
      <c r="G21" s="42" t="n">
        <f aca="false">INDEX(fc_capex,G4)</f>
        <v>0.0179963804492377</v>
      </c>
      <c r="H21" s="42" t="n">
        <f aca="false">INDEX(fc_capex,H4)</f>
        <v>0.0189096200145169</v>
      </c>
      <c r="I21" s="42" t="n">
        <f aca="false">INDEX(fc_capex,I4)</f>
        <v>0.019868040052965</v>
      </c>
      <c r="J21" s="42" t="n">
        <f aca="false">INDEX(fc_capex,J4)</f>
        <v>0.0208782787205366</v>
      </c>
      <c r="K21" s="42" t="n">
        <f aca="false">INDEX(fc_capex,K4)</f>
        <v>0.0219458151429043</v>
      </c>
      <c r="L21" s="42" t="n">
        <f aca="false">INDEX(fc_capex,L4)</f>
        <v>0.0230760075228045</v>
      </c>
      <c r="M21" s="42" t="n">
        <f aca="false">INDEX(fc_capex,M4)</f>
        <v>0.0242735881333085</v>
      </c>
      <c r="N21" s="42" t="n">
        <f aca="false">INDEX(fc_capex,N4)</f>
        <v>0.0255432125121821</v>
      </c>
      <c r="O21" s="42" t="n">
        <f aca="false">INDEX(fc_capex,O4)</f>
        <v>0.0268893442261972</v>
      </c>
      <c r="P21" s="26" t="n">
        <f aca="false">INDEX(fc_capex,P4)</f>
        <v>0.0283157793846312</v>
      </c>
      <c r="Q21" s="26" t="n">
        <f aca="false">INDEX(fc_capex,Q4)</f>
        <v>0.029827308330954</v>
      </c>
      <c r="R21" s="26" t="n">
        <f aca="false">INDEX(fc_capex,R4)</f>
        <v>0.031428254344418</v>
      </c>
      <c r="S21" s="26" t="n">
        <f aca="false">INDEX(fc_capex,S4)</f>
        <v>0.0331233895224922</v>
      </c>
      <c r="T21" s="26" t="n">
        <f aca="false">INDEX(fc_capex,T4)</f>
        <v>0.0349158949376154</v>
      </c>
      <c r="U21" s="26" t="n">
        <f aca="false">INDEX(fc_capex,U4)</f>
        <v>0.0368113056263143</v>
      </c>
      <c r="V21" s="26" t="n">
        <f aca="false">INDEX(fc_capex,V4)</f>
        <v>0.0388137815449955</v>
      </c>
      <c r="W21" s="26" t="n">
        <f aca="false">INDEX(fc_capex,W4)</f>
        <v>0.0409286281957508</v>
      </c>
      <c r="X21" s="26" t="n">
        <f aca="false">INDEX(fc_capex,X4)</f>
        <v>0.0431592943524123</v>
      </c>
      <c r="Y21" s="26" t="n">
        <f aca="false">INDEX(fc_capex,Y4)</f>
        <v>0.045511487518048</v>
      </c>
      <c r="Z21" s="26" t="n">
        <f aca="false">INDEX(fc_capex,Z4)</f>
        <v>0.0479899961791822</v>
      </c>
      <c r="AA21" s="26" t="n">
        <f aca="false">INDEX(fc_capex,AA4)</f>
        <v>0.0505993730233825</v>
      </c>
      <c r="AB21" s="26" t="n">
        <f aca="false">INDEX(fc_capex,AB4)</f>
        <v>0.0533452039254827</v>
      </c>
      <c r="AC21" s="26" t="n">
        <f aca="false">INDEX(fc_capex,AC4)</f>
        <v>0.056231681630781</v>
      </c>
      <c r="AD21" s="26" t="n">
        <f aca="false">INDEX(fc_capex,AD4)</f>
        <v>0.0592641453021144</v>
      </c>
      <c r="AE21" s="26" t="n">
        <f aca="false">INDEX(fc_capex,AE4)</f>
        <v>0.062447931118415</v>
      </c>
      <c r="AF21" s="26" t="n">
        <f aca="false">INDEX(fc_capex,AF4)</f>
        <v>0.0657864169022199</v>
      </c>
    </row>
    <row r="22" customFormat="false" ht="15" hidden="false" customHeight="true" outlineLevel="0" collapsed="false">
      <c r="A22" s="26" t="s">
        <v>785</v>
      </c>
      <c r="C22" s="42" t="n">
        <f aca="false">(C10-(1+INDEX(finrate_infl,C4))*B10)-(C21-C20)</f>
        <v>0.00309126683960833</v>
      </c>
      <c r="D22" s="42" t="n">
        <f aca="false">(D10-(1+INDEX(finrate_infl,D4))*C10)-(D21-D20)</f>
        <v>0.00299099405245573</v>
      </c>
      <c r="E22" s="42" t="n">
        <f aca="false">(E10-(1+INDEX(finrate_infl,E4))*D10)-(E21-E20)</f>
        <v>0.00292161587840763</v>
      </c>
      <c r="F22" s="42" t="n">
        <f aca="false">(F10-(1+INDEX(finrate_infl,F4))*E10)-(F21-F20)</f>
        <v>0.00288050932999955</v>
      </c>
      <c r="G22" s="42" t="n">
        <f aca="false">(G10-(1+INDEX(finrate_infl,G4))*F10)-(G21-G20)</f>
        <v>0.00286476561309408</v>
      </c>
      <c r="H22" s="42" t="n">
        <f aca="false">(H10-(1+INDEX(finrate_infl,H4))*G10)-(H21-H20)</f>
        <v>0.00287153291463949</v>
      </c>
      <c r="I22" s="42" t="n">
        <f aca="false">(I10-(1+INDEX(finrate_infl,I4))*H10)-(I21-I20)</f>
        <v>0.00289823018091517</v>
      </c>
      <c r="J22" s="42" t="n">
        <f aca="false">(J10-(1+INDEX(finrate_infl,J4))*I10)-(J21-J20)</f>
        <v>0.00294264649475101</v>
      </c>
      <c r="K22" s="42" t="n">
        <f aca="false">(K10-(1+INDEX(finrate_infl,K4))*J10)-(K21-K20)</f>
        <v>0.00300286672885936</v>
      </c>
      <c r="L22" s="42" t="n">
        <f aca="false">(L10-(1+INDEX(finrate_infl,L4))*K10)-(L21-L20)</f>
        <v>0.00307736220158816</v>
      </c>
      <c r="M22" s="42" t="n">
        <f aca="false">(M10-(1+INDEX(finrate_infl,M4))*L10)-(M21-M20)</f>
        <v>0.00316485740169496</v>
      </c>
      <c r="N22" s="42" t="n">
        <f aca="false">(N10-(1+INDEX(finrate_infl,N4))*M10)-(N21-N20)</f>
        <v>0.00326434756791685</v>
      </c>
      <c r="O22" s="42" t="n">
        <f aca="false">(O10-(1+INDEX(finrate_infl,O4))*N10)-(O21-O20)</f>
        <v>0.00337503143786742</v>
      </c>
      <c r="P22" s="26" t="n">
        <f aca="false">(P10-(1+INDEX(finrate_infl,P4))*O10)-(P21-P20)</f>
        <v>0.003496209653714</v>
      </c>
      <c r="Q22" s="26" t="n">
        <f aca="false">(Q10-(1+INDEX(finrate_infl,Q4))*P10)-(Q21-Q20)</f>
        <v>0.0036274556644793</v>
      </c>
      <c r="R22" s="26" t="n">
        <f aca="false">(R10-(1+INDEX(finrate_infl,R4))*Q10)-(R21-R20)</f>
        <v>0.00376840041792789</v>
      </c>
      <c r="S22" s="26" t="n">
        <f aca="false">(S10-(1+INDEX(finrate_infl,S4))*R10)-(S21-S20)</f>
        <v>0.00391882005053165</v>
      </c>
      <c r="T22" s="26" t="n">
        <f aca="false">(T10-(1+INDEX(finrate_infl,T4))*S10)-(T21-T20)</f>
        <v>0.00407837385556136</v>
      </c>
      <c r="U22" s="26" t="n">
        <f aca="false">(U10-(1+INDEX(finrate_infl,U4))*T10)-(U21-U20)</f>
        <v>0.00424705461185674</v>
      </c>
      <c r="V22" s="26" t="n">
        <f aca="false">(V10-(1+INDEX(finrate_infl,V4))*U10)-(V21-V20)</f>
        <v>0.00442473318997817</v>
      </c>
      <c r="W22" s="26" t="n">
        <f aca="false">(W10-(1+INDEX(finrate_infl,W4))*V10)-(W21-W20)</f>
        <v>0.00461144150741644</v>
      </c>
      <c r="X22" s="26" t="n">
        <f aca="false">(X10-(1+INDEX(finrate_infl,X4))*W10)-(X21-X20)</f>
        <v>0.00480702188940886</v>
      </c>
      <c r="Y22" s="26" t="n">
        <f aca="false">(Y10-(1+INDEX(finrate_infl,Y4))*X10)-(Y21-Y20)</f>
        <v>0.00501158518317722</v>
      </c>
      <c r="Z22" s="26" t="n">
        <f aca="false">(Z10-(1+INDEX(finrate_infl,Z4))*Y10)-(Z21-Z20)</f>
        <v>0.00522514482586982</v>
      </c>
      <c r="AA22" s="26" t="n">
        <f aca="false">(AA10-(1+INDEX(finrate_infl,AA4))*Z10)-(AA21-AA20)</f>
        <v>0.0054476916885661</v>
      </c>
      <c r="AB22" s="26" t="n">
        <f aca="false">(AB10-(1+INDEX(finrate_infl,AB4))*AA10)-(AB21-AB20)</f>
        <v>0.0056793269387048</v>
      </c>
      <c r="AC22" s="26" t="n">
        <f aca="false">(AC10-(1+INDEX(finrate_infl,AC4))*AB10)-(AC21-AC20)</f>
        <v>0.00591999751064148</v>
      </c>
      <c r="AD22" s="26" t="n">
        <f aca="false">(AD10-(1+INDEX(finrate_infl,AD4))*AC10)-(AD21-AD20)</f>
        <v>0.00616976641013169</v>
      </c>
      <c r="AE22" s="26" t="n">
        <f aca="false">(AE10-(1+INDEX(finrate_infl,AE4))*AD10)-(AE21-AE20)</f>
        <v>0.00642868578197046</v>
      </c>
      <c r="AF22" s="26" t="n">
        <f aca="false">(AF10-(1+INDEX(finrate_infl,AF4))*AE10)-(AF21-AF20)</f>
        <v>0.0066965964491675</v>
      </c>
    </row>
    <row r="23" customFormat="false" ht="15" hidden="false" customHeight="true" outlineLevel="0" collapsed="false">
      <c r="A23" s="26" t="s">
        <v>786</v>
      </c>
      <c r="C23" s="42" t="n">
        <f aca="false">C8-(C10-(1+INDEX(finrate_infl,C4))*B10)</f>
        <v>0.11908101662622</v>
      </c>
      <c r="D23" s="42" t="n">
        <f aca="false">D8-(D10-(1+INDEX(finrate_infl,D4))*C10)</f>
        <v>0.126017829865401</v>
      </c>
      <c r="E23" s="42" t="n">
        <f aca="false">E8-(E10-(1+INDEX(finrate_infl,E4))*D10)</f>
        <v>0.132971218280603</v>
      </c>
      <c r="F23" s="42" t="n">
        <f aca="false">F8-(F10-(1+INDEX(finrate_infl,F4))*E10)</f>
        <v>0.140038991014579</v>
      </c>
      <c r="G23" s="42" t="n">
        <f aca="false">G8-(G10-(1+INDEX(finrate_infl,G4))*F10)</f>
        <v>0.00485144282144779</v>
      </c>
      <c r="H23" s="42" t="n">
        <f aca="false">H8-(H10-(1+INDEX(finrate_infl,H4))*G10)</f>
        <v>0.0052708827942476</v>
      </c>
      <c r="I23" s="42" t="n">
        <f aca="false">I8-(I10-(1+INDEX(finrate_infl,I4))*H10)</f>
        <v>0.00564036714397882</v>
      </c>
      <c r="J23" s="42" t="n">
        <f aca="false">J8-(J10-(1+INDEX(finrate_infl,J4))*I10)</f>
        <v>0.00597671252829687</v>
      </c>
      <c r="K23" s="42" t="n">
        <f aca="false">K8-(K10-(1+INDEX(finrate_infl,K4))*J10)</f>
        <v>0.00629347017092759</v>
      </c>
      <c r="L23" s="42" t="n">
        <f aca="false">L8-(L10-(1+INDEX(finrate_infl,L4))*K10)</f>
        <v>0.00660157025931373</v>
      </c>
      <c r="M23" s="42" t="n">
        <f aca="false">M8-(M10-(1+INDEX(finrate_infl,M4))*L10)</f>
        <v>0.00690838218577206</v>
      </c>
      <c r="N23" s="42" t="n">
        <f aca="false">N8-(N10-(1+INDEX(finrate_infl,N4))*M10)</f>
        <v>0.00722143471301947</v>
      </c>
      <c r="O23" s="42" t="n">
        <f aca="false">O8-(O10-(1+INDEX(finrate_infl,O4))*N10)</f>
        <v>0.00754290874387387</v>
      </c>
      <c r="P23" s="26" t="n">
        <f aca="false">P8-(P10-(1+INDEX(finrate_infl,P4))*O10)</f>
        <v>0.00788198511074675</v>
      </c>
      <c r="Q23" s="26" t="n">
        <f aca="false">Q8-(Q10-(1+INDEX(finrate_infl,Q4))*P10)</f>
        <v>0.00823303342976676</v>
      </c>
      <c r="R23" s="26" t="n">
        <f aca="false">R8-(R10-(1+INDEX(finrate_infl,R4))*Q10)</f>
        <v>0.0086072769652596</v>
      </c>
      <c r="S23" s="26" t="n">
        <f aca="false">S8-(S10-(1+INDEX(finrate_infl,S4))*R10)</f>
        <v>0.00900111801245623</v>
      </c>
      <c r="T23" s="26" t="n">
        <f aca="false">T8-(T10-(1+INDEX(finrate_infl,T4))*S10)</f>
        <v>0.00941867187361566</v>
      </c>
      <c r="U23" s="26" t="n">
        <f aca="false">U8-(U10-(1+INDEX(finrate_infl,U4))*T10)</f>
        <v>0.00986650626693833</v>
      </c>
      <c r="V23" s="26" t="n">
        <f aca="false">V8-(V10-(1+INDEX(finrate_infl,V4))*U10)</f>
        <v>0.0103356183954113</v>
      </c>
      <c r="W23" s="26" t="n">
        <f aca="false">W8-(W10-(1+INDEX(finrate_infl,W4))*V10)</f>
        <v>0.0108331745709455</v>
      </c>
      <c r="X23" s="26" t="n">
        <f aca="false">X8-(X10-(1+INDEX(finrate_infl,X4))*W10)</f>
        <v>0.0113657280265622</v>
      </c>
      <c r="Y23" s="26" t="n">
        <f aca="false">Y8-(Y10-(1+INDEX(finrate_infl,Y4))*X10)</f>
        <v>0.0119342677898958</v>
      </c>
      <c r="Z23" s="26" t="n">
        <f aca="false">Z8-(Z10-(1+INDEX(finrate_infl,Z4))*Y10)</f>
        <v>0.0125286242825372</v>
      </c>
      <c r="AA23" s="26" t="n">
        <f aca="false">AA8-(AA10-(1+INDEX(finrate_infl,AA4))*Z10)</f>
        <v>0.0131573860909889</v>
      </c>
      <c r="AB23" s="26" t="n">
        <f aca="false">AB8-(AB10-(1+INDEX(finrate_infl,AB4))*AA10)</f>
        <v>0.0138272832146982</v>
      </c>
      <c r="AC23" s="26" t="n">
        <f aca="false">AC8-(AC10-(1+INDEX(finrate_infl,AC4))*AB10)</f>
        <v>0.0145401573077769</v>
      </c>
      <c r="AD23" s="26" t="n">
        <f aca="false">AD8-(AD10-(1+INDEX(finrate_infl,AD4))*AC10)</f>
        <v>0.0152852495724595</v>
      </c>
      <c r="AE23" s="26" t="n">
        <f aca="false">AE8-(AE10-(1+INDEX(finrate_infl,AE4))*AD10)</f>
        <v>0.119848962755385</v>
      </c>
      <c r="AF23" s="26" t="n">
        <f aca="false">AF8-(AF10-(1+INDEX(finrate_infl,AF4))*AE10)</f>
        <v>0.0214686852689758</v>
      </c>
    </row>
    <row r="24" customFormat="false" ht="15" hidden="false" customHeight="true" outlineLevel="0" collapsed="false">
      <c r="A24" s="26" t="s">
        <v>787</v>
      </c>
      <c r="C24" s="42" t="n">
        <f aca="false">C7-(C9-(1+INDEX(finrate_infl,C4))*B9)</f>
        <v>0.119425762090616</v>
      </c>
      <c r="D24" s="42" t="n">
        <f aca="false">D7-(D9-(1+INDEX(finrate_infl,D4))*C9)</f>
        <v>0.126104775101106</v>
      </c>
      <c r="E24" s="42" t="n">
        <f aca="false">E7-(E9-(1+INDEX(finrate_infl,E4))*D9)</f>
        <v>0.13287827048837</v>
      </c>
      <c r="F24" s="42" t="n">
        <f aca="false">F7-(F9-(1+INDEX(finrate_infl,F4))*E9)</f>
        <v>0.139825268598032</v>
      </c>
      <c r="G24" s="42" t="n">
        <f aca="false">G7-(G9-(1+INDEX(finrate_infl,G4))*F9)</f>
        <v>0.00456172121054415</v>
      </c>
      <c r="H24" s="42" t="n">
        <f aca="false">H7-(H9-(1+INDEX(finrate_infl,H4))*G9)</f>
        <v>0.00493758477396257</v>
      </c>
      <c r="I24" s="42" t="n">
        <f aca="false">I7-(I9-(1+INDEX(finrate_infl,I4))*H9)</f>
        <v>0.00528695970187013</v>
      </c>
      <c r="J24" s="42" t="n">
        <f aca="false">J7-(J9-(1+INDEX(finrate_infl,J4))*I9)</f>
        <v>0.00562078203008349</v>
      </c>
      <c r="K24" s="42" t="n">
        <f aca="false">K7-(K9-(1+INDEX(finrate_infl,K4))*J9)</f>
        <v>0.00594598827185863</v>
      </c>
      <c r="L24" s="42" t="n">
        <f aca="false">L7-(L9-(1+INDEX(finrate_infl,L4))*K9)</f>
        <v>0.00627159364715688</v>
      </c>
      <c r="M24" s="42" t="n">
        <f aca="false">M7-(M9-(1+INDEX(finrate_infl,M4))*L9)</f>
        <v>0.00660102991375928</v>
      </c>
      <c r="N24" s="42" t="n">
        <f aca="false">N7-(N9-(1+INDEX(finrate_infl,N4))*M9)</f>
        <v>0.0069403625170432</v>
      </c>
      <c r="O24" s="42" t="n">
        <f aca="false">O7-(O9-(1+INDEX(finrate_infl,O4))*N9)</f>
        <v>0.00728988267724109</v>
      </c>
      <c r="P24" s="26" t="n">
        <f aca="false">P7-(P9-(1+INDEX(finrate_infl,P4))*O9)</f>
        <v>0.00765502534061496</v>
      </c>
      <c r="Q24" s="26" t="n">
        <f aca="false">Q7-(Q9-(1+INDEX(finrate_infl,Q4))*P9)</f>
        <v>0.00803336673435123</v>
      </c>
      <c r="R24" s="26" t="n">
        <f aca="false">R7-(R9-(1+INDEX(finrate_infl,R4))*Q9)</f>
        <v>0.0084331632926717</v>
      </c>
      <c r="S24" s="26" t="n">
        <f aca="false">S7-(S9-(1+INDEX(finrate_infl,S4))*R9)</f>
        <v>0.00885168520174144</v>
      </c>
      <c r="T24" s="26" t="n">
        <f aca="false">T7-(T9-(1+INDEX(finrate_infl,T4))*S9)</f>
        <v>0.00928565725849486</v>
      </c>
      <c r="U24" s="26" t="n">
        <f aca="false">U7-(U9-(1+INDEX(finrate_infl,U4))*T9)</f>
        <v>0.00975042056795139</v>
      </c>
      <c r="V24" s="26" t="n">
        <f aca="false">V7-(V9-(1+INDEX(finrate_infl,V4))*U9)</f>
        <v>0.0102303214562924</v>
      </c>
      <c r="W24" s="26" t="n">
        <f aca="false">W7-(W9-(1+INDEX(finrate_infl,W4))*V9)</f>
        <v>0.0107362190819816</v>
      </c>
      <c r="X24" s="26" t="n">
        <f aca="false">X7-(X9-(1+INDEX(finrate_infl,X4))*W9)</f>
        <v>0.011266287472754</v>
      </c>
      <c r="Y24" s="26" t="n">
        <f aca="false">Y7-(Y9-(1+INDEX(finrate_infl,Y4))*X9)</f>
        <v>0.0118297321656313</v>
      </c>
      <c r="Z24" s="26" t="n">
        <f aca="false">Z7-(Z9-(1+INDEX(finrate_infl,Z4))*Y9)</f>
        <v>0.0124116388749712</v>
      </c>
      <c r="AA24" s="26" t="n">
        <f aca="false">AA7-(AA9-(1+INDEX(finrate_infl,AA4))*Z9)</f>
        <v>0.0130187754863819</v>
      </c>
      <c r="AB24" s="26" t="n">
        <f aca="false">AB7-(AB9-(1+INDEX(finrate_infl,AB4))*AA9)</f>
        <v>0.0136610099507571</v>
      </c>
      <c r="AC24" s="26" t="n">
        <f aca="false">AC7-(AC9-(1+INDEX(finrate_infl,AC4))*AB9)</f>
        <v>0.0143337738687251</v>
      </c>
      <c r="AD24" s="26" t="n">
        <f aca="false">AD7-(AD9-(1+INDEX(finrate_infl,AD4))*AC9)</f>
        <v>0.0150299720223327</v>
      </c>
      <c r="AE24" s="26" t="n">
        <f aca="false">AE7-(AE9-(1+INDEX(finrate_infl,AE4))*AD9)</f>
        <v>0.0157597535726583</v>
      </c>
      <c r="AF24" s="26" t="n">
        <f aca="false">AF7-(AF9-(1+INDEX(finrate_infl,AF4))*AE9)</f>
        <v>0.0165253430711006</v>
      </c>
    </row>
    <row r="25" customFormat="false" ht="15" hidden="false" customHeight="true" outlineLevel="0" collapsed="false">
      <c r="A25" s="26" t="s">
        <v>788</v>
      </c>
      <c r="C25" s="42" t="n">
        <f aca="false">C12-(C11-(1+INDEX(finrate_infl,C4))*B11)</f>
        <v>-0.000344745464395689</v>
      </c>
      <c r="D25" s="42" t="n">
        <f aca="false">D12-(D11-(1+INDEX(finrate_infl,D4))*C11)</f>
        <v>-8.69452357046135E-005</v>
      </c>
      <c r="E25" s="42" t="n">
        <f aca="false">E12-(E11-(1+INDEX(finrate_infl,E4))*D11)</f>
        <v>9.29477922324562E-005</v>
      </c>
      <c r="F25" s="42" t="n">
        <f aca="false">F12-(F11-(1+INDEX(finrate_infl,F4))*E11)</f>
        <v>0.000213722416547296</v>
      </c>
      <c r="G25" s="42" t="n">
        <f aca="false">G12-(G11-(1+INDEX(finrate_infl,G4))*F11)</f>
        <v>0.000289721610903645</v>
      </c>
      <c r="H25" s="42" t="n">
        <f aca="false">H12-(H11-(1+INDEX(finrate_infl,H4))*G11)</f>
        <v>0.000333298020285025</v>
      </c>
      <c r="I25" s="42" t="n">
        <f aca="false">I12-(I11-(1+INDEX(finrate_infl,I4))*H11)</f>
        <v>0.000353407442108693</v>
      </c>
      <c r="J25" s="42" t="n">
        <f aca="false">J12-(J11-(1+INDEX(finrate_infl,J4))*I11)</f>
        <v>0.000355930498213359</v>
      </c>
      <c r="K25" s="42" t="n">
        <f aca="false">K12-(K11-(1+INDEX(finrate_infl,K4))*J11)</f>
        <v>0.000347481899069</v>
      </c>
      <c r="L25" s="42" t="n">
        <f aca="false">L12-(L11-(1+INDEX(finrate_infl,L4))*K11)</f>
        <v>0.000329976612156821</v>
      </c>
      <c r="M25" s="42" t="n">
        <f aca="false">M12-(M11-(1+INDEX(finrate_infl,M4))*L11)</f>
        <v>0.000307352272012762</v>
      </c>
      <c r="N25" s="42" t="n">
        <f aca="false">N12-(N11-(1+INDEX(finrate_infl,N4))*M11)</f>
        <v>0.000281072195976236</v>
      </c>
      <c r="O25" s="42" t="n">
        <f aca="false">O12-(O11-(1+INDEX(finrate_infl,O4))*N11)</f>
        <v>0.000253026066632822</v>
      </c>
      <c r="P25" s="26" t="n">
        <f aca="false">P12-(P11-(1+INDEX(finrate_infl,P4))*O11)</f>
        <v>0.000226959770131806</v>
      </c>
      <c r="Q25" s="26" t="n">
        <f aca="false">Q12-(Q11-(1+INDEX(finrate_infl,Q4))*P11)</f>
        <v>0.000199666695415475</v>
      </c>
      <c r="R25" s="26" t="n">
        <f aca="false">R12-(R11-(1+INDEX(finrate_infl,R4))*Q11)</f>
        <v>0.000174113672587909</v>
      </c>
      <c r="S25" s="26" t="n">
        <f aca="false">S12-(S11-(1+INDEX(finrate_infl,S4))*R11)</f>
        <v>0.00014943281071482</v>
      </c>
      <c r="T25" s="26" t="n">
        <f aca="false">T12-(T11-(1+INDEX(finrate_infl,T4))*S11)</f>
        <v>0.000133014615120847</v>
      </c>
      <c r="U25" s="26" t="n">
        <f aca="false">U12-(U11-(1+INDEX(finrate_infl,U4))*T11)</f>
        <v>0.00011608569898694</v>
      </c>
      <c r="V25" s="26" t="n">
        <f aca="false">V12-(V11-(1+INDEX(finrate_infl,V4))*U11)</f>
        <v>0.000105296939118888</v>
      </c>
      <c r="W25" s="26" t="n">
        <f aca="false">W12-(W11-(1+INDEX(finrate_infl,W4))*V11)</f>
        <v>9.69554889638687E-005</v>
      </c>
      <c r="X25" s="26" t="n">
        <f aca="false">X12-(X11-(1+INDEX(finrate_infl,X4))*W11)</f>
        <v>9.94405538081097E-005</v>
      </c>
      <c r="Y25" s="26" t="n">
        <f aca="false">Y12-(Y11-(1+INDEX(finrate_infl,Y4))*X11)</f>
        <v>0.000104535624264521</v>
      </c>
      <c r="Z25" s="26" t="n">
        <f aca="false">Z12-(Z11-(1+INDEX(finrate_infl,Z4))*Y11)</f>
        <v>0.000116985407565995</v>
      </c>
      <c r="AA25" s="26" t="n">
        <f aca="false">AA12-(AA11-(1+INDEX(finrate_infl,AA4))*Z11)</f>
        <v>0.000138610604606966</v>
      </c>
      <c r="AB25" s="26" t="n">
        <f aca="false">AB12-(AB11-(1+INDEX(finrate_infl,AB4))*AA11)</f>
        <v>0.000166273263941107</v>
      </c>
      <c r="AC25" s="26" t="n">
        <f aca="false">AC12-(AC11-(1+INDEX(finrate_infl,AC4))*AB11)</f>
        <v>0.00020638343905174</v>
      </c>
      <c r="AD25" s="26" t="n">
        <f aca="false">AD12-(AD11-(1+INDEX(finrate_infl,AD4))*AC11)</f>
        <v>0.000255277550126692</v>
      </c>
      <c r="AE25" s="26" t="n">
        <f aca="false">AE12-(AE11-(1+INDEX(finrate_infl,AE4))*AD11)</f>
        <v>0.104089209182726</v>
      </c>
      <c r="AF25" s="26" t="n">
        <f aca="false">AF12-(AF11-(1+INDEX(finrate_infl,AF4))*AE11)</f>
        <v>0.00494334219787532</v>
      </c>
    </row>
    <row r="27" customFormat="false" ht="15" hidden="false" customHeight="true" outlineLevel="0" collapsed="false">
      <c r="A27" s="26" t="s">
        <v>789</v>
      </c>
      <c r="C27" s="42" t="n">
        <f aca="false">C7-(C5-INDEX(finrate_infl,C4))*B9</f>
        <v>0.117024085829527</v>
      </c>
      <c r="D27" s="42" t="n">
        <f aca="false">D7-(D5-INDEX(finrate_infl,D4))*C9</f>
        <v>0.123013183738639</v>
      </c>
      <c r="E27" s="42" t="n">
        <f aca="false">E7-(E5-INDEX(finrate_infl,E4))*D9</f>
        <v>0.129217283800585</v>
      </c>
      <c r="F27" s="42" t="n">
        <f aca="false">F7-(F5-INDEX(finrate_infl,F4))*E9</f>
        <v>0.135683011777816</v>
      </c>
      <c r="G27" s="42" t="n">
        <f aca="false">G7-(G5-INDEX(finrate_infl,G4))*F9</f>
        <v>0</v>
      </c>
      <c r="H27" s="42" t="n">
        <f aca="false">H7-(H5-INDEX(finrate_infl,H4))*G9</f>
        <v>0</v>
      </c>
      <c r="I27" s="42" t="n">
        <f aca="false">I7-(I5-INDEX(finrate_infl,I4))*H9</f>
        <v>0</v>
      </c>
      <c r="J27" s="42" t="n">
        <f aca="false">J7-(J5-INDEX(finrate_infl,J4))*I9</f>
        <v>0</v>
      </c>
      <c r="K27" s="42" t="n">
        <f aca="false">K7-(K5-INDEX(finrate_infl,K4))*J9</f>
        <v>0</v>
      </c>
      <c r="L27" s="42" t="n">
        <f aca="false">L7-(L5-INDEX(finrate_infl,L4))*K9</f>
        <v>0</v>
      </c>
      <c r="M27" s="42" t="n">
        <f aca="false">M7-(M5-INDEX(finrate_infl,M4))*L9</f>
        <v>0</v>
      </c>
      <c r="N27" s="42" t="n">
        <f aca="false">N7-(N5-INDEX(finrate_infl,N4))*M9</f>
        <v>0</v>
      </c>
      <c r="O27" s="42" t="n">
        <f aca="false">O7-(O5-INDEX(finrate_infl,O4))*N9</f>
        <v>0</v>
      </c>
      <c r="P27" s="26" t="n">
        <f aca="false">P7-(P5-INDEX(finrate_infl,P4))*O9</f>
        <v>0</v>
      </c>
      <c r="Q27" s="26" t="n">
        <f aca="false">Q7-(Q5-INDEX(finrate_infl,Q4))*P9</f>
        <v>0</v>
      </c>
      <c r="R27" s="26" t="n">
        <f aca="false">R7-(R5-INDEX(finrate_infl,R4))*Q9</f>
        <v>0</v>
      </c>
      <c r="S27" s="26" t="n">
        <f aca="false">S7-(S5-INDEX(finrate_infl,S4))*R9</f>
        <v>0</v>
      </c>
      <c r="T27" s="26" t="n">
        <f aca="false">T7-(T5-INDEX(finrate_infl,T4))*S9</f>
        <v>0</v>
      </c>
      <c r="U27" s="26" t="n">
        <f aca="false">U7-(U5-INDEX(finrate_infl,U4))*T9</f>
        <v>0</v>
      </c>
      <c r="V27" s="26" t="n">
        <f aca="false">V7-(V5-INDEX(finrate_infl,V4))*U9</f>
        <v>0</v>
      </c>
      <c r="W27" s="26" t="n">
        <f aca="false">W7-(W5-INDEX(finrate_infl,W4))*V9</f>
        <v>0</v>
      </c>
      <c r="X27" s="26" t="n">
        <f aca="false">X7-(X5-INDEX(finrate_infl,X4))*W9</f>
        <v>0</v>
      </c>
      <c r="Y27" s="26" t="n">
        <f aca="false">Y7-(Y5-INDEX(finrate_infl,Y4))*X9</f>
        <v>0</v>
      </c>
      <c r="Z27" s="26" t="n">
        <f aca="false">Z7-(Z5-INDEX(finrate_infl,Z4))*Y9</f>
        <v>0</v>
      </c>
      <c r="AA27" s="26" t="n">
        <f aca="false">AA7-(AA5-INDEX(finrate_infl,AA4))*Z9</f>
        <v>0</v>
      </c>
      <c r="AB27" s="26" t="n">
        <f aca="false">AB7-(AB5-INDEX(finrate_infl,AB4))*AA9</f>
        <v>0</v>
      </c>
      <c r="AC27" s="26" t="n">
        <f aca="false">AC7-(AC5-INDEX(finrate_infl,AC4))*AB9</f>
        <v>0</v>
      </c>
      <c r="AD27" s="26" t="n">
        <f aca="false">AD7-(AD5-INDEX(finrate_infl,AD4))*AC9</f>
        <v>0</v>
      </c>
      <c r="AE27" s="26" t="n">
        <f aca="false">AE7-(AE5-INDEX(finrate_infl,AE4))*AD9</f>
        <v>0</v>
      </c>
      <c r="AF27" s="26" t="n">
        <f aca="false">AF7-(AF5-INDEX(finrate_infl,AF4))*AE9</f>
        <v>0</v>
      </c>
    </row>
    <row r="28" customFormat="false" ht="15" hidden="false" customHeight="true" outlineLevel="0" collapsed="false">
      <c r="A28" s="26" t="s">
        <v>790</v>
      </c>
      <c r="C28" s="42" t="n">
        <f aca="false">C8-(C14-INDEX(finrate_infl,C4))*B10</f>
        <v>0.117024085829527</v>
      </c>
      <c r="D28" s="42" t="n">
        <f aca="false">D8-(D14-INDEX(finrate_infl,D4))*C10</f>
        <v>0.123013183738639</v>
      </c>
      <c r="E28" s="42" t="n">
        <f aca="false">E8-(E14-INDEX(finrate_infl,E4))*D10</f>
        <v>0.129217283800585</v>
      </c>
      <c r="F28" s="42" t="n">
        <f aca="false">F8-(F14-INDEX(finrate_infl,F4))*E10</f>
        <v>0.135683011777816</v>
      </c>
      <c r="G28" s="42" t="n">
        <f aca="false">G8-(G14-INDEX(finrate_infl,G4))*F10</f>
        <v>0</v>
      </c>
      <c r="H28" s="42" t="n">
        <f aca="false">H8-(H14-INDEX(finrate_infl,H4))*G10</f>
        <v>0</v>
      </c>
      <c r="I28" s="42" t="n">
        <f aca="false">I8-(I14-INDEX(finrate_infl,I4))*H10</f>
        <v>0</v>
      </c>
      <c r="J28" s="42" t="n">
        <f aca="false">J8-(J14-INDEX(finrate_infl,J4))*I10</f>
        <v>0</v>
      </c>
      <c r="K28" s="42" t="n">
        <f aca="false">K8-(K14-INDEX(finrate_infl,K4))*J10</f>
        <v>0</v>
      </c>
      <c r="L28" s="42" t="n">
        <f aca="false">L8-(L14-INDEX(finrate_infl,L4))*K10</f>
        <v>0</v>
      </c>
      <c r="M28" s="42" t="n">
        <f aca="false">M8-(M14-INDEX(finrate_infl,M4))*L10</f>
        <v>0</v>
      </c>
      <c r="N28" s="42" t="n">
        <f aca="false">N8-(N14-INDEX(finrate_infl,N4))*M10</f>
        <v>0</v>
      </c>
      <c r="O28" s="42" t="n">
        <f aca="false">O8-(O14-INDEX(finrate_infl,O4))*N10</f>
        <v>0</v>
      </c>
      <c r="P28" s="26" t="n">
        <f aca="false">P8-(P14-INDEX(finrate_infl,P4))*O10</f>
        <v>0</v>
      </c>
      <c r="Q28" s="26" t="n">
        <f aca="false">Q8-(Q14-INDEX(finrate_infl,Q4))*P10</f>
        <v>0</v>
      </c>
      <c r="R28" s="26" t="n">
        <f aca="false">R8-(R14-INDEX(finrate_infl,R4))*Q10</f>
        <v>0</v>
      </c>
      <c r="S28" s="26" t="n">
        <f aca="false">S8-(S14-INDEX(finrate_infl,S4))*R10</f>
        <v>0</v>
      </c>
      <c r="T28" s="26" t="n">
        <f aca="false">T8-(T14-INDEX(finrate_infl,T4))*S10</f>
        <v>0</v>
      </c>
      <c r="U28" s="26" t="n">
        <f aca="false">U8-(U14-INDEX(finrate_infl,U4))*T10</f>
        <v>0</v>
      </c>
      <c r="V28" s="26" t="n">
        <f aca="false">V8-(V14-INDEX(finrate_infl,V4))*U10</f>
        <v>0</v>
      </c>
      <c r="W28" s="26" t="n">
        <f aca="false">W8-(W14-INDEX(finrate_infl,W4))*V10</f>
        <v>0</v>
      </c>
      <c r="X28" s="26" t="n">
        <f aca="false">X8-(X14-INDEX(finrate_infl,X4))*W10</f>
        <v>0</v>
      </c>
      <c r="Y28" s="26" t="n">
        <f aca="false">Y8-(Y14-INDEX(finrate_infl,Y4))*X10</f>
        <v>0</v>
      </c>
      <c r="Z28" s="26" t="n">
        <f aca="false">Z8-(Z14-INDEX(finrate_infl,Z4))*Y10</f>
        <v>0</v>
      </c>
      <c r="AA28" s="26" t="n">
        <f aca="false">AA8-(AA14-INDEX(finrate_infl,AA4))*Z10</f>
        <v>0</v>
      </c>
      <c r="AB28" s="26" t="n">
        <f aca="false">AB8-(AB14-INDEX(finrate_infl,AB4))*AA10</f>
        <v>0</v>
      </c>
      <c r="AC28" s="26" t="n">
        <f aca="false">AC8-(AC14-INDEX(finrate_infl,AC4))*AB10</f>
        <v>0</v>
      </c>
      <c r="AD28" s="26" t="n">
        <f aca="false">AD8-(AD14-INDEX(finrate_infl,AD4))*AC10</f>
        <v>0</v>
      </c>
      <c r="AE28" s="26" t="n">
        <f aca="false">AE8-(AE14-INDEX(finrate_infl,AE4))*AD10</f>
        <v>0</v>
      </c>
      <c r="AF28" s="26" t="n">
        <f aca="false">AF8-(AF14-INDEX(finrate_infl,AF4))*AE10</f>
        <v>0</v>
      </c>
    </row>
    <row r="29" customFormat="false" ht="15" hidden="false" customHeight="true" outlineLevel="0" collapsed="false">
      <c r="A29" s="26" t="s">
        <v>791</v>
      </c>
      <c r="C29" s="42" t="n">
        <f aca="false">C12-(C6-INDEX(finrate_infl,C4))*B11</f>
        <v>1.77809156287623E-017</v>
      </c>
      <c r="D29" s="42" t="n">
        <f aca="false">D12-(D6-INDEX(finrate_infl,D4))*C11</f>
        <v>3.18755438710738E-017</v>
      </c>
      <c r="E29" s="42" t="n">
        <f aca="false">E12-(E6-INDEX(finrate_infl,E4))*D11</f>
        <v>1.21430643318377E-017</v>
      </c>
      <c r="F29" s="42" t="n">
        <f aca="false">F12-(F6-INDEX(finrate_infl,F4))*E11</f>
        <v>-2.29850860566927E-017</v>
      </c>
      <c r="G29" s="42" t="n">
        <f aca="false">G12-(G6-INDEX(finrate_infl,G4))*F11</f>
        <v>0</v>
      </c>
      <c r="H29" s="42" t="n">
        <f aca="false">H12-(H6-INDEX(finrate_infl,H4))*G11</f>
        <v>0</v>
      </c>
      <c r="I29" s="42" t="n">
        <f aca="false">I12-(I6-INDEX(finrate_infl,I4))*H11</f>
        <v>0</v>
      </c>
      <c r="J29" s="42" t="n">
        <f aca="false">J12-(J6-INDEX(finrate_infl,J4))*I11</f>
        <v>0</v>
      </c>
      <c r="K29" s="42" t="n">
        <f aca="false">K12-(K6-INDEX(finrate_infl,K4))*J11</f>
        <v>0</v>
      </c>
      <c r="L29" s="42" t="n">
        <f aca="false">L12-(L6-INDEX(finrate_infl,L4))*K11</f>
        <v>0</v>
      </c>
      <c r="M29" s="42" t="n">
        <f aca="false">M12-(M6-INDEX(finrate_infl,M4))*L11</f>
        <v>0</v>
      </c>
      <c r="N29" s="42" t="n">
        <f aca="false">N12-(N6-INDEX(finrate_infl,N4))*M11</f>
        <v>0</v>
      </c>
      <c r="O29" s="42" t="n">
        <f aca="false">O12-(O6-INDEX(finrate_infl,O4))*N11</f>
        <v>1.0842021724855E-017</v>
      </c>
      <c r="P29" s="26" t="n">
        <f aca="false">P12-(P6-INDEX(finrate_infl,P4))*O11</f>
        <v>0</v>
      </c>
      <c r="Q29" s="26" t="n">
        <f aca="false">Q12-(Q6-INDEX(finrate_infl,Q4))*P11</f>
        <v>0</v>
      </c>
      <c r="R29" s="26" t="n">
        <f aca="false">R12-(R6-INDEX(finrate_infl,R4))*Q11</f>
        <v>1.25767452008319E-017</v>
      </c>
      <c r="S29" s="26" t="n">
        <f aca="false">S12-(S6-INDEX(finrate_infl,S4))*R11</f>
        <v>0</v>
      </c>
      <c r="T29" s="26" t="n">
        <f aca="false">T12-(T6-INDEX(finrate_infl,T4))*S11</f>
        <v>0</v>
      </c>
      <c r="U29" s="26" t="n">
        <f aca="false">U12-(U6-INDEX(finrate_infl,U4))*T11</f>
        <v>0</v>
      </c>
      <c r="V29" s="26" t="n">
        <f aca="false">V12-(V6-INDEX(finrate_infl,V4))*U11</f>
        <v>0</v>
      </c>
      <c r="W29" s="26" t="n">
        <f aca="false">W12-(W6-INDEX(finrate_infl,W4))*V11</f>
        <v>0</v>
      </c>
      <c r="X29" s="26" t="n">
        <f aca="false">X12-(X6-INDEX(finrate_infl,X4))*W11</f>
        <v>0</v>
      </c>
      <c r="Y29" s="26" t="n">
        <f aca="false">Y12-(Y6-INDEX(finrate_infl,Y4))*X11</f>
        <v>0</v>
      </c>
      <c r="Z29" s="26" t="n">
        <f aca="false">Z12-(Z6-INDEX(finrate_infl,Z4))*Y11</f>
        <v>0</v>
      </c>
      <c r="AA29" s="26" t="n">
        <f aca="false">AA12-(AA6-INDEX(finrate_infl,AA4))*Z11</f>
        <v>0</v>
      </c>
      <c r="AB29" s="26" t="n">
        <f aca="false">AB12-(AB6-INDEX(finrate_infl,AB4))*AA11</f>
        <v>0</v>
      </c>
      <c r="AC29" s="26" t="n">
        <f aca="false">AC12-(AC6-INDEX(finrate_infl,AC4))*AB11</f>
        <v>0</v>
      </c>
      <c r="AD29" s="26" t="n">
        <f aca="false">AD12-(AD6-INDEX(finrate_infl,AD4))*AC11</f>
        <v>0</v>
      </c>
      <c r="AE29" s="26" t="n">
        <f aca="false">AE12-(AE6-INDEX(finrate_infl,AE4))*AD11</f>
        <v>0</v>
      </c>
      <c r="AF29" s="26" t="n">
        <f aca="false">AF12-(AF6-INDEX(finrate_infl,AF4))*AE11</f>
        <v>0</v>
      </c>
    </row>
    <row r="31" customFormat="false" ht="15" hidden="false" customHeight="true" outlineLevel="0" collapsed="false">
      <c r="A31" s="23" t="s">
        <v>792</v>
      </c>
      <c r="B31" s="54" t="n">
        <f aca="false">INDEX(finrate_coe,COLUMNS(finrate_coe))</f>
        <v>0.0694623836832437</v>
      </c>
      <c r="C31" s="54" t="n">
        <f aca="false">IF(cfg_rf_mode="Single",in_rf_lr,(O5*0+INDEX(finrate_coe,COLUMNS(finrate_coe))+O13*INDEX(finrate_cod,COLUMNS(finrate_cod)))/(1+O13))</f>
        <v>0.0600023319223917</v>
      </c>
      <c r="D31" s="54" t="n">
        <f aca="false">INDEX(finrate_cod,COLUMNS(finrate_cod))</f>
        <v>0.0454540855351659</v>
      </c>
    </row>
    <row r="33" customFormat="false" ht="15" hidden="false" customHeight="true" outlineLevel="0" collapsed="false">
      <c r="A33" s="4" t="s">
        <v>793</v>
      </c>
    </row>
    <row r="34" customFormat="false" ht="15" hidden="false" customHeight="true" outlineLevel="0" collapsed="false">
      <c r="A34" s="26" t="s">
        <v>794</v>
      </c>
      <c r="B34" s="42" t="n">
        <f aca="false">B9+SUMPRODUCT(C27:AF27,C15:AF15)+(INDEX(C27:AF27,cfg_N)/B31)*INDEX(C15:AF15,cfg_N)</f>
        <v>1.92206137821647</v>
      </c>
    </row>
    <row r="35" customFormat="false" ht="15" hidden="false" customHeight="true" outlineLevel="0" collapsed="false">
      <c r="A35" s="26" t="s">
        <v>795</v>
      </c>
      <c r="B35" s="42" t="n">
        <f aca="false">SUMPRODUCT(C24:AF24,C15:AF15)+AF9*AF15+(INDEX(C27:AF27,cfg_N)/B31)*INDEX(C15:AF15,cfg_N)</f>
        <v>1.92206137821647</v>
      </c>
    </row>
    <row r="36" customFormat="false" ht="15" hidden="false" customHeight="true" outlineLevel="0" collapsed="false">
      <c r="A36" s="26" t="s">
        <v>796</v>
      </c>
      <c r="B36" s="42" t="n">
        <f aca="false">B11+SUMPRODUCT(C29:AF29,C17:AF17)</f>
        <v>0.0600413571346481</v>
      </c>
    </row>
    <row r="37" customFormat="false" ht="15" hidden="false" customHeight="true" outlineLevel="0" collapsed="false">
      <c r="A37" s="26" t="s">
        <v>797</v>
      </c>
      <c r="B37" s="42" t="n">
        <f aca="false">B35+B36</f>
        <v>1.98210273535112</v>
      </c>
    </row>
    <row r="38" customFormat="false" ht="15" hidden="false" customHeight="true" outlineLevel="0" collapsed="false">
      <c r="A38" s="26" t="s">
        <v>798</v>
      </c>
      <c r="B38" s="42" t="n">
        <f aca="false">B37-B36</f>
        <v>1.92206137821647</v>
      </c>
    </row>
    <row r="39" customFormat="false" ht="15" hidden="false" customHeight="true" outlineLevel="0" collapsed="false">
      <c r="A39" s="7" t="s">
        <v>799</v>
      </c>
      <c r="B39" s="62" t="n">
        <f aca="false">B10+SUMPRODUCT(C28:AF28,C16:AF16)+(INDEX(C28:AF28,cfg_N)/C31)*INDEX(C16:AF16,cfg_N)</f>
        <v>2.30073591815709</v>
      </c>
    </row>
    <row r="40" customFormat="false" ht="15" hidden="false" customHeight="true" outlineLevel="0" collapsed="false">
      <c r="A40" s="7" t="s">
        <v>800</v>
      </c>
      <c r="B40" s="62" t="n">
        <f aca="false">(B39-B36)-B38</f>
        <v>0.318633182805975</v>
      </c>
    </row>
    <row r="42" customFormat="false" ht="15" hidden="false" customHeight="true" outlineLevel="0" collapsed="false">
      <c r="A42" s="4" t="s">
        <v>801</v>
      </c>
    </row>
    <row r="43" customFormat="false" ht="15" hidden="false" customHeight="true" outlineLevel="0" collapsed="false">
      <c r="A43" s="23" t="s">
        <v>802</v>
      </c>
      <c r="B43" s="63" t="n">
        <f aca="false">B35-B34</f>
        <v>0</v>
      </c>
    </row>
    <row r="44" customFormat="false" ht="15" hidden="false" customHeight="true" outlineLevel="0" collapsed="false">
      <c r="A44" s="23" t="s">
        <v>803</v>
      </c>
      <c r="B44" s="63" t="n">
        <f aca="false">B38-B34</f>
        <v>0</v>
      </c>
    </row>
    <row r="45" customFormat="false" ht="15" hidden="false" customHeight="true" outlineLevel="0" collapsed="false">
      <c r="A45" s="56" t="s">
        <v>804</v>
      </c>
      <c r="B45" s="57" t="n">
        <f aca="false">B34/anchor_shares0</f>
        <v>128.094726972107</v>
      </c>
    </row>
    <row r="46" customFormat="false" ht="15" hidden="false" customHeight="true" outlineLevel="0" collapsed="false">
      <c r="A46" s="23" t="s">
        <v>126</v>
      </c>
      <c r="B46" s="23" t="str">
        <f aca="false">IF(AND(ABS(B43)&lt;in_tie_tol*B34,ABS(B44)&lt;in_tie_tol*B34),"ALL SPOKES TIE ✓","investigate")</f>
        <v>ALL SPOKES TIE ✓</v>
      </c>
    </row>
    <row r="48" customFormat="false" ht="15" hidden="false" customHeight="false" outlineLevel="0" collapsed="false">
      <c r="A48" s="1" t="s">
        <v>805</v>
      </c>
    </row>
    <row r="49" customFormat="false" ht="15" hidden="false" customHeight="false" outlineLevel="0" collapsed="false">
      <c r="A49" s="1" t="s">
        <v>806</v>
      </c>
      <c r="B49" s="64" t="n">
        <f aca="false">B35</f>
        <v>1.92206137821647</v>
      </c>
      <c r="C49" s="1" t="n">
        <f aca="false">B49*(1+C5)-C24</f>
        <v>1.95976833921922</v>
      </c>
      <c r="D49" s="1" t="n">
        <f aca="false">C49*(1+D5)-D24</f>
        <v>1.99649297229003</v>
      </c>
      <c r="E49" s="1" t="n">
        <f aca="false">D49*(1+E5)-E24</f>
        <v>2.03197044662311</v>
      </c>
      <c r="F49" s="1" t="n">
        <f aca="false">E49*(1+F5)-F24</f>
        <v>2.0658472666645</v>
      </c>
      <c r="G49" s="1" t="n">
        <f aca="false">F49*(1+G5)-G24</f>
        <v>2.24015240991481</v>
      </c>
      <c r="H49" s="1" t="n">
        <f aca="false">G49*(1+H5)-H24</f>
        <v>2.43144495027922</v>
      </c>
      <c r="I49" s="1" t="n">
        <f aca="false">H49*(1+I5)-I24</f>
        <v>2.64144578128593</v>
      </c>
      <c r="J49" s="1" t="n">
        <f aca="false">I49*(1+J5)-J24</f>
        <v>2.87204123312709</v>
      </c>
      <c r="K49" s="1" t="n">
        <f aca="false">J49*(1+K5)-K24</f>
        <v>3.1251976134283</v>
      </c>
      <c r="L49" s="1" t="n">
        <f aca="false">K49*(1+L5)-L24</f>
        <v>3.40316351849233</v>
      </c>
      <c r="M49" s="1" t="n">
        <f aca="false">L49*(1+M5)-M24</f>
        <v>3.70831771027361</v>
      </c>
      <c r="N49" s="1" t="n">
        <f aca="false">M49*(1+N5)-N24</f>
        <v>4.04332367336297</v>
      </c>
      <c r="O49" s="1" t="n">
        <f aca="false">N49*(1+O5)-O24</f>
        <v>4.41101213755456</v>
      </c>
      <c r="P49" s="1" t="n">
        <f aca="false">O49*(1+P5)-P24</f>
        <v>4.8144383449438</v>
      </c>
      <c r="Q49" s="1" t="n">
        <f aca="false">P49*(1+Q5)-Q24</f>
        <v>5.25698703165143</v>
      </c>
      <c r="R49" s="1" t="n">
        <f aca="false">Q49*(1+R5)-R24</f>
        <v>5.74242587768434</v>
      </c>
      <c r="S49" s="1" t="n">
        <f aca="false">R49*(1+S5)-S24</f>
        <v>6.27481886532163</v>
      </c>
      <c r="T49" s="1" t="n">
        <f aca="false">S49*(1+T5)-T24</f>
        <v>6.85813387838337</v>
      </c>
      <c r="U49" s="1" t="n">
        <f aca="false">T49*(1+U5)-U24</f>
        <v>7.49753945219389</v>
      </c>
      <c r="V49" s="1" t="n">
        <f aca="false">U49*(1+V5)-V24</f>
        <v>8.19785045000153</v>
      </c>
      <c r="W49" s="1" t="n">
        <f aca="false">V49*(1+W5)-W24</f>
        <v>8.96480757651212</v>
      </c>
      <c r="X49" s="1" t="n">
        <f aca="false">W49*(1+X5)-X24</f>
        <v>9.80412205035062</v>
      </c>
      <c r="Y49" s="1" t="n">
        <f aca="false">X49*(1+Y5)-Y24</f>
        <v>10.7227639470937</v>
      </c>
      <c r="Z49" s="1" t="n">
        <f aca="false">Y49*(1+Z5)-Z24</f>
        <v>11.7274790869754</v>
      </c>
      <c r="AA49" s="1" t="n">
        <f aca="false">Z49*(1+AA5)-AA24</f>
        <v>12.8256764656652</v>
      </c>
      <c r="AB49" s="1" t="n">
        <f aca="false">AA49*(1+AB5)-AB24</f>
        <v>14.025962992438</v>
      </c>
      <c r="AC49" s="1" t="n">
        <f aca="false">AB49*(1+AC5)-AC24</f>
        <v>15.3370565782341</v>
      </c>
      <c r="AD49" s="1" t="n">
        <f aca="false">AC49*(1+AD5)-AD24</f>
        <v>16.7683007341256</v>
      </c>
      <c r="AE49" s="1" t="n">
        <f aca="false">AD49*(1+AE5)-AE24</f>
        <v>18.3301550301594</v>
      </c>
      <c r="AF49" s="1" t="n">
        <f aca="false">AE49*(1+AF5)-AF24</f>
        <v>20.033392856098</v>
      </c>
    </row>
    <row r="50" customFormat="false" ht="15" hidden="false" customHeight="false" outlineLevel="0" collapsed="false">
      <c r="A50" s="1" t="s">
        <v>807</v>
      </c>
      <c r="B50" s="64" t="n">
        <f aca="false">B36</f>
        <v>0.0600413571346481</v>
      </c>
      <c r="C50" s="1" t="n">
        <f aca="false">B50*(1+C6)-C25</f>
        <v>0.0633881704557762</v>
      </c>
      <c r="D50" s="1" t="n">
        <f aca="false">C50*(1+D6)-D25</f>
        <v>0.0666445242142696</v>
      </c>
      <c r="E50" s="1" t="n">
        <f aca="false">D50*(1+E6)-E25</f>
        <v>0.0698838026327507</v>
      </c>
      <c r="F50" s="1" t="n">
        <f aca="false">E50*(1+F6)-F25</f>
        <v>0.0731642703478409</v>
      </c>
      <c r="G50" s="1" t="n">
        <f aca="false">F50*(1+G6)-G25</f>
        <v>0.0765327622543293</v>
      </c>
      <c r="H50" s="1" t="n">
        <f aca="false">G50*(1+H6)-H25</f>
        <v>0.0800261023467608</v>
      </c>
      <c r="I50" s="1" t="n">
        <f aca="false">H50*(1+I6)-I25</f>
        <v>0.0836740000219901</v>
      </c>
      <c r="J50" s="1" t="n">
        <f aca="false">I50*(1+J6)-J25</f>
        <v>0.0875017695248763</v>
      </c>
      <c r="K50" s="1" t="n">
        <f aca="false">J50*(1+K6)-K25</f>
        <v>0.0915293761020511</v>
      </c>
      <c r="L50" s="1" t="n">
        <f aca="false">K50*(1+L6)-L25</f>
        <v>0.0957758682949968</v>
      </c>
      <c r="M50" s="1" t="n">
        <f aca="false">L50*(1+M6)-M25</f>
        <v>0.100257309437734</v>
      </c>
      <c r="N50" s="1" t="n">
        <f aca="false">M50*(1+N6)-N25</f>
        <v>0.104989102713644</v>
      </c>
      <c r="O50" s="1" t="n">
        <f aca="false">N50*(1+O6)-O25</f>
        <v>0.109985531782694</v>
      </c>
      <c r="P50" s="1" t="n">
        <f aca="false">O50*(1+P6)-P25</f>
        <v>0.115257848601697</v>
      </c>
      <c r="Q50" s="1" t="n">
        <f aca="false">P50*(1+Q6)-Q25</f>
        <v>0.120821074336366</v>
      </c>
      <c r="R50" s="1" t="n">
        <f aca="false">Q50*(1+R6)-R25</f>
        <v>0.126688014380596</v>
      </c>
      <c r="S50" s="1" t="n">
        <f aca="false">R50*(1+S6)-S25</f>
        <v>0.132872982288911</v>
      </c>
      <c r="T50" s="1" t="n">
        <f aca="false">S50*(1+T6)-T25</f>
        <v>0.139383616788236</v>
      </c>
      <c r="U50" s="1" t="n">
        <f aca="false">T50*(1+U6)-U25</f>
        <v>0.146236711928661</v>
      </c>
      <c r="V50" s="1" t="n">
        <f aca="false">U50*(1+V6)-V25</f>
        <v>0.153443250585975</v>
      </c>
      <c r="W50" s="1" t="n">
        <f aca="false">V50*(1+W6)-W25</f>
        <v>0.16101845762631</v>
      </c>
      <c r="X50" s="1" t="n">
        <f aca="false">W50*(1+X6)-X25</f>
        <v>0.168969939953817</v>
      </c>
      <c r="Y50" s="1" t="n">
        <f aca="false">X50*(1+Y6)-Y25</f>
        <v>0.177313901327244</v>
      </c>
      <c r="Z50" s="1" t="n">
        <f aca="false">Y50*(1+Z6)-Z25</f>
        <v>0.18606261098604</v>
      </c>
      <c r="AA50" s="1" t="n">
        <f aca="false">Z50*(1+AA6)-AA25</f>
        <v>0.195227130930735</v>
      </c>
      <c r="AB50" s="1" t="n">
        <f aca="false">AA50*(1+AB6)-AB25</f>
        <v>0.204822214213331</v>
      </c>
      <c r="AC50" s="1" t="n">
        <f aca="false">AB50*(1+AC6)-AC25</f>
        <v>0.214856941484946</v>
      </c>
      <c r="AD50" s="1" t="n">
        <f aca="false">AC50*(1+AD6)-AD25</f>
        <v>0.225344511009066</v>
      </c>
      <c r="AE50" s="1" t="n">
        <f aca="false">AD50*(1+AE6)-AE25</f>
        <v>0.236297786821534</v>
      </c>
      <c r="AF50" s="1" t="n">
        <f aca="false">AE50*(1+AF6)-AF25</f>
        <v>0.247721940152777</v>
      </c>
    </row>
    <row r="51" customFormat="false" ht="15" hidden="false" customHeight="false" outlineLevel="0" collapsed="false">
      <c r="A51" s="1" t="s">
        <v>808</v>
      </c>
      <c r="C51" s="1" t="n">
        <f aca="false">IF((B49+B50)=0,0,(C5*B49+C6*B50)/(B49+B50))</f>
        <v>0.080790358690327</v>
      </c>
      <c r="D51" s="1" t="n">
        <f aca="false">IF((C49+C50)=0,0,(D5*C49+D6*C50)/(C49+C50))</f>
        <v>0.0820494192618713</v>
      </c>
      <c r="E51" s="1" t="n">
        <f aca="false">IF((D49+D50)=0,0,(E5*D49+E6*D50)/(D49+D50))</f>
        <v>0.0832169311657911</v>
      </c>
      <c r="F51" s="1" t="n">
        <f aca="false">IF((E49+E50)=0,0,(F5*E49+F6*E50)/(E49+E50))</f>
        <v>0.0843047413177167</v>
      </c>
      <c r="G51" s="1" t="n">
        <f aca="false">IF((F49+F50)=0,0,(G5*F49+G6*F50)/(F49+F50))</f>
        <v>0.0853315070161764</v>
      </c>
      <c r="H51" s="1" t="n">
        <f aca="false">IF((G49+G50)=0,0,(H5*G49+H6*G50)/(G49+G50))</f>
        <v>0.0863547475739955</v>
      </c>
      <c r="I51" s="1" t="n">
        <f aca="false">IF((H49+H50)=0,0,(I5*H49+I6*H50)/(H49+H50))</f>
        <v>0.087315000344769</v>
      </c>
      <c r="J51" s="1" t="n">
        <f aca="false">IF((I49+I50)=0,0,(J5*I49+J6*I50)/(I49+I50))</f>
        <v>0.0882162815452352</v>
      </c>
      <c r="K51" s="1" t="n">
        <f aca="false">IF((J49+J50)=0,0,(K5*J49+K6*J50)/(J49+J50))</f>
        <v>0.0890263992830021</v>
      </c>
      <c r="L51" s="1" t="n">
        <f aca="false">IF((K49+K50)=0,0,(L5*K49+L6*K50)/(K49+K50))</f>
        <v>0.0897850418939204</v>
      </c>
      <c r="M51" s="1" t="n">
        <f aca="false">IF((L49+L50)=0,0,(M5*L49+M6*L50)/(L49+L50))</f>
        <v>0.0904685620748744</v>
      </c>
      <c r="N51" s="1" t="n">
        <f aca="false">IF((M49+M50)=0,0,(N5*M49+N6*M50)/(M49+M50))</f>
        <v>0.0910994766500868</v>
      </c>
      <c r="O51" s="1" t="n">
        <f aca="false">IF((N49+N50)=0,0,(O5*N49+O6*N50)/(N49+N50))</f>
        <v>0.091658421755777</v>
      </c>
      <c r="P51" s="1" t="n">
        <f aca="false">IF((O49+O50)=0,0,(P5*O49+P6*O50)/(O49+O50))</f>
        <v>0.0921434912794506</v>
      </c>
      <c r="Q51" s="1" t="n">
        <f aca="false">IF((P49+P50)=0,0,(Q5*P49+Q6*P50)/(P49+P50))</f>
        <v>0.0925706023161351</v>
      </c>
      <c r="R51" s="1" t="n">
        <f aca="false">IF((Q49+Q50)=0,0,(R5*Q49+R6*Q50)/(Q49+Q50))</f>
        <v>0.0929585164048111</v>
      </c>
      <c r="S51" s="1" t="n">
        <f aca="false">IF((R49+R50)=0,0,(S5*R49+S6*R50)/(R49+R50))</f>
        <v>0.0932984235147317</v>
      </c>
      <c r="T51" s="1" t="n">
        <f aca="false">IF((S49+S50)=0,0,(T5*S49+T6*S50)/(S49+S50))</f>
        <v>0.0935195283553067</v>
      </c>
      <c r="U51" s="1" t="n">
        <f aca="false">IF((T49+T50)=0,0,(U5*T49+U6*T50)/(T49+T50))</f>
        <v>0.0937654211898162</v>
      </c>
      <c r="V51" s="1" t="n">
        <f aca="false">IF((U49+U50)=0,0,(V5*U49+V6*U50)/(U49+U50))</f>
        <v>0.0939134191592033</v>
      </c>
      <c r="W51" s="1" t="n">
        <f aca="false">IF((V49+V50)=0,0,(W5*V49+W6*V50)/(V49+V50))</f>
        <v>0.0940411792805978</v>
      </c>
      <c r="X51" s="1" t="n">
        <f aca="false">IF((W49+W50)=0,0,(X5*W49+X6*W50)/(W49+W50))</f>
        <v>0.0940881056663308</v>
      </c>
      <c r="Y51" s="1" t="n">
        <f aca="false">IF((X49+X50)=0,0,(Y5*X49+Y6*X50)/(X49+X50))</f>
        <v>0.0941453389599892</v>
      </c>
      <c r="Z51" s="1" t="n">
        <f aca="false">IF((Y49+Y50)=0,0,(Z5*Y49+Z6*Y50)/(Y49+Y50))</f>
        <v>0.0941270776310773</v>
      </c>
      <c r="AA51" s="1" t="n">
        <f aca="false">IF((Z49+Z50)=0,0,(AA5*Z49+AA6*Z50)/(Z49+Z50))</f>
        <v>0.094054254656886</v>
      </c>
      <c r="AB51" s="1" t="n">
        <f aca="false">IF((AA49+AA50)=0,0,(AB5*AA49+AB6*AA50)/(AA49+AA50))</f>
        <v>0.093980335864705</v>
      </c>
      <c r="AC51" s="1" t="n">
        <f aca="false">IF((AB49+AB50)=0,0,(AC5*AB49+AC6*AB50)/(AB49+AB50))</f>
        <v>0.093857679037359</v>
      </c>
      <c r="AD51" s="1" t="n">
        <f aca="false">IF((AC49+AC50)=0,0,(AD5*AC49+AD6*AC50)/(AC49+AC50))</f>
        <v>0.0936873120558884</v>
      </c>
      <c r="AE51" s="1" t="n">
        <f aca="false">IF((AD49+AD50)=0,0,(AE5*AD49+AE6*AD50)/(AD49+AD50))</f>
        <v>0.0996052648025132</v>
      </c>
      <c r="AF51" s="1" t="n">
        <f aca="false">IF((AE49+AE50)=0,0,(AF5*AE49+AF6*AE50)/(AE49+AE50))</f>
        <v>0.0935090122842967</v>
      </c>
    </row>
    <row r="52" customFormat="false" ht="15" hidden="false" customHeight="false" outlineLevel="0" collapsed="false">
      <c r="A52" s="1" t="s">
        <v>809</v>
      </c>
      <c r="B52" s="1" t="n">
        <v>1</v>
      </c>
      <c r="C52" s="1" t="n">
        <f aca="false">B52/(1+C51)</f>
        <v>0.925248816256812</v>
      </c>
      <c r="D52" s="1" t="n">
        <f aca="false">C52/(1+D51)</f>
        <v>0.855089240644829</v>
      </c>
      <c r="E52" s="1" t="n">
        <f aca="false">D52/(1+E51)</f>
        <v>0.789397964565192</v>
      </c>
      <c r="F52" s="1" t="n">
        <f aca="false">E52/(1+F51)</f>
        <v>0.728022238107955</v>
      </c>
      <c r="G52" s="1" t="n">
        <f aca="false">F52/(1+G51)</f>
        <v>0.670783289162455</v>
      </c>
      <c r="H52" s="1" t="n">
        <f aca="false">G52/(1+H51)</f>
        <v>0.617462473156602</v>
      </c>
      <c r="I52" s="1" t="n">
        <f aca="false">H52/(1+I51)</f>
        <v>0.567878188897252</v>
      </c>
      <c r="J52" s="1" t="n">
        <f aca="false">I52/(1+J51)</f>
        <v>0.521843128546911</v>
      </c>
      <c r="K52" s="1" t="n">
        <f aca="false">J52/(1+K51)</f>
        <v>0.479183175807753</v>
      </c>
      <c r="L52" s="1" t="n">
        <f aca="false">K52/(1+L51)</f>
        <v>0.439704306250147</v>
      </c>
      <c r="M52" s="1" t="n">
        <f aca="false">L52/(1+M51)</f>
        <v>0.403225110326432</v>
      </c>
      <c r="N52" s="1" t="n">
        <f aca="false">M52/(1+N51)</f>
        <v>0.36955852234887</v>
      </c>
      <c r="O52" s="1" t="n">
        <f aca="false">N52/(1+O51)</f>
        <v>0.338529447475418</v>
      </c>
      <c r="P52" s="1" t="n">
        <f aca="false">O52/(1+P51)</f>
        <v>0.30996792104564</v>
      </c>
      <c r="Q52" s="1" t="n">
        <f aca="false">P52/(1+Q51)</f>
        <v>0.283705163207339</v>
      </c>
      <c r="R52" s="1" t="n">
        <f aca="false">Q52/(1+R51)</f>
        <v>0.259575417501262</v>
      </c>
      <c r="S52" s="1" t="n">
        <f aca="false">R52/(1+S51)</f>
        <v>0.237424121281343</v>
      </c>
      <c r="T52" s="1" t="n">
        <f aca="false">S52/(1+T51)</f>
        <v>0.217119233013092</v>
      </c>
      <c r="U52" s="1" t="n">
        <f aca="false">T52/(1+U51)</f>
        <v>0.198506214227276</v>
      </c>
      <c r="V52" s="1" t="n">
        <f aca="false">U52/(1+V51)</f>
        <v>0.181464282959295</v>
      </c>
      <c r="W52" s="1" t="n">
        <f aca="false">V52/(1+W51)</f>
        <v>0.165866044529165</v>
      </c>
      <c r="X52" s="1" t="n">
        <f aca="false">W52/(1+X51)</f>
        <v>0.151602090974335</v>
      </c>
      <c r="Y52" s="1" t="n">
        <f aca="false">X52/(1+Y51)</f>
        <v>0.138557544026497</v>
      </c>
      <c r="Z52" s="1" t="n">
        <f aca="false">Y52/(1+Z51)</f>
        <v>0.126637523976183</v>
      </c>
      <c r="AA52" s="1" t="n">
        <f aca="false">Z52/(1+AA51)</f>
        <v>0.11575068003908</v>
      </c>
      <c r="AB52" s="1" t="n">
        <f aca="false">AA52/(1+AB51)</f>
        <v>0.105806911005935</v>
      </c>
      <c r="AC52" s="1" t="n">
        <f aca="false">AB52/(1+AC51)</f>
        <v>0.0967282243692337</v>
      </c>
      <c r="AD52" s="1" t="n">
        <f aca="false">AC52/(1+AD51)</f>
        <v>0.0884423027523344</v>
      </c>
      <c r="AE52" s="1" t="n">
        <f aca="false">AD52/(1+AE51)</f>
        <v>0.0804309560742404</v>
      </c>
      <c r="AF52" s="1" t="n">
        <f aca="false">AE52/(1+AF51)</f>
        <v>0.0735530801947606</v>
      </c>
    </row>
    <row r="53" customFormat="false" ht="15" hidden="false" customHeight="false" outlineLevel="0" collapsed="false">
      <c r="A53" s="1" t="s">
        <v>810</v>
      </c>
      <c r="C53" s="1" t="n">
        <f aca="false">C8-(C51-INDEX(finrate_infl,C4))*B10</f>
        <v>0.11526420167627</v>
      </c>
      <c r="D53" s="1" t="n">
        <f aca="false">D8-(D51-INDEX(finrate_infl,D4))*C10</f>
        <v>0.121082682637506</v>
      </c>
      <c r="E53" s="1" t="n">
        <f aca="false">E8-(E51-INDEX(finrate_infl,E4))*D10</f>
        <v>0.127117198947447</v>
      </c>
      <c r="F53" s="1" t="n">
        <f aca="false">F8-(F51-INDEX(finrate_infl,F4))*E10</f>
        <v>0.133412462415045</v>
      </c>
      <c r="G53" s="1" t="n">
        <f aca="false">G8-(G51-INDEX(finrate_infl,G4))*F10</f>
        <v>-0.0024442115419463</v>
      </c>
      <c r="H53" s="1" t="n">
        <f aca="false">H8-(H51-INDEX(finrate_infl,H4))*G10</f>
        <v>-0.00263614672142321</v>
      </c>
      <c r="I53" s="1" t="n">
        <f aca="false">I8-(I51-INDEX(finrate_infl,I4))*H10</f>
        <v>-0.0028350270567029</v>
      </c>
      <c r="J53" s="1" t="n">
        <f aca="false">J8-(J51-INDEX(finrate_infl,J4))*I10</f>
        <v>-0.00304193157328117</v>
      </c>
      <c r="K53" s="1" t="n">
        <f aca="false">K8-(K51-INDEX(finrate_infl,K4))*J10</f>
        <v>-0.00325487949772933</v>
      </c>
      <c r="L53" s="1" t="n">
        <f aca="false">L8-(L51-INDEX(finrate_infl,L4))*K10</f>
        <v>-0.00347748623102625</v>
      </c>
      <c r="M53" s="1" t="n">
        <f aca="false">M8-(M51-INDEX(finrate_infl,M4))*L10</f>
        <v>-0.00370816099219224</v>
      </c>
      <c r="N53" s="1" t="n">
        <f aca="false">N8-(N51-INDEX(finrate_infl,N4))*M10</f>
        <v>-0.00394920274445223</v>
      </c>
      <c r="O53" s="1" t="n">
        <f aca="false">O8-(O51-INDEX(finrate_infl,O4))*N10</f>
        <v>-0.00419902979901104</v>
      </c>
      <c r="P53" s="1" t="n">
        <f aca="false">P8-(P51-INDEX(finrate_infl,P4))*O10</f>
        <v>-0.00445743620869074</v>
      </c>
      <c r="Q53" s="1" t="n">
        <f aca="false">Q8-(Q51-INDEX(finrate_infl,Q4))*P10</f>
        <v>-0.00472595254542956</v>
      </c>
      <c r="R53" s="1" t="n">
        <f aca="false">R8-(R51-INDEX(finrate_infl,R4))*Q10</f>
        <v>-0.00500684529772533</v>
      </c>
      <c r="S53" s="1" t="n">
        <f aca="false">S8-(S51-INDEX(finrate_infl,S4))*R10</f>
        <v>-0.00529928337046775</v>
      </c>
      <c r="T53" s="1" t="n">
        <f aca="false">T8-(T51-INDEX(finrate_infl,T4))*S10</f>
        <v>-0.00559425947553226</v>
      </c>
      <c r="U53" s="1" t="n">
        <f aca="false">U8-(U51-INDEX(finrate_infl,U4))*T10</f>
        <v>-0.005909519991781</v>
      </c>
      <c r="V53" s="1" t="n">
        <f aca="false">V8-(V51-INDEX(finrate_infl,V4))*U10</f>
        <v>-0.00622913088852482</v>
      </c>
      <c r="W53" s="1" t="n">
        <f aca="false">W8-(W51-INDEX(finrate_infl,W4))*V10</f>
        <v>-0.00656329839290278</v>
      </c>
      <c r="X53" s="1" t="n">
        <f aca="false">X8-(X51-INDEX(finrate_infl,X4))*W10</f>
        <v>-0.00690291171803708</v>
      </c>
      <c r="Y53" s="1" t="n">
        <f aca="false">Y8-(Y51-INDEX(finrate_infl,Y4))*X10</f>
        <v>-0.00726153276419908</v>
      </c>
      <c r="Z53" s="1" t="n">
        <f aca="false">Z8-(Z51-INDEX(finrate_infl,Z4))*Y10</f>
        <v>-0.00762536809145838</v>
      </c>
      <c r="AA53" s="1" t="n">
        <f aca="false">AA8-(AA51-INDEX(finrate_infl,AA4))*Z10</f>
        <v>-0.00799685491837549</v>
      </c>
      <c r="AB53" s="1" t="n">
        <f aca="false">AB8-(AB51-INDEX(finrate_infl,AB4))*AA10</f>
        <v>-0.00838516419133511</v>
      </c>
      <c r="AC53" s="1" t="n">
        <f aca="false">AC8-(AC51-INDEX(finrate_infl,AC4))*AB10</f>
        <v>-0.00878129055942949</v>
      </c>
      <c r="AD53" s="1" t="n">
        <f aca="false">AD8-(AD51-INDEX(finrate_infl,AD4))*AC10</f>
        <v>-0.00918429986955189</v>
      </c>
      <c r="AE53" s="1" t="n">
        <f aca="false">AE8-(AE51-INDEX(finrate_infl,AE4))*AD10</f>
        <v>0.0906832938741157</v>
      </c>
      <c r="AF53" s="1" t="n">
        <f aca="false">AF8-(AF51-INDEX(finrate_infl,AF4))*AE10</f>
        <v>-0.00561491072813455</v>
      </c>
    </row>
    <row r="54" customFormat="false" ht="15" hidden="false" customHeight="false" outlineLevel="0" collapsed="false">
      <c r="A54" s="1" t="s">
        <v>811</v>
      </c>
      <c r="C54" s="1" t="n">
        <f aca="false">IF(C4&lt;=cfg_N,C53*C52,0)</f>
        <v>0.106648066157755</v>
      </c>
      <c r="D54" s="1" t="n">
        <f aca="false">IF(D4&lt;=cfg_N,D53*D52,0)</f>
        <v>0.103536499151744</v>
      </c>
      <c r="E54" s="1" t="n">
        <f aca="false">IF(E4&lt;=cfg_N,E53*E52,0)</f>
        <v>0.100346058110343</v>
      </c>
      <c r="F54" s="1" t="n">
        <f aca="false">IF(F4&lt;=cfg_N,F53*F52,0)</f>
        <v>0.0971272394788944</v>
      </c>
      <c r="G54" s="1" t="n">
        <f aca="false">IF(G4&lt;=cfg_N,G53*G52,0)</f>
        <v>0</v>
      </c>
      <c r="H54" s="1" t="n">
        <f aca="false">IF(H4&lt;=cfg_N,H53*H52,0)</f>
        <v>0</v>
      </c>
      <c r="I54" s="1" t="n">
        <f aca="false">IF(I4&lt;=cfg_N,I53*I52,0)</f>
        <v>0</v>
      </c>
      <c r="J54" s="1" t="n">
        <f aca="false">IF(J4&lt;=cfg_N,J53*J52,0)</f>
        <v>0</v>
      </c>
      <c r="K54" s="1" t="n">
        <f aca="false">IF(K4&lt;=cfg_N,K53*K52,0)</f>
        <v>0</v>
      </c>
      <c r="L54" s="1" t="n">
        <f aca="false">IF(L4&lt;=cfg_N,L53*L52,0)</f>
        <v>0</v>
      </c>
      <c r="M54" s="1" t="n">
        <f aca="false">IF(M4&lt;=cfg_N,M53*M52,0)</f>
        <v>0</v>
      </c>
      <c r="N54" s="1" t="n">
        <f aca="false">IF(N4&lt;=cfg_N,N53*N52,0)</f>
        <v>0</v>
      </c>
      <c r="O54" s="1" t="n">
        <f aca="false">IF(O4&lt;=cfg_N,O53*O52,0)</f>
        <v>0</v>
      </c>
      <c r="P54" s="1" t="n">
        <f aca="false">IF(P4&lt;=cfg_N,P53*P52,0)</f>
        <v>0</v>
      </c>
      <c r="Q54" s="1" t="n">
        <f aca="false">IF(Q4&lt;=cfg_N,Q53*Q52,0)</f>
        <v>0</v>
      </c>
      <c r="R54" s="1" t="n">
        <f aca="false">IF(R4&lt;=cfg_N,R53*R52,0)</f>
        <v>0</v>
      </c>
      <c r="S54" s="1" t="n">
        <f aca="false">IF(S4&lt;=cfg_N,S53*S52,0)</f>
        <v>0</v>
      </c>
      <c r="T54" s="1" t="n">
        <f aca="false">IF(T4&lt;=cfg_N,T53*T52,0)</f>
        <v>0</v>
      </c>
      <c r="U54" s="1" t="n">
        <f aca="false">IF(U4&lt;=cfg_N,U53*U52,0)</f>
        <v>0</v>
      </c>
      <c r="V54" s="1" t="n">
        <f aca="false">IF(V4&lt;=cfg_N,V53*V52,0)</f>
        <v>0</v>
      </c>
      <c r="W54" s="1" t="n">
        <f aca="false">IF(W4&lt;=cfg_N,W53*W52,0)</f>
        <v>0</v>
      </c>
      <c r="X54" s="1" t="n">
        <f aca="false">IF(X4&lt;=cfg_N,X53*X52,0)</f>
        <v>0</v>
      </c>
      <c r="Y54" s="1" t="n">
        <f aca="false">IF(Y4&lt;=cfg_N,Y53*Y52,0)</f>
        <v>0</v>
      </c>
      <c r="Z54" s="1" t="n">
        <f aca="false">IF(Z4&lt;=cfg_N,Z53*Z52,0)</f>
        <v>0</v>
      </c>
      <c r="AA54" s="1" t="n">
        <f aca="false">IF(AA4&lt;=cfg_N,AA53*AA52,0)</f>
        <v>0</v>
      </c>
      <c r="AB54" s="1" t="n">
        <f aca="false">IF(AB4&lt;=cfg_N,AB53*AB52,0)</f>
        <v>0</v>
      </c>
      <c r="AC54" s="1" t="n">
        <f aca="false">IF(AC4&lt;=cfg_N,AC53*AC52,0)</f>
        <v>0</v>
      </c>
      <c r="AD54" s="1" t="n">
        <f aca="false">IF(AD4&lt;=cfg_N,AD53*AD52,0)</f>
        <v>0</v>
      </c>
      <c r="AE54" s="1" t="n">
        <f aca="false">IF(AE4&lt;=cfg_N,AE53*AE52,0)</f>
        <v>0</v>
      </c>
      <c r="AF54" s="1" t="n">
        <f aca="false">IF(AF4&lt;=cfg_N,AF53*AF52,0)</f>
        <v>0</v>
      </c>
    </row>
    <row r="55" customFormat="false" ht="15" hidden="false" customHeight="false" outlineLevel="0" collapsed="false">
      <c r="A55" s="1" t="s">
        <v>812</v>
      </c>
      <c r="B55" s="1" t="n">
        <f aca="false">B10+SUM(C54:AF54)+INDEX(C52:AF52,cfg_N)*(INDEX(C49:AF49,cfg_N)+INDEX(C50:AF50,cfg_N)-INDEX(C10:AF10,cfg_N))</f>
        <v>1.98210273535112</v>
      </c>
    </row>
    <row r="56" customFormat="false" ht="15" hidden="false" customHeight="false" outlineLevel="0" collapsed="false">
      <c r="A56" s="1" t="s">
        <v>813</v>
      </c>
      <c r="B56" s="1" t="n">
        <f aca="false">B55-B37</f>
        <v>0</v>
      </c>
    </row>
    <row r="57" customFormat="false" ht="15" hidden="false" customHeight="false" outlineLevel="0" collapsed="false">
      <c r="A57" s="1" t="s">
        <v>814</v>
      </c>
      <c r="B57" s="1" t="n">
        <f aca="false">SUMPRODUCT(ABS(C23:AF23-C24:AF24-C25:AF25))</f>
        <v>8.39606162372775E-016</v>
      </c>
    </row>
    <row r="58" customFormat="false" ht="15" hidden="false" customHeight="false" outlineLevel="0" collapsed="false">
      <c r="A58" s="1" t="s">
        <v>815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2026-07-10T07:00:08Z</dcterms:created>
  <dc:creator>openpyxl</dc:creator>
  <dc:description/>
  <dc:language>en-US</dc:language>
  <cp:lastModifiedBy/>
  <dcterms:modified xsi:type="dcterms:W3CDTF">2026-08-20T02:06:33Z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
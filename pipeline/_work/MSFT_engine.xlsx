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udit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Market Data" sheetId="6" state="visible" r:id="rId8"/>
    <sheet name="Cap Engine" sheetId="7" state="visible" r:id="rId9"/>
    <sheet name="Econ Statements" sheetId="8" state="visible" r:id="rId10"/>
    <sheet name="Forecast" sheetId="9" state="visible" r:id="rId11"/>
    <sheet name="Valuation" sheetId="10" state="visible" r:id="rId12"/>
    <sheet name="Scenarios" sheetId="11" state="visible" r:id="rId13"/>
    <sheet name="Implied" sheetId="12" state="visible" r:id="rId14"/>
    <sheet name="DCF Reconciliation" sheetId="13" state="visible" r:id="rId15"/>
  </sheets>
  <definedNames>
    <definedName function="false" hidden="false" name="anchor_cse0" vbProcedure="false">Inputs!$B$10</definedName>
    <definedName function="false" hidden="false" name="anchor_dps0" vbProcedure="false">Inputs!$B$15</definedName>
    <definedName function="false" hidden="false" name="anchor_econ_dep" vbProcedure="false">'Cap Engine'!$B$49</definedName>
    <definedName function="false" hidden="false" name="anchor_eps0" vbProcedure="false">Inputs!$B$13</definedName>
    <definedName function="false" hidden="false" name="anchor_gp0" vbProcedure="false">'Econ Statements'!$S$83</definedName>
    <definedName function="false" hidden="false" name="anchor_nfo0" vbProcedure="false">Inputs!$B$18</definedName>
    <definedName function="false" hidden="false" name="anchor_ni0" vbProcedure="false">'Econ Statements'!$S$77</definedName>
    <definedName function="false" hidden="false" name="anchor_oi_at0" vbProcedure="false">'Econ Statements'!$S$76</definedName>
    <definedName function="false" hidden="false" name="anchor_rd_reserve" vbProcedure="false">'Cap Engine'!$B$61</definedName>
    <definedName function="false" hidden="false" name="anchor_real_accum_dep" vbProcedure="false">'Cap Engine'!$B$48</definedName>
    <definedName function="false" hidden="false" name="anchor_real_cse0" vbProcedure="false">'Econ Statements'!$S$75</definedName>
    <definedName function="false" hidden="false" name="anchor_real_gross_ppe" vbProcedure="false">'Cap Engine'!$B$46</definedName>
    <definedName function="false" hidden="false" name="anchor_real_net_ppe" vbProcedure="false">'Cap Engine'!$B$47</definedName>
    <definedName function="false" hidden="false" name="anchor_real_nfo0" vbProcedure="false">'Econ Statements'!$S$74</definedName>
    <definedName function="false" hidden="false" name="anchor_real_noa0" vbProcedure="false">'Econ Statements'!$S$73</definedName>
    <definedName function="false" hidden="false" name="anchor_rev0" vbProcedure="false">'Econ Statements'!$S$81</definedName>
    <definedName function="false" hidden="false" name="anchor_rnoa0" vbProcedure="false">'Econ Statements'!$S$78</definedName>
    <definedName function="false" hidden="false" name="anchor_sga0" vbProcedure="false">'Econ Statements'!$S$84</definedName>
    <definedName function="false" hidden="false" name="anchor_shares0" vbProcedure="false">Inputs!$B$9</definedName>
    <definedName function="false" hidden="false" name="bb_vp6_tie" vbProcedure="false">'Econ Statements'!$B$114</definedName>
    <definedName function="false" hidden="false" name="ce_econ_dep_series" vbProcedure="false">'Cap Engine'!$B$68:$S$68</definedName>
    <definedName function="false" hidden="false" name="ce_real_gross_series" vbProcedure="false">'Cap Engine'!$B$66:$S$66</definedName>
    <definedName function="false" hidden="false" name="ce_real_net_series" vbProcedure="false">'Cap Engine'!$B$67:$S$67</definedName>
    <definedName function="false" hidden="false" name="ce_years" vbProcedure="false">'Cap Engine'!$B$65:$S$65</definedName>
    <definedName function="false" hidden="false" name="cfg_buyback" vbProcedure="false">Inputs!$B$47</definedName>
    <definedName function="false" hidden="false" name="cfg_coe_mode" vbProcedure="false">Inputs!$B$29</definedName>
    <definedName function="false" hidden="false" name="cfg_funding" vbProcedure="false">Inputs!$B$68</definedName>
    <definedName function="false" hidden="false" name="cfg_mode" vbProcedure="false">Inputs!$B$37</definedName>
    <definedName function="false" hidden="false" name="cfg_N" vbProcedure="false">Inputs!$B$26</definedName>
    <definedName function="false" hidden="false" name="cfg_rd_mode" vbProcedure="false">Inputs!$B$33</definedName>
    <definedName function="false" hidden="false" name="cfg_restatement" vbProcedure="false">Inputs!$B$67</definedName>
    <definedName function="false" hidden="false" name="cfg_rf_mode" vbProcedure="false">Inputs!$B$30</definedName>
    <definedName function="false" hidden="false" name="cfg_scenario" vbProcedure="false">Inputs!$B$69</definedName>
    <definedName function="false" hidden="false" name="cfg_valread" vbProcedure="false">Inputs!$B$34</definedName>
    <definedName function="false" hidden="false" name="dcf_fcfe" vbProcedure="false">'DCF Reconciliation'!$B$35</definedName>
    <definedName function="false" hidden="false" name="dcf_fcff_eq" vbProcedure="false">'DCF Reconciliation'!$B$38</definedName>
    <definedName function="false" hidden="false" name="dcf_ri" vbProcedure="false">'DCF Reconciliation'!$B$34</definedName>
    <definedName function="false" hidden="false" name="dcf_tie_fcfe" vbProcedure="false">'DCF Reconciliation'!$B$43</definedName>
    <definedName function="false" hidden="false" name="dcf_tie_fcff" vbProcedure="false">'DCF Reconciliation'!$B$44</definedName>
    <definedName function="false" hidden="false" name="es_cse" vbProcedure="false">'Econ Statements'!$B$45:$S$45</definedName>
    <definedName function="false" hidden="false" name="es_dep" vbProcedure="false">'Econ Statements'!$B$50:$S$50</definedName>
    <definedName function="false" hidden="false" name="es_nfo" vbProcedure="false">'Econ Statements'!$B$44:$S$44</definedName>
    <definedName function="false" hidden="false" name="es_ni" vbProcedure="false">'Econ Statements'!$B$54:$S$54</definedName>
    <definedName function="false" hidden="false" name="es_noa" vbProcedure="false">'Econ Statements'!$B$43:$S$43</definedName>
    <definedName function="false" hidden="false" name="es_oiat" vbProcedure="false">'Econ Statements'!$B$52:$S$52</definedName>
    <definedName function="false" hidden="false" name="es_ppe" vbProcedure="false">'Econ Statements'!$B$40:$S$40</definedName>
    <definedName function="false" hidden="false" name="es_real_gp" vbProcedure="false">'Econ Statements'!$B$83:$S$83</definedName>
    <definedName function="false" hidden="false" name="es_real_rev" vbProcedure="false">'Econ Statements'!$B$81:$S$81</definedName>
    <definedName function="false" hidden="false" name="es_real_sga" vbProcedure="false">'Econ Statements'!$B$84:$S$84</definedName>
    <definedName function="false" hidden="false" name="es_tie_partition" vbProcedure="false">'Econ Statements'!$B$37:$S$37</definedName>
    <definedName function="false" hidden="false" name="es_tie_real" vbProcedure="false">'Econ Statements'!$B$46:$S$46</definedName>
    <definedName function="false" hidden="false" name="es_years" vbProcedure="false">'Econ Statements'!$B$5:$S$5</definedName>
    <definedName function="false" hidden="false" name="ev_equityps" vbProcedure="false">Valuation!$B$39</definedName>
    <definedName function="false" hidden="false" name="ev_tie" vbProcedure="false">Valuation!$B$40</definedName>
    <definedName function="false" hidden="false" name="fc_capex" vbProcedure="false">Forecast!$G$42:$AJ$42</definedName>
    <definedName function="false" hidden="false" name="fc_cse" vbProcedure="false">Forecast!$G$45:$AJ$45</definedName>
    <definedName function="false" hidden="false" name="fc_dep" vbProcedure="false">Forecast!$G$39:$AJ$39</definedName>
    <definedName function="false" hidden="false" name="fc_dps" vbProcedure="false">Forecast!$G$46:$AJ$46</definedName>
    <definedName function="false" hidden="false" name="fc_eps" vbProcedure="false">Forecast!$G$47:$AJ$47</definedName>
    <definedName function="false" hidden="false" name="fc_nfo" vbProcedure="false">Forecast!$G$44:$AJ$44</definedName>
    <definedName function="false" hidden="false" name="fc_ni" vbProcedure="false">Forecast!$G$41:$AJ$41</definedName>
    <definedName function="false" hidden="false" name="fc_noa" vbProcedure="false">Forecast!$G$43:$AJ$43</definedName>
    <definedName function="false" hidden="false" name="fc_oiat" vbProcedure="false">Forecast!$G$40:$AJ$40</definedName>
    <definedName function="false" hidden="false" name="fc_shares" vbProcedure="false">Forecast!$G$20:$AJ$20</definedName>
    <definedName function="false" hidden="false" name="fc_tie_bs" vbProcedure="false">Forecast!$G$56:$AJ$56</definedName>
    <definedName function="false" hidden="false" name="fc_tie_eps" vbProcedure="false">Forecast!$G$57:$AJ$57</definedName>
    <definedName function="false" hidden="false" name="fc_tie_fcfe" vbProcedure="false">Forecast!$G$58:$AJ$58</definedName>
    <definedName function="false" hidden="false" name="finrate_cod" vbProcedure="false">'Market Data'!$B$29:$AE$29</definedName>
    <definedName function="false" hidden="false" name="finrate_coe" vbProcedure="false">'Market Data'!$B$26:$AE$26</definedName>
    <definedName function="false" hidden="false" name="finrate_erp" vbProcedure="false">'Market Data'!$B$25:$AE$25</definedName>
    <definedName function="false" hidden="false" name="finrate_idio" vbProcedure="false">'Market Data'!$B$31:$AE$31</definedName>
    <definedName function="false" hidden="false" name="finrate_infl" vbProcedure="false">'Market Data'!$B$22:$AE$22</definedName>
    <definedName function="false" hidden="false" name="finrate_tenor" vbProcedure="false">'Market Data'!$B$20:$AE$20</definedName>
    <definedName function="false" hidden="false" name="in_anchor_year" vbProcedure="false">Inputs!$B$66</definedName>
    <definedName function="false" hidden="false" name="in_bps0" vbProcedure="false">Inputs!$B$21</definedName>
    <definedName function="false" hidden="false" name="in_cash" vbProcedure="false">Inputs!$B$6</definedName>
    <definedName function="false" hidden="false" name="in_daycount" vbProcedure="false">Inputs!$B$51</definedName>
    <definedName function="false" hidden="false" name="in_debt" vbProcedure="false">Inputs!$B$5</definedName>
    <definedName function="false" hidden="false" name="in_deflator_base" vbProcedure="false">Inputs!$B$44</definedName>
    <definedName function="false" hidden="false" name="in_econ_thresh" vbProcedure="false">Inputs!$B$50</definedName>
    <definedName function="false" hidden="false" name="in_ent_noa_growth" vbProcedure="false">Inputs!$B$60</definedName>
    <definedName function="false" hidden="false" name="in_erp" vbProcedure="false">Inputs!$B$28</definedName>
    <definedName function="false" hidden="false" name="in_finlease" vbProcedure="false">Inputs!$B$8</definedName>
    <definedName function="false" hidden="false" name="in_flev0" vbProcedure="false">Inputs!$B$22</definedName>
    <definedName function="false" hidden="false" name="in_g_terminal" vbProcedure="false">Inputs!$B$27</definedName>
    <definedName function="false" hidden="false" name="in_implied_g_start" vbProcedure="false">Inputs!$B$70</definedName>
    <definedName function="false" hidden="false" name="in_implied_g_step" vbProcedure="false">Inputs!$B$71</definedName>
    <definedName function="false" hidden="false" name="in_intexp0" vbProcedure="false">Inputs!$B$11</definedName>
    <definedName function="false" hidden="false" name="in_nfops0" vbProcedure="false">Inputs!$B$20</definedName>
    <definedName function="false" hidden="false" name="in_noa0" vbProcedure="false">Inputs!$B$19</definedName>
    <definedName function="false" hidden="false" name="in_oiadj0" vbProcedure="false">Inputs!$B$12</definedName>
    <definedName function="false" hidden="false" name="in_payout_seed" vbProcedure="false">Inputs!$B$39</definedName>
    <definedName function="false" hidden="false" name="in_ppe_life" vbProcedure="false">Inputs!$B$42</definedName>
    <definedName function="false" hidden="false" name="in_pres_coe1" vbProcedure="false">Inputs!$B$52</definedName>
    <definedName function="false" hidden="false" name="in_pres_coe2" vbProcedure="false">Inputs!$B$53</definedName>
    <definedName function="false" hidden="false" name="in_pres_coe3" vbProcedure="false">Inputs!$B$54</definedName>
    <definedName function="false" hidden="false" name="in_pres_coe4" vbProcedure="false">Inputs!$B$55</definedName>
    <definedName function="false" hidden="false" name="in_pres_coe5" vbProcedure="false">Inputs!$B$56</definedName>
    <definedName function="false" hidden="false" name="in_pres_ghi" vbProcedure="false">Inputs!$B$59</definedName>
    <definedName function="false" hidden="false" name="in_pres_glo" vbProcedure="false">Inputs!$B$57</definedName>
    <definedName function="false" hidden="false" name="in_pres_gmid" vbProcedure="false">Inputs!$B$58</definedName>
    <definedName function="false" hidden="false" name="in_price" vbProcedure="false">Inputs!$B$25</definedName>
    <definedName function="false" hidden="false" name="in_rd_expense0" vbProcedure="false">Inputs!$B$45</definedName>
    <definedName function="false" hidden="false" name="in_rd_life" vbProcedure="false">Inputs!$B$43</definedName>
    <definedName function="false" hidden="false" name="in_rf_lr" vbProcedure="false">Inputs!$B$32</definedName>
    <definedName function="false" hidden="false" name="in_rf_single" vbProcedure="false">Inputs!$B$31</definedName>
    <definedName function="false" hidden="false" name="in_sti" vbProcedure="false">Inputs!$B$7</definedName>
    <definedName function="false" hidden="false" name="in_tax0" vbProcedure="false">Inputs!$B$14</definedName>
    <definedName function="false" hidden="false" name="in_tie_tol" vbProcedure="false">Inputs!$B$64</definedName>
    <definedName function="false" hidden="false" name="md_bea" vbProcedure="false">'Market Data'!$B$14:$AQ$14</definedName>
    <definedName function="false" hidden="false" name="md_bea_base" vbProcedure="false">'Market Data'!$B$12</definedName>
    <definedName function="false" hidden="false" name="md_cpi" vbProcedure="false">'Market Data'!$B$8:$AQ$8</definedName>
    <definedName function="false" hidden="false" name="md_cpi_base" vbProcedure="false">'Market Data'!$B$5</definedName>
    <definedName function="false" hidden="false" name="md_deflator" vbProcedure="false">'Market Data'!$B$9:$AQ$9</definedName>
    <definedName function="false" hidden="false" name="md_deflator_ppe" vbProcedure="false">'Market Data'!$B$15:$AQ$15</definedName>
    <definedName function="false" hidden="false" name="md_years" vbProcedure="false">'Market Data'!$B$7:$AQ$7</definedName>
    <definedName function="false" hidden="false" name="md_years_bea" vbProcedure="false">'Market Data'!$B$13:$AQ$13</definedName>
    <definedName function="false" hidden="false" name="md_yeprice" vbProcedure="false">'Market Data'!$B$16:$AP$16</definedName>
    <definedName function="false" hidden="false" name="md_yeprice_adj" vbProcedure="false">'Market Data'!$B$17:$AP$17</definedName>
    <definedName function="false" hidden="false" name="rep_capex" vbProcedure="false">'Cash Flow'!$B$76:$AL$76</definedName>
    <definedName function="false" hidden="false" name="rep_cash" vbProcedure="false">'Balance Sheet'!$B$7:$AP$7</definedName>
    <definedName function="false" hidden="false" name="rep_cash_fy0" vbProcedure="false">'Balance Sheet'!$AP$7</definedName>
    <definedName function="false" hidden="false" name="rep_cogs" vbProcedure="false">'Income Statement'!$B$6:$AP$6</definedName>
    <definedName function="false" hidden="false" name="rep_cse" vbProcedure="false">'Balance Sheet'!$B$94:$AP$94</definedName>
    <definedName function="false" hidden="false" name="rep_cse_fy0" vbProcedure="false">'Balance Sheet'!$AP$94</definedName>
    <definedName function="false" hidden="false" name="rep_da" vbProcedure="false">'Income Statement'!$B$54:$AP$54</definedName>
    <definedName function="false" hidden="false" name="rep_debt_fy0" vbProcedure="false">'Balance Sheet'!$AP$100</definedName>
    <definedName function="false" hidden="false" name="rep_div" vbProcedure="false">'Cash Flow'!$B$66:$AL$66</definedName>
    <definedName function="false" hidden="false" name="rep_eps_fy0" vbProcedure="false">'Income Statement'!$AP$41</definedName>
    <definedName function="false" hidden="false" name="rep_gross_ppe" vbProcedure="false">'Balance Sheet'!$B$27:$AP$27</definedName>
    <definedName function="false" hidden="false" name="rep_intexp" vbProcedure="false">'Income Statement'!$B$49:$AP$49</definedName>
    <definedName function="false" hidden="false" name="rep_intexp_fy0" vbProcedure="false">'Income Statement'!$AP$49</definedName>
    <definedName function="false" hidden="false" name="rep_mi" vbProcedure="false">'Balance Sheet'!$B$92:$AP$92</definedName>
    <definedName function="false" hidden="false" name="rep_net_ppe" vbProcedure="false">'Balance Sheet'!$B$26:$AP$26</definedName>
    <definedName function="false" hidden="false" name="rep_ni" vbProcedure="false">'Income Statement'!$B$28:$AP$28</definedName>
    <definedName function="false" hidden="false" name="rep_oci" vbProcedure="false">'Balance Sheet'!$B$86:$AP$86</definedName>
    <definedName function="false" hidden="false" name="rep_oi" vbProcedure="false">'Income Statement'!$B$13:$AP$13</definedName>
    <definedName function="false" hidden="false" name="rep_oi_fy0" vbProcedure="false">'Income Statement'!$AP$13</definedName>
    <definedName function="false" hidden="false" name="rep_pension" vbProcedure="false">'Balance Sheet'!$B$75:$AP$75</definedName>
    <definedName function="false" hidden="false" name="rep_repurch" vbProcedure="false">'Cash Flow'!$B$80:$AL$80</definedName>
    <definedName function="false" hidden="false" name="rep_revenue" vbProcedure="false">'Income Statement'!$B$4:$AP$4</definedName>
    <definedName function="false" hidden="false" name="rep_sga" vbProcedure="false">'Income Statement'!$B$9:$AP$9</definedName>
    <definedName function="false" hidden="false" name="rep_shares" vbProcedure="false">'Balance Sheet'!$B$103:$AP$103</definedName>
    <definedName function="false" hidden="false" name="rep_shares_fy0" vbProcedure="false">'Balance Sheet'!$AP$103</definedName>
    <definedName function="false" hidden="false" name="rep_sti" vbProcedure="false">'Balance Sheet'!$B$10:$AP$10</definedName>
    <definedName function="false" hidden="false" name="rep_taxrate" vbProcedure="false">'Income Statement'!$B$59:$AP$59</definedName>
    <definedName function="false" hidden="false" name="rep_tax_fy0" vbProcedure="false">'Income Statement'!$AP$59</definedName>
    <definedName function="false" hidden="false" name="rep_total_assets" vbProcedure="false">'Balance Sheet'!$B$4:$AP$4</definedName>
    <definedName function="false" hidden="false" name="rep_total_debt" vbProcedure="false">'Balance Sheet'!$B$100:$AP$100</definedName>
    <definedName function="false" hidden="false" name="rep_total_liab" vbProcedure="false">'Balance Sheet'!$B$46:$AP$46</definedName>
    <definedName function="false" hidden="false" name="rep_years_bs" vbProcedure="false">'Balance Sheet'!$B$3:$AP$3</definedName>
    <definedName function="false" hidden="false" name="rep_years_cf" vbProcedure="false">'Cash Flow'!$B$3:$AL$3</definedName>
    <definedName function="false" hidden="false" name="rep_years_is" vbProcedure="false">'Income Statement'!$B$3:$AP$3</definedName>
    <definedName function="false" hidden="false" name="scen_buyback" vbProcedure="false">Scenarios!$B$7:$E$7</definedName>
    <definedName function="false" hidden="false" name="scen_cols" vbProcedure="false">Scenarios!$B$4:$E$4</definedName>
    <definedName function="false" hidden="false" name="scen_noagrowth" vbProcedure="false">Scenarios!$B$6:$E$6</definedName>
    <definedName function="false" hidden="false" name="scen_revgrowth" vbProcedure="false">Scenarios!$B$5:$E$5</definedName>
    <definedName function="false" hidden="false" name="val_active" vbProcedure="false">Valuation!$B$54</definedName>
    <definedName function="false" hidden="false" name="val_eps1" vbProcedure="false">Valuation!$C$7</definedName>
    <definedName function="false" hidden="false" name="val_growthprem" vbProcedure="false">Valuation!$B$49</definedName>
    <definedName function="false" hidden="false" name="val_impliedg" vbProcedure="false">Implied!$B$15</definedName>
    <definedName function="false" hidden="false" name="val_impliedPE" vbProcedure="false">Valuation!$B$47</definedName>
    <definedName function="false" hidden="false" name="val_intrinsic" vbProcedure="false">Valuation!$B$36</definedName>
    <definedName function="false" hidden="false" name="val_normalPE" vbProcedure="false">Valuation!$B$48</definedName>
    <definedName function="false" hidden="false" name="val_normalval" vbProcedure="false">Valuation!$B$43</definedName>
    <definedName function="false" hidden="false" name="val_pvgo" vbProcedure="false">Valuation!$B$46</definedName>
    <definedName function="false" hidden="false" name="val_realprice" vbProcedure="false">Valuation!$B$45</definedName>
    <definedName function="false" hidden="false" name="val_rhod_lr" vbProcedure="false">Valuation!$C$20</definedName>
    <definedName function="false" hidden="false" name="val_rhoe_lr" vbProcedure="false">Valuation!$B$20</definedName>
    <definedName function="false" hidden="false" name="val_rhof_lr" vbProcedure="false">Valuation!$D$20</definedName>
    <definedName function="false" hidden="false" name="val_vnfe" vbProcedure="false">Valuation!$B$37</definedName>
    <definedName function="false" hidden="false" name="val_voi" vbProcedure="false">Valuation!$B$38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<sst xmlns="http://schemas.openxmlformats.org/spreadsheetml/2006/main" count="1043" uniqueCount="818">
  <si>
    <t xml:space="preserve">INPUTS  —  SINGLE SOURCE OF TRUTH</t>
  </si>
  <si>
    <t xml:space="preserve">Blue = input (edit here). Black = derived formula. Green (other tabs) = link into this tab. No numeric constant may live outside this tab and the reported-data tabs (IS/BS/CF).</t>
  </si>
  <si>
    <t xml:space="preserve">COMPANY BASE — Microsoft Corporation (MSFT) · FY2026 · nominal $mm unless noted</t>
  </si>
  <si>
    <t xml:space="preserve">Total debt incl. finance leases</t>
  </si>
  <si>
    <t xml:space="preserve">$mm</t>
  </si>
  <si>
    <t xml:space="preserve">Source: uploaded BS, Total Debt FY2025</t>
  </si>
  <si>
    <t xml:space="preserve">Cash &amp; equivalents</t>
  </si>
  <si>
    <t xml:space="preserve">Source: uploaded BS FY2025</t>
  </si>
  <si>
    <t xml:space="preserve">Short-term investments</t>
  </si>
  <si>
    <t xml:space="preserve">Source: uploaded BS FY2025 (none reported)</t>
  </si>
  <si>
    <t xml:space="preserve">  of which finance/capital lease obligation</t>
  </si>
  <si>
    <t xml:space="preserve">Source: uploaded BS FY2025 (LT capital lease)</t>
  </si>
  <si>
    <t xml:space="preserve">Common shares outstanding</t>
  </si>
  <si>
    <t xml:space="preserve">mm</t>
  </si>
  <si>
    <t xml:space="preserve">Source: Ordinary Shares Number FY2025 (7,037,502,356 / 1e6) — full precision</t>
  </si>
  <si>
    <t xml:space="preserve">Common stock equity (CSE)</t>
  </si>
  <si>
    <t xml:space="preserve">Source: Common Stock Equity FY2025 (excl. $17.96bn minority int.)</t>
  </si>
  <si>
    <t xml:space="preserve">Interest expense (FY2025)</t>
  </si>
  <si>
    <t xml:space="preserve">Source: uploaded IS FY2025</t>
  </si>
  <si>
    <t xml:space="preserve">Operating income, adjusted (FY2025)</t>
  </si>
  <si>
    <t xml:space="preserve">Source: Operating Income FY2025</t>
  </si>
  <si>
    <t xml:space="preserve">Diluted EPS (FY2025)</t>
  </si>
  <si>
    <t xml:space="preserve">$</t>
  </si>
  <si>
    <t xml:space="preserve">Effective tax rate (FY2025)</t>
  </si>
  <si>
    <t xml:space="preserve">frac</t>
  </si>
  <si>
    <t xml:space="preserve">Source: Tax Rate for Calcs FY2025</t>
  </si>
  <si>
    <t xml:space="preserve">Dividends per share, period-0 (FY2025)</t>
  </si>
  <si>
    <t xml:space="preserve">Source: uploaded dividends CSV, 4×0.278 ex-2025</t>
  </si>
  <si>
    <t xml:space="preserve">— derived —</t>
  </si>
  <si>
    <t xml:space="preserve">NFO = debt − cash − STI</t>
  </si>
  <si>
    <t xml:space="preserve">NOA = CSE + NFO</t>
  </si>
  <si>
    <t xml:space="preserve">[ADD] completes A.1 anchor</t>
  </si>
  <si>
    <t xml:space="preserve">NFO per share (nominal $)</t>
  </si>
  <si>
    <t xml:space="preserve">BPS = CSE / shares (nominal $)</t>
  </si>
  <si>
    <t xml:space="preserve">FLEV = NFO / CSE</t>
  </si>
  <si>
    <t xml:space="preserve">VALUATION CONTROLS</t>
  </si>
  <si>
    <t xml:space="preserve">Current price ($/sh)  [LIVE — refresh each session]</t>
  </si>
  <si>
    <t xml:space="preserve">Explicit forecast horizon N  (≤ 30)</t>
  </si>
  <si>
    <t xml:space="preserve">Terminal growth g (continuing, real)</t>
  </si>
  <si>
    <t xml:space="preserve">Enterprise continuing NOA growth; equity AEG tail is normal-earnings capitalisation (no separate g)</t>
  </si>
  <si>
    <t xml:space="preserve">Equity risk premium ERP (real)</t>
  </si>
  <si>
    <t xml:space="preserve">flat; replace with beta/ERP build (Backlog)</t>
  </si>
  <si>
    <t xml:space="preserve">COE mode  {Single | Term}   (ρE)</t>
  </si>
  <si>
    <t xml:space="preserve">Term</t>
  </si>
  <si>
    <t xml:space="preserve">equity ρE term-structure vs single</t>
  </si>
  <si>
    <t xml:space="preserve">Enterprise ρF mode  {Single | Term}</t>
  </si>
  <si>
    <t xml:space="preserve">Enterprise ρF single (real)</t>
  </si>
  <si>
    <t xml:space="preserve">Enterprise ρF long-run r_LR (real)</t>
  </si>
  <si>
    <t xml:space="preserve">ρD mode  {Single | Term}</t>
  </si>
  <si>
    <t xml:space="preserve">Valuation READ toggle  {Equity path | Enterprise path}</t>
  </si>
  <si>
    <t xml:space="preserve">Equity path</t>
  </si>
  <si>
    <t xml:space="preserve">[ADD] second toggle (C.2): which forecast series valuation reads</t>
  </si>
  <si>
    <t xml:space="preserve">FORECAST CONTROLS   (toggle wired in Step 5)</t>
  </si>
  <si>
    <t xml:space="preserve">Forecast-side  {Equity | Enterprise}</t>
  </si>
  <si>
    <t xml:space="preserve">Enterprise</t>
  </si>
  <si>
    <t xml:space="preserve">Equity default: type EPS/DPS → derive OI, NOA</t>
  </si>
  <si>
    <t xml:space="preserve">EPS / DPS path</t>
  </si>
  <si>
    <t xml:space="preserve">(forecast-tab driver rows)</t>
  </si>
  <si>
    <t xml:space="preserve">per-year drivers on the forecast tab (G.1); migrate in Step 5</t>
  </si>
  <si>
    <t xml:space="preserve">Default dividend payout (seed; per-year driver in Step 5)</t>
  </si>
  <si>
    <t xml:space="preserve">[ADD reserved] seed = DPS0/EPS0 = 1.112/3.04; payout is a driver, not a scalar (fork 2)</t>
  </si>
  <si>
    <t xml:space="preserve">REFORMULATION ASSUMPTIONS   (wired in Step 3)</t>
  </si>
  <si>
    <t xml:space="preserve">PP&amp;E composite depreciable life L (yr)</t>
  </si>
  <si>
    <t xml:space="preserve">gross PP&amp;E $370B ÷ deprec $20.7B ≈ 18; avg age ≈11</t>
  </si>
  <si>
    <t xml:space="preserve">R&amp;D amortization life (yr; ≈0 telecom)</t>
  </si>
  <si>
    <t xml:space="preserve">R&amp;D reserve life (yr); 0 if R&amp;D immaterial</t>
  </si>
  <si>
    <t xml:space="preserve">Deflator base year</t>
  </si>
  <si>
    <t xml:space="preserve">R&amp;D expense, period-0 ($mm)</t>
  </si>
  <si>
    <t xml:space="preserve">Reported R&amp;D read here; 0 if none reported.</t>
  </si>
  <si>
    <t xml:space="preserve">BUYBACK CONTROLS   (wired in Step 7)</t>
  </si>
  <si>
    <t xml:space="preserve">Buyback adjustment  {On | Off}</t>
  </si>
  <si>
    <t xml:space="preserve">On</t>
  </si>
  <si>
    <t xml:space="preserve">default On; wire into mainline equity+enterprise</t>
  </si>
  <si>
    <t xml:space="preserve">PROMOTED MAGIC NUMBERS   (named here; formulas repointed in their step)</t>
  </si>
  <si>
    <t xml:space="preserve">Econ materiality threshold (frac)</t>
  </si>
  <si>
    <t xml:space="preserve">Econ Statements flag; Step 3</t>
  </si>
  <si>
    <t xml:space="preserve">Bridge day-count (days/yr)</t>
  </si>
  <si>
    <t xml:space="preserve">Bridge tenor conversion; also allow-list structural</t>
  </si>
  <si>
    <t xml:space="preserve">Presentation COE grid — pt 1 (low)</t>
  </si>
  <si>
    <t xml:space="preserve">Presentation COE grid — pt 2</t>
  </si>
  <si>
    <t xml:space="preserve">Presentation COE grid — pt 3 (mid)</t>
  </si>
  <si>
    <t xml:space="preserve">Presentation COE grid — pt 4</t>
  </si>
  <si>
    <t xml:space="preserve">Presentation COE grid — pt 5 (high)</t>
  </si>
  <si>
    <t xml:space="preserve">Presentation growth axis — low</t>
  </si>
  <si>
    <t xml:space="preserve">Presentation growth axis — mid</t>
  </si>
  <si>
    <t xml:space="preserve">Presentation growth axis — high</t>
  </si>
  <si>
    <t xml:space="preserve">Enterprise NOA growth (real) — placeholder</t>
  </si>
  <si>
    <t xml:space="preserve">Step 3 rebuild redefines the enterprise growth path</t>
  </si>
  <si>
    <t xml:space="preserve">ALLOW-LIST  (structural constants tolerated inside formulas)</t>
  </si>
  <si>
    <t xml:space="preserve">0, 1, unit conversion 1e6, day-count 365, tenor index 1..30. Market Data rate SPOT rows and tenor axis are SOURCED market observations — the rate-side data tab — not violations.</t>
  </si>
  <si>
    <t xml:space="preserve">Tie tolerance (structural ε)</t>
  </si>
  <si>
    <t xml:space="preserve">AS-OF / GLOBAL</t>
  </si>
  <si>
    <t xml:space="preserve">Anchor / period-0 fiscal year</t>
  </si>
  <si>
    <t xml:space="preserve">Latest reported FY; the reformulation period-0.</t>
  </si>
  <si>
    <t xml:space="preserve">Restatement view  {Economic | Reported}</t>
  </si>
  <si>
    <t xml:space="preserve">Economic</t>
  </si>
  <si>
    <t xml:space="preserve">Economic = BEA-restated real 2026$; Reported = as-filed nominal basic reformulation.</t>
  </si>
  <si>
    <t xml:space="preserve">Financing mode  {Target FLEV | Funding policy}</t>
  </si>
  <si>
    <t xml:space="preserve">Target FLEV</t>
  </si>
  <si>
    <t xml:space="preserve">Scenario  {Bear | Consensus | Bull | Normal}</t>
  </si>
  <si>
    <t xml:space="preserve">Consensus</t>
  </si>
  <si>
    <t xml:space="preserve">Normal = zero-economic-profit structural floor (no growth, no buyback).</t>
  </si>
  <si>
    <t xml:space="preserve">Implied grid — g start</t>
  </si>
  <si>
    <t xml:space="preserve">Implied grid — g step</t>
  </si>
  <si>
    <t xml:space="preserve">AUDIT — STANDING FORMULA-INTEGRITY &amp; TIE CHECKS</t>
  </si>
  <si>
    <t xml:space="preserve">B5/B6 cover the LIVE in-sheet identity ties only. Constants/magic/colour are NOT computed in-sheet: run the out-of-band auditor (audit.py) separately — it must read TOTAL 0. BOTH gates (this PASS and audit.py TOTAL 0) must be green to trust output.</t>
  </si>
  <si>
    <t xml:space="preserve">MASTER STATUS</t>
  </si>
  <si>
    <t xml:space="preserve">Grand total (LIVE identity residuals only; target 0) — tautological terms excluded, see rows 27/28</t>
  </si>
  <si>
    <t xml:space="preserve">Status</t>
  </si>
  <si>
    <t xml:space="preserve">tolerance 1e-5 absorbs floating-point residuals on the FCFE/clean-surplus ties</t>
  </si>
  <si>
    <t xml:space="preserve">CHECK 1-3 — EXTERNAL AUDITOR (audit.py): constants / magic / colour. Run separately; NOT summed into B5.</t>
  </si>
  <si>
    <t xml:space="preserve">  (external) stray-constant count — informational mirror, may be stale</t>
  </si>
  <si>
    <t xml:space="preserve">  Tab</t>
  </si>
  <si>
    <t xml:space="preserve">count</t>
  </si>
  <si>
    <t xml:space="preserve">target</t>
  </si>
  <si>
    <t xml:space="preserve">(no calc tabs yet — rows added as IS/BS/CF/reform/rates/forecast/val land)</t>
  </si>
  <si>
    <t xml:space="preserve">CHECK 2 — Magic numbers in formulas (auditor-fed; run audit.py to refresh)</t>
  </si>
  <si>
    <t xml:space="preserve">  (external) magic-literal count — informational mirror, may be stale</t>
  </si>
  <si>
    <t xml:space="preserve">→ target 0</t>
  </si>
  <si>
    <t xml:space="preserve">auditor diagnostic readout; 0 = fresh book, no formulas off-surface</t>
  </si>
  <si>
    <t xml:space="preserve">CHECK 3 — Colour integrity (auditor-fed)</t>
  </si>
  <si>
    <t xml:space="preserve">  (external) colour-violation count — informational mirror, may be stale</t>
  </si>
  <si>
    <t xml:space="preserve">blue only on Inputs / reported-data / forecast driver surface (G.1)</t>
  </si>
  <si>
    <t xml:space="preserve">CHECK 4 — Tie block (identities = 0; live in-sheet)</t>
  </si>
  <si>
    <t xml:space="preserve">  Identity</t>
  </si>
  <si>
    <t xml:space="preserve">residual</t>
  </si>
  <si>
    <t xml:space="preserve">status</t>
  </si>
  <si>
    <t xml:space="preserve">  NOA = CSE + NFO</t>
  </si>
  <si>
    <t xml:space="preserve">  FLEV·CSE = NFO</t>
  </si>
  <si>
    <t xml:space="preserve">  BPS·shares = CSE</t>
  </si>
  <si>
    <t xml:space="preserve">  NFO/sh·shares = NFO</t>
  </si>
  <si>
    <t xml:space="preserve">  Clean-surplus articulation (Step 3)</t>
  </si>
  <si>
    <t xml:space="preserve">(reserved)</t>
  </si>
  <si>
    <t xml:space="preserve">  (decorative) Equity↔Enterprise tie — identically 0; NOT summed into B5</t>
  </si>
  <si>
    <t xml:space="preserve">  (decorative) Value-additivity V(OI)=V(EPS)+V(NFE) — identically 0 by definition; NOT summed into B5</t>
  </si>
  <si>
    <t xml:space="preserve">  Buyback VP6 invariance (V_with=V_without)</t>
  </si>
  <si>
    <t xml:space="preserve">Σ |tie residuals| (target 0)</t>
  </si>
  <si>
    <t xml:space="preserve">CHECK 4b — Inputs anchor = reported FY2025 (reconciliation ties)</t>
  </si>
  <si>
    <t xml:space="preserve">  in_debt = reported Total Debt</t>
  </si>
  <si>
    <t xml:space="preserve">  in_cash = reported Cash</t>
  </si>
  <si>
    <t xml:space="preserve">  anchor_cse0 = reported CSE</t>
  </si>
  <si>
    <t xml:space="preserve">  anchor_shares0 = reported shares</t>
  </si>
  <si>
    <t xml:space="preserve">  anchor_eps0 = reported Diluted EPS</t>
  </si>
  <si>
    <t xml:space="preserve">  in_intexp0 = reported Interest Exp</t>
  </si>
  <si>
    <t xml:space="preserve">  in_oiadj0 = reported Operating Income</t>
  </si>
  <si>
    <t xml:space="preserve">  in_tax0 = reported Tax Rate</t>
  </si>
  <si>
    <t xml:space="preserve">Σ |reconciliation residuals| (target 0)</t>
  </si>
  <si>
    <t xml:space="preserve">CHECK 4c — Reformulation ties (=0)</t>
  </si>
  <si>
    <t xml:space="preserve">  Σ|partition tie NOA−NFO−CSE (nom)|</t>
  </si>
  <si>
    <t xml:space="preserve">  Σ|real tie NOA−NFO−CSE|</t>
  </si>
  <si>
    <t xml:space="preserve">  Cap Engine anchor = per-year 2025</t>
  </si>
  <si>
    <t xml:space="preserve">Σ |reformulation ties|</t>
  </si>
  <si>
    <t xml:space="preserve">memo: clean-surplus is a dirty-surplus residual (Econ St r70), not a =0 tie; reformulated CI absorbs it.</t>
  </si>
  <si>
    <t xml:space="preserve">CHECK 4d — Forecast engine identities (=0)</t>
  </si>
  <si>
    <t xml:space="preserve">  Σ|NOA−NFO−CSE|</t>
  </si>
  <si>
    <t xml:space="preserve">  Σ|EPS×sh−NI|</t>
  </si>
  <si>
    <t xml:space="preserve">  Σ|FCFE−distribution|</t>
  </si>
  <si>
    <t xml:space="preserve">Σ |forecast ties|</t>
  </si>
  <si>
    <t xml:space="preserve">CHECK 5 — DCF / RI / FCFE / FCFF reconciliation (=0)</t>
  </si>
  <si>
    <t xml:space="preserve">  V(FCFE) − V(RI)</t>
  </si>
  <si>
    <t xml:space="preserve">  Equity(FCFF) − V(RI)</t>
  </si>
  <si>
    <t xml:space="preserve">Σ |DCF recon ties|</t>
  </si>
  <si>
    <t xml:space="preserve">CHECK 6 — cross-tab: Valuation AEG form vs DCF Reconciliation RI form (=0)</t>
  </si>
  <si>
    <t xml:space="preserve">  Valuation V(EPS) $/sh  [HEADLINE, AEG form]</t>
  </si>
  <si>
    <t xml:space="preserve">  DCF Rec V(RI) $/sh     [residual-income form, four-method tied]</t>
  </si>
  <si>
    <t xml:space="preserve">  gap $/sh  (AEG - RI)</t>
  </si>
  <si>
    <t xml:space="preserve">  gap as % of RI form</t>
  </si>
  <si>
    <t xml:space="preserve">  NOTE: identical only when the AEG terms are capitalised with the annuity factor implied by the ACTUAL cost-of-equity curve.</t>
  </si>
  <si>
    <t xml:space="preserve">Sigma |cross-tab tie|   [GATE: summed into B5]</t>
  </si>
  <si>
    <t xml:space="preserve">CHECK 7 — operations: value-weighted direct vs additive, and flow additivity  [both LIVE, both summed into B5]</t>
  </si>
  <si>
    <t xml:space="preserve">  V(ops)@rho_F* − V(ops) additive</t>
  </si>
  <si>
    <t xml:space="preserve">  Σ|FCFF − (FCFE + FCFD)|</t>
  </si>
  <si>
    <t xml:space="preserve">Σ |CHECK 7|   [GATE: summed into B5]</t>
  </si>
  <si>
    <t xml:space="preserve">INCOME STATEMENT — Microsoft Corporation (MSFT)</t>
  </si>
  <si>
    <t xml:space="preserve">Filed data (Microsoft Corporation). $mm unless noted · per-share $ · ratios frac · shares mm. Blue = filed input. Loaded by the AEG data pipeline.</t>
  </si>
  <si>
    <t xml:space="preserve">Line item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</si>
  <si>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</si>
  <si>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</si>
  <si>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</si>
  <si>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</si>
  <si>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</si>
  <si>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</si>
  <si>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</si>
  <si>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</si>
  <si>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</si>
  <si>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</si>
  <si>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</si>
  <si>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</si>
  <si>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</si>
  <si>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</si>
  <si>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</si>
  <si>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</si>
  <si>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</si>
  <si>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</si>
  <si>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</si>
  <si>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</si>
  <si>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</si>
  <si>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</si>
  <si>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</si>
  <si>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</si>
  <si>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</si>
  <si>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</si>
  <si>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</si>
  <si>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</si>
  <si>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</si>
  <si>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</si>
  <si>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</si>
  <si>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</si>
  <si>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</si>
  <si>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</si>
  <si>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</si>
  <si>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</si>
  <si>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</si>
  <si>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</si>
  <si>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</si>
  <si>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</si>
  <si>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</si>
  <si>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Total Revenue</t>
  </si>
  <si>
    <t xml:space="preserve">  Operating Revenue</t>
  </si>
  <si>
    <t xml:space="preserve">Cost of Revenue</t>
  </si>
  <si>
    <t xml:space="preserve">Gross Profit</t>
  </si>
  <si>
    <t xml:space="preserve">Operating Expense</t>
  </si>
  <si>
    <t xml:space="preserve">  Selling General and Administrative</t>
  </si>
  <si>
    <t xml:space="preserve">  Depreciation Amortization Depletion</t>
  </si>
  <si>
    <t xml:space="preserve">    Depreciation &amp; amortization</t>
  </si>
  <si>
    <t xml:space="preserve">  Other Operating Expenses</t>
  </si>
  <si>
    <t xml:space="preserve">Operating Income</t>
  </si>
  <si>
    <t xml:space="preserve">Net Non Operating Interest Income Expense</t>
  </si>
  <si>
    <t xml:space="preserve">  Interest Income Non Operating</t>
  </si>
  <si>
    <t xml:space="preserve">  Interest Expense Non Operating</t>
  </si>
  <si>
    <t xml:space="preserve">Other Income Expense</t>
  </si>
  <si>
    <t xml:space="preserve">  Earnings from Equity Interest</t>
  </si>
  <si>
    <t xml:space="preserve">  Special Income Charges</t>
  </si>
  <si>
    <t xml:space="preserve">    Restructuring &amp; Mergers Acquisition</t>
  </si>
  <si>
    <t xml:space="preserve">    Impairment of Capital Assets</t>
  </si>
  <si>
    <t xml:space="preserve">    Write Off</t>
  </si>
  <si>
    <t xml:space="preserve">    Other Special Charges</t>
  </si>
  <si>
    <t xml:space="preserve">    Gain on Sale of PPE</t>
  </si>
  <si>
    <t xml:space="preserve">  Other Non Operating Income Expenses</t>
  </si>
  <si>
    <t xml:space="preserve">Pretax Income</t>
  </si>
  <si>
    <t xml:space="preserve">Tax Provision</t>
  </si>
  <si>
    <t xml:space="preserve">Net Income Common Stockholders</t>
  </si>
  <si>
    <t xml:space="preserve">  Net Income</t>
  </si>
  <si>
    <t xml:space="preserve">    Net Income Including Non-Controlling Interests</t>
  </si>
  <si>
    <t xml:space="preserve">      Net Income Continuous Operations</t>
  </si>
  <si>
    <t xml:space="preserve">      Net Income Discontinuous Operations</t>
  </si>
  <si>
    <t xml:space="preserve">      Net Income Extraordinary</t>
  </si>
  <si>
    <t xml:space="preserve">      Net Income from Tax Loss Carryforward</t>
  </si>
  <si>
    <t xml:space="preserve">    Minority Interests</t>
  </si>
  <si>
    <t xml:space="preserve">  Preferred Stock Dividends</t>
  </si>
  <si>
    <t xml:space="preserve">  Otherunder Preferred Stock Dividend</t>
  </si>
  <si>
    <t xml:space="preserve">Average Dilution Earnings</t>
  </si>
  <si>
    <t xml:space="preserve">Diluted NI Available to Com Stockholders</t>
  </si>
  <si>
    <t xml:space="preserve">Basic EPS</t>
  </si>
  <si>
    <t xml:space="preserve">Diluted EPS</t>
  </si>
  <si>
    <t xml:space="preserve">Basic Average Shares</t>
  </si>
  <si>
    <t xml:space="preserve">Diluted Average Shares</t>
  </si>
  <si>
    <t xml:space="preserve">Total Operating Income as Reported</t>
  </si>
  <si>
    <t xml:space="preserve">Total Expenses</t>
  </si>
  <si>
    <t xml:space="preserve">Net Income from Continuing &amp; Discontinued Operation</t>
  </si>
  <si>
    <t xml:space="preserve">Normalized Income</t>
  </si>
  <si>
    <t xml:space="preserve">Interest Income</t>
  </si>
  <si>
    <t xml:space="preserve">Interest Expense</t>
  </si>
  <si>
    <t xml:space="preserve">Net Interest Income</t>
  </si>
  <si>
    <t xml:space="preserve">EBIT</t>
  </si>
  <si>
    <t xml:space="preserve">EBITDA</t>
  </si>
  <si>
    <t xml:space="preserve">Reconciled Cost of Revenue</t>
  </si>
  <si>
    <t xml:space="preserve">Reconciled Depreciation</t>
  </si>
  <si>
    <t xml:space="preserve">Net Income from Continuing Operation Net Minority Interest</t>
  </si>
  <si>
    <t xml:space="preserve">Total Unusual Items Excluding Goodwill</t>
  </si>
  <si>
    <t xml:space="preserve">Total Unusual Items</t>
  </si>
  <si>
    <t xml:space="preserve">Normalized EBITDA</t>
  </si>
  <si>
    <t xml:space="preserve">Tax Rate for Calcs</t>
  </si>
  <si>
    <t xml:space="preserve">Tax Effect of Unusual Items</t>
  </si>
  <si>
    <t xml:space="preserve">BALANCE SHEET — Microsoft Corporation (MSFT)</t>
  </si>
  <si>
    <t xml:space="preserve">Total Assets</t>
  </si>
  <si>
    <t xml:space="preserve">  Current Assets</t>
  </si>
  <si>
    <t xml:space="preserve">    Cash, Cash Equivalents &amp; Short Term Investments</t>
  </si>
  <si>
    <t xml:space="preserve">      Cash And Cash Equivalents</t>
  </si>
  <si>
    <t xml:space="preserve">        Cash</t>
  </si>
  <si>
    <t xml:space="preserve">        Cash Equivalents</t>
  </si>
  <si>
    <t xml:space="preserve">      Other Short Term Investments</t>
  </si>
  <si>
    <t xml:space="preserve">    Receivables</t>
  </si>
  <si>
    <t xml:space="preserve">      Accounts receivable</t>
  </si>
  <si>
    <t xml:space="preserve">        Gross Accounts Receivable</t>
  </si>
  <si>
    <t xml:space="preserve">        Allowance For Doubtful Accounts Receivable</t>
  </si>
  <si>
    <t xml:space="preserve">      Loans Receivable</t>
  </si>
  <si>
    <t xml:space="preserve">      Notes Receivable</t>
  </si>
  <si>
    <t xml:space="preserve">    Inventory</t>
  </si>
  <si>
    <t xml:space="preserve">      Raw Materials</t>
  </si>
  <si>
    <t xml:space="preserve">    Prepaid Assets</t>
  </si>
  <si>
    <t xml:space="preserve">    Restricted Cash</t>
  </si>
  <si>
    <t xml:space="preserve">    Current Deferred Assets</t>
  </si>
  <si>
    <t xml:space="preserve">      Current Deferred Taxes Assets</t>
  </si>
  <si>
    <t xml:space="preserve">    Assets Held for Sale Current</t>
  </si>
  <si>
    <t xml:space="preserve">    Other Current Assets</t>
  </si>
  <si>
    <t xml:space="preserve">  Total non-current assets</t>
  </si>
  <si>
    <t xml:space="preserve">    Net PPE</t>
  </si>
  <si>
    <t xml:space="preserve">      Gross PPE</t>
  </si>
  <si>
    <t xml:space="preserve">        Properties</t>
  </si>
  <si>
    <t xml:space="preserve">        Land And Improvements</t>
  </si>
  <si>
    <t xml:space="preserve">        Buildings And Improvements</t>
  </si>
  <si>
    <t xml:space="preserve">        Machinery Furniture Equipment</t>
  </si>
  <si>
    <t xml:space="preserve">        Other Properties</t>
  </si>
  <si>
    <t xml:space="preserve">        Construction in Progress</t>
  </si>
  <si>
    <t xml:space="preserve">      Accumulated Depreciation</t>
  </si>
  <si>
    <t xml:space="preserve">    Goodwill And Other Intangible Assets</t>
  </si>
  <si>
    <t xml:space="preserve">      Goodwill</t>
  </si>
  <si>
    <t xml:space="preserve">      Other Intangible Assets</t>
  </si>
  <si>
    <t xml:space="preserve">    Investments And Advances</t>
  </si>
  <si>
    <t xml:space="preserve">      Long Term Equity Investment</t>
  </si>
  <si>
    <t xml:space="preserve">        Investments in Subsidiariesat Cost</t>
  </si>
  <si>
    <t xml:space="preserve">        Investments in Associatesat Cost</t>
  </si>
  <si>
    <t xml:space="preserve">        Investments in Joint Venturesat Cost</t>
  </si>
  <si>
    <t xml:space="preserve">    Non Current Note Receivables</t>
  </si>
  <si>
    <t xml:space="preserve">    Defined Pension Benefit</t>
  </si>
  <si>
    <t xml:space="preserve">    Other Non Current Assets</t>
  </si>
  <si>
    <t xml:space="preserve">Total Liabilities Net Minority Interest</t>
  </si>
  <si>
    <t xml:space="preserve">  Current Liabilities</t>
  </si>
  <si>
    <t xml:space="preserve">    Payables And Accrued Expenses</t>
  </si>
  <si>
    <t xml:space="preserve">      Payables</t>
  </si>
  <si>
    <t xml:space="preserve">        Accounts Payable</t>
  </si>
  <si>
    <t xml:space="preserve">        Total Tax Payable</t>
  </si>
  <si>
    <t xml:space="preserve">          Income Tax Payable</t>
  </si>
  <si>
    <t xml:space="preserve">        Dividends Payable</t>
  </si>
  <si>
    <t xml:space="preserve">        Other Payable</t>
  </si>
  <si>
    <t xml:space="preserve">      Current Accrued Expenses</t>
  </si>
  <si>
    <t xml:space="preserve">        Interest Payable</t>
  </si>
  <si>
    <t xml:space="preserve">    Pension &amp; Other Post Retirement Benefit Plans Current</t>
  </si>
  <si>
    <t xml:space="preserve">    Current Debt And Capital Lease Obligation</t>
  </si>
  <si>
    <t xml:space="preserve">      Current Debt</t>
  </si>
  <si>
    <t xml:space="preserve">        Current Notes Payable</t>
  </si>
  <si>
    <t xml:space="preserve">        Commercial Paper</t>
  </si>
  <si>
    <t xml:space="preserve">        Line of Credit</t>
  </si>
  <si>
    <t xml:space="preserve">        Other Current Borrowings</t>
  </si>
  <si>
    <t xml:space="preserve">      Current Capital Lease Obligation</t>
  </si>
  <si>
    <t xml:space="preserve">    Current Deferred Liabilities</t>
  </si>
  <si>
    <t xml:space="preserve">      Current Deferred Revenue</t>
  </si>
  <si>
    <t xml:space="preserve">    Other Current Liabilities</t>
  </si>
  <si>
    <t xml:space="preserve">  Total Non Current Liabilities Net Minority Interest</t>
  </si>
  <si>
    <t xml:space="preserve">    Long Term Debt And Capital Lease Obligation</t>
  </si>
  <si>
    <t xml:space="preserve">      Long Term Debt</t>
  </si>
  <si>
    <t xml:space="preserve">      Long Term Capital Lease Obligation</t>
  </si>
  <si>
    <t xml:space="preserve">    Non Current Deferred Liabilities</t>
  </si>
  <si>
    <t xml:space="preserve">      Non Current Deferred Taxes Liabilities</t>
  </si>
  <si>
    <t xml:space="preserve">    Employee Benefits</t>
  </si>
  <si>
    <t xml:space="preserve">      Non Current Pension And Other Post-Retirement Benefit Plans</t>
  </si>
  <si>
    <t xml:space="preserve">    Preferred Securities Outside Stock Equity</t>
  </si>
  <si>
    <t xml:space="preserve">    Other Non Current Liabilities</t>
  </si>
  <si>
    <t xml:space="preserve">Total Equity Gross Minority Interest</t>
  </si>
  <si>
    <t xml:space="preserve">  Stockholders' Equity</t>
  </si>
  <si>
    <t xml:space="preserve">    Capital Stock</t>
  </si>
  <si>
    <t xml:space="preserve">      Preferred Stock</t>
  </si>
  <si>
    <t xml:space="preserve">      Common Stock</t>
  </si>
  <si>
    <t xml:space="preserve">    Additional Paid in Capital</t>
  </si>
  <si>
    <t xml:space="preserve">    Retained Earnings</t>
  </si>
  <si>
    <t xml:space="preserve">    Treasury Stock</t>
  </si>
  <si>
    <t xml:space="preserve">    Gains Losses Not Affecting Retained Earnings</t>
  </si>
  <si>
    <t xml:space="preserve">      Unrealized Gain Loss</t>
  </si>
  <si>
    <t xml:space="preserve">      Minimum Pension Liabilities</t>
  </si>
  <si>
    <t xml:space="preserve">      Foreign Currency Translation Adjustments</t>
  </si>
  <si>
    <t xml:space="preserve">      Other Equity Adjustments</t>
  </si>
  <si>
    <t xml:space="preserve">    Other Equity Interest</t>
  </si>
  <si>
    <t xml:space="preserve">  Minority Interest</t>
  </si>
  <si>
    <t xml:space="preserve">Total Capitalization</t>
  </si>
  <si>
    <t xml:space="preserve">Common Stock Equity</t>
  </si>
  <si>
    <t xml:space="preserve">Capital Lease Obligations</t>
  </si>
  <si>
    <t xml:space="preserve">Net Tangible Assets</t>
  </si>
  <si>
    <t xml:space="preserve">Working Capital</t>
  </si>
  <si>
    <t xml:space="preserve">Invested Capital</t>
  </si>
  <si>
    <t xml:space="preserve">Tangible Book Value</t>
  </si>
  <si>
    <t xml:space="preserve">Total Debt</t>
  </si>
  <si>
    <t xml:space="preserve">Net Debt</t>
  </si>
  <si>
    <t xml:space="preserve">Share Issued</t>
  </si>
  <si>
    <t xml:space="preserve">Ordinary Shares Number</t>
  </si>
  <si>
    <t xml:space="preserve">Preferred Shares Number</t>
  </si>
  <si>
    <t xml:space="preserve">Treasury Shares Number</t>
  </si>
  <si>
    <t xml:space="preserve">CASH FLOW — Microsoft Corporation (MSFT)</t>
  </si>
  <si>
    <t xml:space="preserve">Operating Cash Flow</t>
  </si>
  <si>
    <t xml:space="preserve">  Cash Flow from Continuing Operating Activities</t>
  </si>
  <si>
    <t xml:space="preserve">    Net Income from Continuing Operations</t>
  </si>
  <si>
    <t xml:space="preserve">    Operating Gains Losses</t>
  </si>
  <si>
    <t xml:space="preserve">      Gain Loss On Sale of Business</t>
  </si>
  <si>
    <t xml:space="preserve">      Gain Loss On Sale of PPE</t>
  </si>
  <si>
    <t xml:space="preserve">      Gain Loss On Investment Securities</t>
  </si>
  <si>
    <t xml:space="preserve">      Earnings Losses from Equity Investments</t>
  </si>
  <si>
    <t xml:space="preserve">      Pension And Employee Benefit Expense</t>
  </si>
  <si>
    <t xml:space="preserve">    Depreciation Amortization Depletion</t>
  </si>
  <si>
    <t xml:space="preserve">      Depreciation &amp; amortization</t>
  </si>
  <si>
    <t xml:space="preserve">        Depreciation</t>
  </si>
  <si>
    <t xml:space="preserve">        Amortization</t>
  </si>
  <si>
    <t xml:space="preserve">          Amortization of Intangibles</t>
  </si>
  <si>
    <t xml:space="preserve">    Deferred Tax</t>
  </si>
  <si>
    <t xml:space="preserve">      Deferred Income Tax</t>
  </si>
  <si>
    <t xml:space="preserve">    Asset Impairment Charge</t>
  </si>
  <si>
    <t xml:space="preserve">    Provision &amp; Write Off of Assets</t>
  </si>
  <si>
    <t xml:space="preserve">    Unrealized Gain Loss On Investment Securities</t>
  </si>
  <si>
    <t xml:space="preserve">    Excess Tax Benefit from Stock Based Compensation</t>
  </si>
  <si>
    <t xml:space="preserve">    Other non-cash items</t>
  </si>
  <si>
    <t xml:space="preserve">    Change in working capital</t>
  </si>
  <si>
    <t xml:space="preserve">      Change in Receivables</t>
  </si>
  <si>
    <t xml:space="preserve">        Changes in Account Receivables</t>
  </si>
  <si>
    <t xml:space="preserve">      Change in Inventory</t>
  </si>
  <si>
    <t xml:space="preserve">      Change in Payables And Accrued Expense</t>
  </si>
  <si>
    <t xml:space="preserve">      Change in Other Current Assets</t>
  </si>
  <si>
    <t xml:space="preserve">      Change in Other Current Liabilities</t>
  </si>
  <si>
    <t xml:space="preserve">      Change in Other Working Capital</t>
  </si>
  <si>
    <t xml:space="preserve">  Cash from Discontinued Operating Activities</t>
  </si>
  <si>
    <t xml:space="preserve">Investing Cash Flow</t>
  </si>
  <si>
    <t xml:space="preserve">  Cash Flow from Continuing Investing Activities</t>
  </si>
  <si>
    <t xml:space="preserve">    Capital Expenditure Reported</t>
  </si>
  <si>
    <t xml:space="preserve">    Net PPE Purchase And Sale</t>
  </si>
  <si>
    <t xml:space="preserve">      Purchase of PPE</t>
  </si>
  <si>
    <t xml:space="preserve">      Sale of PPE</t>
  </si>
  <si>
    <t xml:space="preserve">    Net Business Purchase And Sale</t>
  </si>
  <si>
    <t xml:space="preserve">      Purchase of Business</t>
  </si>
  <si>
    <t xml:space="preserve">      Sale of Business</t>
  </si>
  <si>
    <t xml:space="preserve">    Net Investment Purchase And Sale</t>
  </si>
  <si>
    <t xml:space="preserve">      Purchase of Investment</t>
  </si>
  <si>
    <t xml:space="preserve">      Sale of Investment</t>
  </si>
  <si>
    <t xml:space="preserve">    Dividends Received CFI</t>
  </si>
  <si>
    <t xml:space="preserve">    Interest Received CFI</t>
  </si>
  <si>
    <t xml:space="preserve">    Net Other Investing Changes</t>
  </si>
  <si>
    <t xml:space="preserve">  Cash from Discontinued Investing Activities</t>
  </si>
  <si>
    <t xml:space="preserve">Financing Cash Flow</t>
  </si>
  <si>
    <t xml:space="preserve">  Cash Flow from Continuing Financing Activities</t>
  </si>
  <si>
    <t xml:space="preserve">    Net Issuance Payments of Debt</t>
  </si>
  <si>
    <t xml:space="preserve">      Net Long Term Debt Issuance</t>
  </si>
  <si>
    <t xml:space="preserve">        Long Term Debt Issuance</t>
  </si>
  <si>
    <t xml:space="preserve">        Long Term Debt Payments</t>
  </si>
  <si>
    <t xml:space="preserve">      Net Short Term Debt Issuance</t>
  </si>
  <si>
    <t xml:space="preserve">        Short Term Debt Issuance</t>
  </si>
  <si>
    <t xml:space="preserve">        Short Term Debt Payments</t>
  </si>
  <si>
    <t xml:space="preserve">    Net Common Stock Issuance</t>
  </si>
  <si>
    <t xml:space="preserve">      Common Stock Issuance</t>
  </si>
  <si>
    <t xml:space="preserve">      Common Stock Payments</t>
  </si>
  <si>
    <t xml:space="preserve">    Net Preferred Stock Issuance</t>
  </si>
  <si>
    <t xml:space="preserve">      Preferred Stock Issuance</t>
  </si>
  <si>
    <t xml:space="preserve">      Preferred Stock Payments</t>
  </si>
  <si>
    <t xml:space="preserve">    Cash Dividends Paid</t>
  </si>
  <si>
    <t xml:space="preserve">      Common Stock Dividend Paid</t>
  </si>
  <si>
    <t xml:space="preserve">      Preferred Stock Dividend Paid</t>
  </si>
  <si>
    <t xml:space="preserve">    Net Other Financing Charges</t>
  </si>
  <si>
    <t xml:space="preserve">  Cash from Discontinued Financing Activities</t>
  </si>
  <si>
    <t xml:space="preserve">End Cash Position</t>
  </si>
  <si>
    <t xml:space="preserve">  Changes in Cash</t>
  </si>
  <si>
    <t xml:space="preserve">  Beginning Cash Position</t>
  </si>
  <si>
    <t xml:space="preserve">  Other Cash Adjustment Outside Change in Cash</t>
  </si>
  <si>
    <t xml:space="preserve">Income Tax Paid Supplemental Data</t>
  </si>
  <si>
    <t xml:space="preserve">Interest Paid Supplemental Data</t>
  </si>
  <si>
    <t xml:space="preserve">Capital Expenditure</t>
  </si>
  <si>
    <t xml:space="preserve">Issuance of Capital Stock</t>
  </si>
  <si>
    <t xml:space="preserve">Issuance of Debt</t>
  </si>
  <si>
    <t xml:space="preserve">Repayment of Debt</t>
  </si>
  <si>
    <t xml:space="preserve">Repurchase of Capital Stock</t>
  </si>
  <si>
    <t xml:space="preserve">Free Cash Flow</t>
  </si>
  <si>
    <t xml:space="preserve">MARKET DATA — sourced rate/price series</t>
  </si>
  <si>
    <t xml:space="preserve">Two deflators (real 2026$): CPI-U for general items; BEA private nonresidential fixed-investment chain price index for PP&amp;E vintages. Full history loaded; consumers subset via lookup.</t>
  </si>
  <si>
    <t xml:space="preserve">CPI-U (general deflator)</t>
  </si>
  <si>
    <t xml:space="preserve">Year-end close: Yahoo daily T.csv, last trading day; x1.324 pre-2022 to reverse WBD-spin back-adjustment.</t>
  </si>
  <si>
    <t xml:space="preserve">CPI-U base (2026 ref)</t>
  </si>
  <si>
    <t xml:space="preserve">BLS CPI-U, May 2026 = 335.123 (latest). 1982-84=100.</t>
  </si>
  <si>
    <t xml:space="preserve">Year</t>
  </si>
  <si>
    <t xml:space="preserve">1985</t>
  </si>
  <si>
    <t xml:space="preserve">CPI-U (annual avg)</t>
  </si>
  <si>
    <t xml:space="preserve">Deflator = base/CPI</t>
  </si>
  <si>
    <t xml:space="preserve">BEA nonresidential fixed-investment (PP&amp;E deflator)</t>
  </si>
  <si>
    <t xml:space="preserve">BEA base (2026 ref)</t>
  </si>
  <si>
    <t xml:space="preserve">BEA B008RG (nonres. FI chain price idx), 2017=100; Q1 2026 = 118.040 (latest). FRED.</t>
  </si>
  <si>
    <t xml:space="preserve">BEA nonres-FI (annual avg)</t>
  </si>
  <si>
    <t xml:space="preserve">Deflator = base/BEA</t>
  </si>
  <si>
    <t xml:space="preserve">Microsoft Corporation year-end close (contemp., $/sh)  [buyback reserve]</t>
  </si>
  <si>
    <t xml:space="preserve">year-end close (split-adjusted, today's basis, $/sh)  [market cap only -- NOT the buyback reserve]</t>
  </si>
  <si>
    <t xml:space="preserve">RATE CONSTRUCTION (real 2026$; 1yr-forward curves)</t>
  </si>
  <si>
    <t xml:space="preserve">Treasury nominal par (CMT) &amp; TIPS real par → breakeven infl = nominal−TIPS; 1–4yr infl stub = Cleveland Fed EXPINF (TIPS knots ≥5yr). Company ρD from issued-bond YTW ladder. Refresh each session.</t>
  </si>
  <si>
    <t xml:space="preserve">Tenor t</t>
  </si>
  <si>
    <t xml:space="preserve">Expected inflation — SPOT (breakeven) [feed:breakeven]</t>
  </si>
  <si>
    <t xml:space="preserve">Expected inflation — 1yr FORWARD  [finrate_infl]</t>
  </si>
  <si>
    <t xml:space="preserve">Real risk-free — SPOT (TIPS) [feed:real]</t>
  </si>
  <si>
    <t xml:space="preserve">Real risk-free — 1yr FORWARD</t>
  </si>
  <si>
    <t xml:space="preserve">Equity risk premium (real) TERM STRUCTURE [feed:market_erp; finrate_erp]</t>
  </si>
  <si>
    <t xml:space="preserve">COE ρE real fwd = real fwd rf + ERP  [finrate_coe]</t>
  </si>
  <si>
    <t xml:space="preserve">ρD nominal — SPOT [UNUSED: superseded by feed real_cod]</t>
  </si>
  <si>
    <t xml:space="preserve">ρD REAL — 1yr FORWARD [feed:real_cod, consumed directly]</t>
  </si>
  <si>
    <t xml:space="preserve">ρD real — 1yr FORWARD  [finrate_cod]</t>
  </si>
  <si>
    <t xml:space="preserve">memo: implied credit spread (nom spot)</t>
  </si>
  <si>
    <t xml:space="preserve">Idiosyncratic premium (real) [feed:idiosyncratic; finrate_idio] — 0 in base</t>
  </si>
  <si>
    <t xml:space="preserve">CAP ENGINE — economic restatement (PP&amp;E vintage · R&amp;D capitalization)</t>
  </si>
  <si>
    <t xml:space="preserve">PP&amp;E vintages deflated on the BEA nonresidential fixed-investment index (capital-goods prices), gated by age&lt;L, straight-line composite. L=in_ppe_life, anchor=in_anchor_year.</t>
  </si>
  <si>
    <t xml:space="preserve">PP&amp;E VINTAGE RESTATEMENT</t>
  </si>
  <si>
    <t xml:space="preserve">Vintage yr</t>
  </si>
  <si>
    <t xml:space="preserve">Nominal capex</t>
  </si>
  <si>
    <t xml:space="preserve">Deflator(BEA)→2026$</t>
  </si>
  <si>
    <t xml:space="preserve">Real capex 2026$</t>
  </si>
  <si>
    <t xml:space="preserve">Age = A−v</t>
  </si>
  <si>
    <t xml:space="preserve">Live (age&lt;L)</t>
  </si>
  <si>
    <t xml:space="preserve">Remaining (L−age)/L</t>
  </si>
  <si>
    <t xml:space="preserve">Real gross contrib</t>
  </si>
  <si>
    <t xml:space="preserve">Real net = real×rem</t>
  </si>
  <si>
    <t xml:space="preserve">v (num)</t>
  </si>
  <si>
    <t xml:space="preserve">REAL PP&amp;E ANCHOR (FY = in_anchor_year, real 2026$)</t>
  </si>
  <si>
    <t xml:space="preserve">Real gross PP&amp;E = Σ gross contrib</t>
  </si>
  <si>
    <t xml:space="preserve">Real net PP&amp;E = Σ real net</t>
  </si>
  <si>
    <t xml:space="preserve">Real accum. deprec. = gross − net</t>
  </si>
  <si>
    <t xml:space="preserve">Economic depreciation = real gross / L</t>
  </si>
  <si>
    <t xml:space="preserve">RECONCILIATION vs reported nominal PP&amp;E</t>
  </si>
  <si>
    <t xml:space="preserve">Reported nominal gross PP&amp;E</t>
  </si>
  <si>
    <t xml:space="preserve">Reported nominal net PP&amp;E</t>
  </si>
  <si>
    <t xml:space="preserve">Real/nominal gross ratio</t>
  </si>
  <si>
    <t xml:space="preserve">Real/nominal net ratio</t>
  </si>
  <si>
    <t xml:space="preserve">Live-vintage count</t>
  </si>
  <si>
    <t xml:space="preserve">R&amp;D CAPITALIZATION (general)</t>
  </si>
  <si>
    <t xml:space="preserve">R&amp;D expense reported ($mm) [Inputs]</t>
  </si>
  <si>
    <t xml:space="preserve">R&amp;D amortization life (Inputs)</t>
  </si>
  <si>
    <t xml:space="preserve">R&amp;D reserve = expense × life</t>
  </si>
  <si>
    <t xml:space="preserve">PER-YEAR ECONOMIC PP&amp;E SERIES (real 2026$; each year re-ages live vintages)</t>
  </si>
  <si>
    <t xml:space="preserve">Anchor year t</t>
  </si>
  <si>
    <t xml:space="preserve">Real gross PP&amp;E(t)</t>
  </si>
  <si>
    <t xml:space="preserve">Real net PP&amp;E(t)</t>
  </si>
  <si>
    <t xml:space="preserve">Economic depreciation(t)</t>
  </si>
  <si>
    <t xml:space="preserve">ECON STATEMENTS — reformulated IS/BS (real 2026$)  [historical restatement stays REAL 2026$ — presentation basis]</t>
  </si>
  <si>
    <t xml:space="preserve">General: pulls reported rows by named range + INDEX/MATCH, Cap Engine real PP&amp;E, Market Data deflators, Inputs assumptions. Partition: MI+pension in NFO. PP&amp;E on BEA; other items on CPI. Effective-rate tax.</t>
  </si>
  <si>
    <t xml:space="preserve">Restatement view (cfg_restatement):</t>
  </si>
  <si>
    <t xml:space="preserve">Fiscal year</t>
  </si>
  <si>
    <t xml:space="preserve">CPI deflator  [MULTIPLIER: nominal x this = base-year 2026$. Do NOT divide.]</t>
  </si>
  <si>
    <t xml:space="preserve">BEA deflator  [MULTIPLIER: nominal x this = base-year 2026$. Do NOT divide.]</t>
  </si>
  <si>
    <t xml:space="preserve">REPORTED (nominal $mm)</t>
  </si>
  <si>
    <t xml:space="preserve">Total assets</t>
  </si>
  <si>
    <t xml:space="preserve">Total liabilities</t>
  </si>
  <si>
    <t xml:space="preserve">Cash</t>
  </si>
  <si>
    <t xml:space="preserve">Total debt</t>
  </si>
  <si>
    <t xml:space="preserve">Pension (NC)</t>
  </si>
  <si>
    <t xml:space="preserve">Minority interest</t>
  </si>
  <si>
    <t xml:space="preserve">Reported net PP&amp;E</t>
  </si>
  <si>
    <t xml:space="preserve">Reported CSE (common)</t>
  </si>
  <si>
    <t xml:space="preserve">Shares (mm)</t>
  </si>
  <si>
    <t xml:space="preserve">Operating income</t>
  </si>
  <si>
    <t xml:space="preserve">D&amp;A (reconciled)</t>
  </si>
  <si>
    <t xml:space="preserve">Net income (common)</t>
  </si>
  <si>
    <t xml:space="preserve">Interest expense</t>
  </si>
  <si>
    <t xml:space="preserve">Tax rate</t>
  </si>
  <si>
    <t xml:space="preserve">OCI</t>
  </si>
  <si>
    <t xml:space="preserve">Dividends paid</t>
  </si>
  <si>
    <t xml:space="preserve">Repurchases</t>
  </si>
  <si>
    <t xml:space="preserve">PARTITION (nominal)</t>
  </si>
  <si>
    <t xml:space="preserve">Financial obligations</t>
  </si>
  <si>
    <t xml:space="preserve">Financial assets</t>
  </si>
  <si>
    <t xml:space="preserve">NFO (nominal)</t>
  </si>
  <si>
    <t xml:space="preserve">Operating assets</t>
  </si>
  <si>
    <t xml:space="preserve">Operating liabilities</t>
  </si>
  <si>
    <t xml:space="preserve">NOA (nominal, reported PP&amp;E)</t>
  </si>
  <si>
    <t xml:space="preserve">CSE (reported)</t>
  </si>
  <si>
    <t xml:space="preserve">tie: NOA−NFO−CSE (nom)</t>
  </si>
  <si>
    <t xml:space="preserve">ECONOMIC RESTATEMENT (real 2026$)</t>
  </si>
  <si>
    <t xml:space="preserve">Real net PP&amp;E (BEA)</t>
  </si>
  <si>
    <t xml:space="preserve">Non-PP&amp;E op net (nom)</t>
  </si>
  <si>
    <t xml:space="preserve">Real non-PP&amp;E op net</t>
  </si>
  <si>
    <t xml:space="preserve">Real NOA</t>
  </si>
  <si>
    <t xml:space="preserve">Real NFO</t>
  </si>
  <si>
    <t xml:space="preserve">Real CSE</t>
  </si>
  <si>
    <t xml:space="preserve">tie: Real NOA−NFO−CSE</t>
  </si>
  <si>
    <t xml:space="preserve">ECONOMIC FLOWS (real 2026$)</t>
  </si>
  <si>
    <t xml:space="preserve">Real EBITDA</t>
  </si>
  <si>
    <t xml:space="preserve">Economic depreciation</t>
  </si>
  <si>
    <t xml:space="preserve">Economic OI (pretax)</t>
  </si>
  <si>
    <t xml:space="preserve">Economic OI-after-tax</t>
  </si>
  <si>
    <t xml:space="preserve">NFE after-tax (real)</t>
  </si>
  <si>
    <t xml:space="preserve">Economic NI</t>
  </si>
  <si>
    <t xml:space="preserve">OCI (real)</t>
  </si>
  <si>
    <t xml:space="preserve">Comprehensive income</t>
  </si>
  <si>
    <t xml:space="preserve">METRICS (economic, ending-balance)</t>
  </si>
  <si>
    <t xml:space="preserve">RNOA (econ)</t>
  </si>
  <si>
    <t xml:space="preserve">FLEV (econ)</t>
  </si>
  <si>
    <t xml:space="preserve">NBC</t>
  </si>
  <si>
    <t xml:space="preserve">Spread</t>
  </si>
  <si>
    <t xml:space="preserve">ROCE</t>
  </si>
  <si>
    <t xml:space="preserve">Reported ROE (memo)</t>
  </si>
  <si>
    <t xml:space="preserve">CLEAN-SURPLUS (nominal check)</t>
  </si>
  <si>
    <t xml:space="preserve">Net distribution D = −(div+repurch)</t>
  </si>
  <si>
    <t xml:space="preserve">Reported CI (nom) = NI+OCI</t>
  </si>
  <si>
    <t xml:space="preserve">ΔCSE (nom)</t>
  </si>
  <si>
    <t xml:space="preserve">Clean-surplus residual (dirty)</t>
  </si>
  <si>
    <t xml:space="preserve">ACTIVE (cfg_restatement-selected)</t>
  </si>
  <si>
    <t xml:space="preserve">Active NOA</t>
  </si>
  <si>
    <t xml:space="preserve">Active NFO</t>
  </si>
  <si>
    <t xml:space="preserve">Active CSE</t>
  </si>
  <si>
    <t xml:space="preserve">Active OI-after-tax</t>
  </si>
  <si>
    <t xml:space="preserve">Active NI</t>
  </si>
  <si>
    <t xml:space="preserve">Active RNOA</t>
  </si>
  <si>
    <t xml:space="preserve">REAL IS LINES (real 2026$; forecast build-up base)</t>
  </si>
  <si>
    <t xml:space="preserve">Real revenue</t>
  </si>
  <si>
    <t xml:space="preserve">Real COGS</t>
  </si>
  <si>
    <t xml:space="preserve">Real gross profit</t>
  </si>
  <si>
    <t xml:space="preserve">Real SG&amp;A</t>
  </si>
  <si>
    <t xml:space="preserve">BUYBACK / REPURCHASE-PREMIUM ROE ADJUSTMENT  (JK-original · premium-only)</t>
  </si>
  <si>
    <t xml:space="preserve">Additive capital-efficiency view only; never enters AEG value (Penman Ch.5/6). RNOA untouched. Reserve raises the economic-CSE base so ROE falls; cfg_buyback {On|Off}. VP6 proves value-invariance.</t>
  </si>
  <si>
    <t xml:space="preserve">cfg_buyback active (1=On)</t>
  </si>
  <si>
    <t xml:space="preserve">Year-end price (contemp.)</t>
  </si>
  <si>
    <t xml:space="preserve">Market cap = adj. price x shares  [split-consistent]</t>
  </si>
  <si>
    <t xml:space="preserve">Book/market = repCSE/mktcap</t>
  </si>
  <si>
    <t xml:space="preserve">Premium fraction = 1−book/mkt</t>
  </si>
  <si>
    <t xml:space="preserve">Buyback $ (nominal)</t>
  </si>
  <si>
    <t xml:space="preserve">Annual premium reserve (real)</t>
  </si>
  <si>
    <t xml:space="preserve">Cumulative premium reserve</t>
  </si>
  <si>
    <t xml:space="preserve">Economic CSE (real)</t>
  </si>
  <si>
    <t xml:space="preserve">Adjusted base = CSE+reserve</t>
  </si>
  <si>
    <t xml:space="preserve">Economic CI (real)</t>
  </si>
  <si>
    <t xml:space="preserve">ROE unadjusted</t>
  </si>
  <si>
    <t xml:space="preserve">ROE ADJUSTED (premium)</t>
  </si>
  <si>
    <t xml:space="preserve">VP6 INVARIANCE — adjustment nets to zero in equity residual-income value</t>
  </si>
  <si>
    <t xml:space="preserve">flat real COE r (ρE_LR)</t>
  </si>
  <si>
    <t xml:space="preserve">DF_t = 1/(1+r)^(t−t0)</t>
  </si>
  <si>
    <t xml:space="preserve">RI without = CI − r·CSE(prior)</t>
  </si>
  <si>
    <t xml:space="preserve">RI with = (CI+Δres) − r·adjbase(prior)</t>
  </si>
  <si>
    <t xml:space="preserve">V_without = CSE₀ + ΣPV(RI_wo) − DF_N·CSE_N</t>
  </si>
  <si>
    <t xml:space="preserve">V_with = adjbase₀ + ΣPV(RI_w) − DF_N·adjbase_N</t>
  </si>
  <si>
    <t xml:space="preserve">★ VP6 tie = V_with − V_without</t>
  </si>
  <si>
    <t xml:space="preserve">FORECAST — merged cfg_mode engine (real spine 2026$; NOMINAL published series rows 39-47; cash tax on historical-cost depreciation)</t>
  </si>
  <si>
    <t xml:space="preserve">One dual-mode tab. REAL spine (rows 5-36) drives the build; rows 37-38 carry pi_t and the cumulative index; rows 39-47 publish the NOMINAL series consumed by Valuation and DCF Reconciliation. Rows 48-52/34-35 compute cash tax on historical-cost depreciation.</t>
  </si>
  <si>
    <t xml:space="preserve">cfg_mode:</t>
  </si>
  <si>
    <t xml:space="preserve">financing:</t>
  </si>
  <si>
    <t xml:space="preserve">Period t  (0 = last actual)</t>
  </si>
  <si>
    <t xml:space="preserve">INCOME STATEMENT — build to EPS</t>
  </si>
  <si>
    <t xml:space="preserve">Revenue</t>
  </si>
  <si>
    <t xml:space="preserve">  real revenue growth</t>
  </si>
  <si>
    <t xml:space="preserve">Gross profit</t>
  </si>
  <si>
    <t xml:space="preserve">  gross margin</t>
  </si>
  <si>
    <t xml:space="preserve">SG&amp;A</t>
  </si>
  <si>
    <t xml:space="preserve">  SG&amp;A % of revenue</t>
  </si>
  <si>
    <t xml:space="preserve">D&amp;A (economic depreciation)</t>
  </si>
  <si>
    <t xml:space="preserve">  depreciation rate (on prior PP&amp;E)</t>
  </si>
  <si>
    <t xml:space="preserve">Operating income (EBIT)</t>
  </si>
  <si>
    <t xml:space="preserve">Operating income, after tax (OI)</t>
  </si>
  <si>
    <t xml:space="preserve">  tax rate</t>
  </si>
  <si>
    <t xml:space="preserve">Net financial expense (NFE) = ρD × prior NFO</t>
  </si>
  <si>
    <t xml:space="preserve">Net income (comprehensive)</t>
  </si>
  <si>
    <t xml:space="preserve">Shares outstanding (mm)</t>
  </si>
  <si>
    <t xml:space="preserve">  net buyback rate  [E-driver]</t>
  </si>
  <si>
    <t xml:space="preserve">Net PP&amp;E (within NOA)</t>
  </si>
  <si>
    <t xml:space="preserve">  capital expenditure</t>
  </si>
  <si>
    <t xml:space="preserve">Net operating assets (NOA)</t>
  </si>
  <si>
    <t xml:space="preserve">  NFO  (financed by)</t>
  </si>
  <si>
    <t xml:space="preserve">  CSE = NOA − NFO  (equity: clean-surplus roll)</t>
  </si>
  <si>
    <t xml:space="preserve">FLEV target / funding policy δ  [E-driver]</t>
  </si>
  <si>
    <t xml:space="preserve">Dividends per share (DPS)</t>
  </si>
  <si>
    <t xml:space="preserve">Earnings per share (EPS = NI ÷ shares)</t>
  </si>
  <si>
    <t xml:space="preserve">Share repurchases ($) = shares retired × price</t>
  </si>
  <si>
    <t xml:space="preserve">  share price (constant P/B, off prior book)</t>
  </si>
  <si>
    <t xml:space="preserve">  constant P/B  = real price0 / real book0</t>
  </si>
  <si>
    <t xml:space="preserve">  depreciation tax penalty (nominal) = t x (econ - tax) dep   &lt;STAGE B1&gt;</t>
  </si>
  <si>
    <t xml:space="preserve">  depreciation tax penalty (real 2026$)  -&gt; charged to OI after tax   &lt;STAGE B1&gt;</t>
  </si>
  <si>
    <t xml:space="preserve">  capex % of revenue  [driver]</t>
  </si>
  <si>
    <t xml:space="preserve">  pi_t  expected inflation fwd [finrate_infl]   &lt;STAGE A&gt;</t>
  </si>
  <si>
    <t xml:space="preserve">  I_t  cumulative inflation index (I_0=1)       &lt;STAGE A&gt;</t>
  </si>
  <si>
    <t xml:space="preserve">  NOMINAL D&amp;A (economic depreciation)  &lt;STAGE A&gt;</t>
  </si>
  <si>
    <t xml:space="preserve">  NOMINAL Operating income, after tax (OI)  &lt;STAGE A&gt;</t>
  </si>
  <si>
    <t xml:space="preserve">  NOMINAL Net income (comprehensive)  &lt;STAGE A&gt;</t>
  </si>
  <si>
    <t xml:space="preserve">  NOMINAL   capital expenditure  &lt;STAGE A&gt;</t>
  </si>
  <si>
    <t xml:space="preserve">  NOMINAL Net operating assets (NOA)  &lt;STAGE A&gt;</t>
  </si>
  <si>
    <t xml:space="preserve">  NOMINAL   NFO  (financed by)  &lt;STAGE A&gt;</t>
  </si>
  <si>
    <t xml:space="preserve">  NOMINAL   CSE = NOA − NFO  (equity: clean-surplus roll)  &lt;STAGE A&gt;</t>
  </si>
  <si>
    <t xml:space="preserve">  NOMINAL Dividends per share (DPS)  &lt;STAGE A&gt;</t>
  </si>
  <si>
    <t xml:space="preserve">  NOMINAL Earnings per share (EPS = NI ÷ shares)  &lt;STAGE A&gt;</t>
  </si>
  <si>
    <t xml:space="preserve">  legacy nominal live gross PP&amp;E(t)  [tax basis, pre-anchor vintages]   &lt;STAGE B1&gt;</t>
  </si>
  <si>
    <t xml:space="preserve">  TAX depreciation (nominal, historical cost)   &lt;STAGE B1&gt;</t>
  </si>
  <si>
    <t xml:space="preserve">  NOA growth (real)  [E-driver]</t>
  </si>
  <si>
    <t xml:space="preserve">  FLEV target (or δ)  [driver]</t>
  </si>
  <si>
    <t xml:space="preserve">  economic depreciation (nominal, current cost)   &lt;STAGE B1&gt;</t>
  </si>
  <si>
    <t xml:space="preserve">DuPont &amp; Identity checks</t>
  </si>
  <si>
    <t xml:space="preserve">RNOA = OI ÷ prior NOA</t>
  </si>
  <si>
    <t xml:space="preserve">FLEV = NFO ÷ CSE</t>
  </si>
  <si>
    <t xml:space="preserve">tie: NOA − NFO − CSE</t>
  </si>
  <si>
    <t xml:space="preserve">tie: EPS×shares − NI</t>
  </si>
  <si>
    <t xml:space="preserve">tie: FCFE − total distribution</t>
  </si>
  <si>
    <t xml:space="preserve">rF_t (leverage-implied, normal-fill charge)</t>
  </si>
  <si>
    <t xml:space="preserve">R&amp;D econ charge (real; reconciles fwd EBIT to OI anchor)</t>
  </si>
  <si>
    <t xml:space="preserve">VALUATION — AEG equity decomposition · NOMINAL forecast, nominal discounting, real-rate capitalisation, curve-implied annuity factors (value in 2026$/sh)</t>
  </si>
  <si>
    <t xml:space="preserve">Equity: AEG on forecast EPS/DPS at ρE (finrate_coe). Financing at ρD (finrate_cod), constant structure. ρF leverage-implied → V(OI)−V(NFE)=V(EPS) as an identity. cfg_valread picks the read; tie proves agreement.</t>
  </si>
  <si>
    <t xml:space="preserve">Period t  (0 = anchor)</t>
  </si>
  <si>
    <t xml:space="preserve">rhoE  (NOMINAL per-year = Fisher(finrate_coe, finrate_infl))</t>
  </si>
  <si>
    <t xml:space="preserve">rhoD  (NOMINAL per-year = Fisher(finrate_cod, finrate_infl))</t>
  </si>
  <si>
    <t xml:space="preserve">EPS/sh (real) — per ANCHOR share in Enterprise mode</t>
  </si>
  <si>
    <t xml:space="preserve">DPS/sh (real) — TOTAL distribution (divs+buybacks) per ANCHOR share in Enterprise mode</t>
  </si>
  <si>
    <t xml:space="preserve">retained/sh = EPS − DPS</t>
  </si>
  <si>
    <t xml:space="preserve">BPS/sh (book, clean surplus) — per ANCHOR share in Enterprise mode</t>
  </si>
  <si>
    <t xml:space="preserve">NFO/sh — live forecast financing path (per ANCHOR share in Enterprise mode)  &lt;P4&gt;</t>
  </si>
  <si>
    <t xml:space="preserve">NFE/sh = ρD × NFO/sh</t>
  </si>
  <si>
    <t xml:space="preserve">OI/sh = EPS + NFE</t>
  </si>
  <si>
    <t xml:space="preserve">FLEV = NFO/sh ÷ BPS</t>
  </si>
  <si>
    <t xml:space="preserve">ρF = (ρE + FLEV·ρD)/(1+FLEV)  [levering identity]</t>
  </si>
  <si>
    <t xml:space="preserve">DF^E cumulative</t>
  </si>
  <si>
    <t xml:space="preserve">DF^D cumulative</t>
  </si>
  <si>
    <t xml:space="preserve">DF^F cumulative</t>
  </si>
  <si>
    <t xml:space="preserve">Long-run REAL rates (last tenor) — capitalisation BASE; cap rows 58-60 apply (1+pi_t)</t>
  </si>
  <si>
    <t xml:space="preserve">← ρE_LR | ρD_LR | ρF_LR</t>
  </si>
  <si>
    <t xml:space="preserve">normal EPS = (1+pi)*EPS(t-1) + (rhoE_nom - pi)*retained(t-1)</t>
  </si>
  <si>
    <t xml:space="preserve">AEG(EPS)</t>
  </si>
  <si>
    <t xml:space="preserve">contrib EPS [t&lt;=N] = dRI^E_t x A^E_t</t>
  </si>
  <si>
    <t xml:space="preserve">normal NFE</t>
  </si>
  <si>
    <t xml:space="preserve">AEG(NFE)</t>
  </si>
  <si>
    <t xml:space="preserve">contrib NFE [t&lt;=N] = dRI^D_t x A^D_t</t>
  </si>
  <si>
    <t xml:space="preserve">normal OI</t>
  </si>
  <si>
    <t xml:space="preserve">AEG(OI)</t>
  </si>
  <si>
    <t xml:space="preserve">contrib OI  [t&lt;=N] = dRI^F_t x A^F_t</t>
  </si>
  <si>
    <t xml:space="preserve">VALUES ($/share)</t>
  </si>
  <si>
    <t xml:space="preserve">V(EPS) = equity  = [BPS0 + normal-RI1 x A^E1] + Sum contrib</t>
  </si>
  <si>
    <t xml:space="preserve">V(NFE) = financing = [NFO0 + normal-RFD1 x A^D1] + Sum contrib</t>
  </si>
  <si>
    <t xml:space="preserve">V(OI) = operations  = V(EPS) + V(NFE)  [value-additive]</t>
  </si>
  <si>
    <t xml:space="preserve">Equity via enterprise = V(OI) − V(NFE)</t>
  </si>
  <si>
    <t xml:space="preserve">decorative: V(OI)−V(NFE)−V(EPS). B38 is DEFINED as B36+B37, so this is identically 0 for any inputs. Proves nothing.</t>
  </si>
  <si>
    <t xml:space="preserve">diagnostic: V(OI) direct @ BOOK-weighted rhoF — expected to differ from B38; the real check is Audit CHECK 7 on the DCF tab.</t>
  </si>
  <si>
    <t xml:space="preserve">illustration only; differs from additive by the multi-rate WACC gap</t>
  </si>
  <si>
    <t xml:space="preserve">EQUITY READOUTS ($/share)</t>
  </si>
  <si>
    <t xml:space="preserve">Normal value = BPS0 + (normal EPS1 - rho*E1 x BPS0) x A^E1</t>
  </si>
  <si>
    <t xml:space="preserve">Intrinsic value in 2026$ (= V(EPS); a time-0 PV, so nominal==real at t=0)</t>
  </si>
  <si>
    <t xml:space="preserve">Price in 2026$ = in_price x deflator</t>
  </si>
  <si>
    <t xml:space="preserve">PVGO = price − normal value</t>
  </si>
  <si>
    <t xml:space="preserve">Implied P/E = intrinsic / EPS1 (both real 2026$)</t>
  </si>
  <si>
    <t xml:space="preserve">Normal P/E = 1 ÷ ρE_LR</t>
  </si>
  <si>
    <t xml:space="preserve">Growth premium (turns) = implied − normal</t>
  </si>
  <si>
    <t xml:space="preserve">READ (cfg_valread)</t>
  </si>
  <si>
    <t xml:space="preserve">Equity path read  → V(EPS)</t>
  </si>
  <si>
    <t xml:space="preserve">Enterprise path read → V(OI)−V(NFE)</t>
  </si>
  <si>
    <t xml:space="preserve">ACTIVE VALUE (toggle-selected)</t>
  </si>
  <si>
    <t xml:space="preserve">agreement: equity read − enterprise read</t>
  </si>
  <si>
    <t xml:space="preserve">  pi_t expected inflation fwd [finrate_infl]   &lt;STAGE A&gt;</t>
  </si>
  <si>
    <t xml:space="preserve">  I_t cumulative inflation index (I_0=1)   &lt;STAGE A&gt;</t>
  </si>
  <si>
    <t xml:space="preserve">  cap rate E = rhoE_LR(real) x (1+pi_t)   &lt;STAGE A&gt;</t>
  </si>
  <si>
    <t xml:space="preserve">  cap rate D = rhoD_LR(real) x (1+pi_t)   &lt;STAGE A&gt;</t>
  </si>
  <si>
    <t xml:space="preserve">  cap rate F = rhoF_LR(real) x (1+pi_t)   &lt;STAGE A&gt;</t>
  </si>
  <si>
    <t xml:space="preserve">  rho*E = rhoE(nom) - pi   [Stage A real capital-charge rate]   &lt;AEG-TS&gt;</t>
  </si>
  <si>
    <t xml:space="preserve">  A^E_t = SUM(DF^E_t..DF^E_N) + DF^E_N/rhoE_LR   [curve-implied annuity]   &lt;AEG-TS&gt;</t>
  </si>
  <si>
    <t xml:space="preserve">  dRI^E_t = AEG(EPS)_t + pi_t*EPS_(t-1) + [rho*E_(t-1)-rho*E_t(1+pi_(t-1))]*BPS_(t-2)   &lt;AEG-TS&gt;</t>
  </si>
  <si>
    <t xml:space="preserve">  rho*D = rhoD(nom) - pi   &lt;AEG-TS&gt;</t>
  </si>
  <si>
    <t xml:space="preserve">  A^D_t = SUM(DF^D_t..DF^D_N) + DF^D_N/rhoD_LR   &lt;AEG-TS&gt;</t>
  </si>
  <si>
    <t xml:space="preserve">  dRI^D_t = AEG(NFE)_t + pi_t*NFE_(t-1) + [rho*D_(t-1)-rho*D_t(1+pi_(t-1))]*NFO_(t-2)   &lt;AEG-TS&gt;</t>
  </si>
  <si>
    <t xml:space="preserve">  rho*F = rhoF(nom) - pi   &lt;AEG-TS&gt;</t>
  </si>
  <si>
    <t xml:space="preserve">  A^F_t = SUM(DF^F_t..DF^F_N) + DF^F_N/rhoF_LR   &lt;AEG-TS&gt;</t>
  </si>
  <si>
    <t xml:space="preserve">  dRI^F_t = AEG(OI)_t + pi_t*OI_(t-1) + [rho*F_(t-1)-rho*F_t(1+pi_(t-1))]*NOA_(t-2)   &lt;AEG-TS&gt;</t>
  </si>
  <si>
    <t xml:space="preserve">  NOA/sh = BPS/sh + NFO/sh   [operating stock for the OI leg]   &lt;AEG-TS&gt;</t>
  </si>
  <si>
    <t xml:space="preserve">  CSE per ANCHOR share (nominal) = fc_cse / anchor_shares0   [Enterprise-mode book basis]   &lt;ENT-FIX&gt;</t>
  </si>
  <si>
    <t xml:space="preserve">SCENARIOS — driver overlay (real 2026$)</t>
  </si>
  <si>
    <t xml:space="preserve">Blue = scenario driver inputs (the G.1 surface). cfg_scenario picks the active column; the Forecast tab pulls it. Normal ≈ zero-economic-profit floor (no real growth, no buyback).</t>
  </si>
  <si>
    <t xml:space="preserve">Driver</t>
  </si>
  <si>
    <t xml:space="preserve">Bear</t>
  </si>
  <si>
    <t xml:space="preserve">Bull</t>
  </si>
  <si>
    <t xml:space="preserve">Normal</t>
  </si>
  <si>
    <t xml:space="preserve">Real revenue growth</t>
  </si>
  <si>
    <t xml:space="preserve">NOA growth (real)</t>
  </si>
  <si>
    <t xml:space="preserve">Net buyback rate</t>
  </si>
  <si>
    <t xml:space="preserve">IMPLIED EXPECTATIONS — what the price embeds</t>
  </si>
  <si>
    <t xml:space="preserve">PVGO decomposition + implied constant real EPS growth (Gordon-equivalent). Re-bracketed to admit negative growth (g &gt; −100%, guarded g &lt; ρE_LR).</t>
  </si>
  <si>
    <t xml:space="preserve">PVGO DECOMPOSITION (real 2026$/sh)</t>
  </si>
  <si>
    <t xml:space="preserve">Real price</t>
  </si>
  <si>
    <t xml:space="preserve">Normal (no-growth) value</t>
  </si>
  <si>
    <t xml:space="preserve">PVGO = price − normal</t>
  </si>
  <si>
    <t xml:space="preserve">Implied P/E (price ÷ EPS₁)</t>
  </si>
  <si>
    <t xml:space="preserve">Normal P/E = 1/ρE_LR</t>
  </si>
  <si>
    <t xml:space="preserve">Growth premium (turns)</t>
  </si>
  <si>
    <t xml:space="preserve">IMPLIED CONSTANT REAL EPS GROWTH</t>
  </si>
  <si>
    <t xml:space="preserve">EPS₁ (real)</t>
  </si>
  <si>
    <t xml:space="preserve">ρE_LR</t>
  </si>
  <si>
    <t xml:space="preserve">Implied g* = ρE_LR − EPS₁/price  [closed form]</t>
  </si>
  <si>
    <t xml:space="preserve">SENSITIVITY GRID — value vs implied growth g  (guarded g&lt;ρE_LR)</t>
  </si>
  <si>
    <t xml:space="preserve">g</t>
  </si>
  <si>
    <t xml:space="preserve">V(g) = EPS₁/(ρE_LR − g)</t>
  </si>
  <si>
    <t xml:space="preserve">vs price</t>
  </si>
  <si>
    <t xml:space="preserve">DCF RECONCILIATION — five spokes, one hub (NOMINAL forecast; value in 2026$)</t>
  </si>
  <si>
    <t xml:space="preserve">DDM · RI · AEG · FCFE-DCF · FCFF-DCF on the SAME forecast, common terminal (constant-RI continuation), leverage-implied ρF. Per Lundholm-O'Keefe (2001): properly implemented, all give one value.</t>
  </si>
  <si>
    <t xml:space="preserve">Period t</t>
  </si>
  <si>
    <t xml:space="preserve">ρE (finrate_coe)</t>
  </si>
  <si>
    <t xml:space="preserve">ρD (finrate_cod)</t>
  </si>
  <si>
    <t xml:space="preserve">NI</t>
  </si>
  <si>
    <t xml:space="preserve">OI after tax</t>
  </si>
  <si>
    <t xml:space="preserve">CSE</t>
  </si>
  <si>
    <t xml:space="preserve">NOA</t>
  </si>
  <si>
    <t xml:space="preserve">NFO</t>
  </si>
  <si>
    <t xml:space="preserve">NFE = OI_at − NI</t>
  </si>
  <si>
    <t xml:space="preserve">FLEV = NFO/CSE (prior)</t>
  </si>
  <si>
    <t xml:space="preserve">ρF = (ρE+FLEV·ρD)/(1+FLEV)</t>
  </si>
  <si>
    <t xml:space="preserve">DF^E</t>
  </si>
  <si>
    <t xml:space="preserve">DF^F</t>
  </si>
  <si>
    <t xml:space="preserve">DF^D</t>
  </si>
  <si>
    <t xml:space="preserve">FCF BUILD-UP</t>
  </si>
  <si>
    <t xml:space="preserve">FCFF = OI_at + D&amp;A − capex − ΔWC  ≡  OI_at − ΔNOA  (identity)</t>
  </si>
  <si>
    <t xml:space="preserve">+ D&amp;A (economic)</t>
  </si>
  <si>
    <t xml:space="preserve">− capex</t>
  </si>
  <si>
    <t xml:space="preserve">− ΔWorking capital + other  (= ΔNOA − ΔNetPP&amp;E)</t>
  </si>
  <si>
    <t xml:space="preserve">FCFF = OI_at − ΔNOA</t>
  </si>
  <si>
    <t xml:space="preserve">FCFE = NI − ΔCSE  (net distribution)</t>
  </si>
  <si>
    <t xml:space="preserve">FCFD = NFE − ΔNFO</t>
  </si>
  <si>
    <t xml:space="preserve">RI = NI − ρE·CSE(prior)</t>
  </si>
  <si>
    <t xml:space="preserve">ReOI = OI_at − ρF·NOA(prior)</t>
  </si>
  <si>
    <t xml:space="preserve">RFD = NFE − ρD·NFO(prior)</t>
  </si>
  <si>
    <t xml:space="preserve">ρE_LR / ρF_LR / ρD_LR</t>
  </si>
  <si>
    <t xml:space="preserve">VALUES ($mm; equity per-share below)</t>
  </si>
  <si>
    <t xml:space="preserve">V(RI) equity = CSE₀ + ΣPV(RI) + CV</t>
  </si>
  <si>
    <t xml:space="preserve">V(FCFE) equity = ΣPV(FCFE) + PV(terminal)</t>
  </si>
  <si>
    <t xml:space="preserve">V(net debt) = NFO₀ + ΣPV(RFD) + CV</t>
  </si>
  <si>
    <t xml:space="preserve">V(operations) = V(FCFE)+V(net debt)  [additive]</t>
  </si>
  <si>
    <t xml:space="preserve">decorative: Equity via FCFF = B37−B36 and B37:=B35+B36, so this is identically B35. Audit B62 therefore repeats B61.</t>
  </si>
  <si>
    <t xml:space="preserve">diagnostic: V(ops) direct = NOA₀+ΣPV(ReOI at ρF)+CV</t>
  </si>
  <si>
    <t xml:space="preserve">diagnostic: direct−additive at the BOOK-weighted rhoF. Cannot tie by construction — see row 48 and Audit CHECK 7.</t>
  </si>
  <si>
    <t xml:space="preserve">★ RECONCILIATION (equity, $mm)</t>
  </si>
  <si>
    <t xml:space="preserve">V(FCFE) − V(RI)</t>
  </si>
  <si>
    <t xml:space="preserve">Equity(FCFF) − V(RI)</t>
  </si>
  <si>
    <t xml:space="preserve">per-share intrinsic (V(RI)/shares)</t>
  </si>
  <si>
    <t xml:space="preserve">★ CHECK 7 SUPPORT — value-weighted enterprise rate. rho_F on row 14 is BOOK-weighted, which makes ReOI identical to RI; the enterprise identity needs VALUE weights.</t>
  </si>
  <si>
    <t xml:space="preserve">V_E(t) — equity value at end of t  [P5 value-weighted enterprise rate]</t>
  </si>
  <si>
    <t xml:space="preserve">V_D(t) — debt value at end of t</t>
  </si>
  <si>
    <t xml:space="preserve">rho_F*(t) — VALUE-weighted = (rhoE*V_E + rhoD*V_D)/(V_E+V_D), lagged</t>
  </si>
  <si>
    <t xml:space="preserve">DF^F*(t) cumulative at rho_F*</t>
  </si>
  <si>
    <t xml:space="preserve">ReOI*(t) = OI_at − (rho_F*(t) − pi_t)*NOA(t−1)   [Stage A: the capital charge is at the REAL rate, because the NOA roll is NOA_t = (1+pi)*NOA_(t−1) + OI_at − FCFF]</t>
  </si>
  <si>
    <t xml:space="preserve">PV(ReOI*) [t&lt;=N]</t>
  </si>
  <si>
    <t xml:space="preserve">V(ops) direct @ rho_F* = NOA0 + ΣPV(ReOI*) + PV_N(V_ops,N − NOA_N) — the terminal is the PREMIUM over book, not the whole value</t>
  </si>
  <si>
    <t xml:space="preserve">★ TIE: V(ops)@rho_F* − V(ops) additive   [GATE: Audit CHECK 7]</t>
  </si>
  <si>
    <t xml:space="preserve">Σ |FCFF − (FCFE + FCFD)|  flow additivity   [GATE: Audit CHECK 7]</t>
  </si>
  <si>
    <t xml:space="preserve">memo: rho_F row 14 stays BOOK-weighted — it is what zeroes residual income in the continuing period. Do not 'fix' it there.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</si>
</sst>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;\-"/>
    <numFmt numFmtId="166" formatCode="#,##0.0"/>
    <numFmt numFmtId="167" formatCode="\$#,##0.00;&quot;($&quot;#,##0.00\);\-"/>
    <numFmt numFmtId="168" formatCode="0.0%"/>
    <numFmt numFmtId="169" formatCode="0.00\x"/>
    <numFmt numFmtId="170" formatCode="0"/>
    <numFmt numFmtId="171" formatCode="0.00%"/>
    <numFmt numFmtId="172" formatCode="0.000000"/>
    <numFmt numFmtId="173" formatCode="@"/>
    <numFmt numFmtId="174" formatCode="\$#,##0.00"/>
    <numFmt numFmtId="175" formatCode="0.000"/>
    <numFmt numFmtId="176" formatCode="0.0000"/>
    <numFmt numFmtId="177" formatCode="0.0000%"/>
    <numFmt numFmtId="178" formatCode="0.000001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  <col collapsed="false" customWidth="true" hidden="false" outlineLevel="0" max="3" min="3" style="1" width="8"/>
    <col collapsed="false" customWidth="true" hidden="false" outlineLevel="0" max="4" min="4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128808.3</v>
      </c>
      <c r="C5" s="7" t="s">
        <v>4</v>
      </c>
      <c r="D5" s="7" t="s">
        <v>5</v>
      </c>
    </row>
    <row r="6" customFormat="false" ht="15" hidden="false" customHeight="true" outlineLevel="0" collapsed="false">
      <c r="A6" s="5" t="s">
        <v>6</v>
      </c>
      <c r="B6" s="6" t="n">
        <v>20935</v>
      </c>
      <c r="C6" s="7" t="s">
        <v>4</v>
      </c>
      <c r="D6" s="7" t="s">
        <v>7</v>
      </c>
    </row>
    <row r="7" customFormat="false" ht="15" hidden="false" customHeight="true" outlineLevel="0" collapsed="false">
      <c r="A7" s="5" t="s">
        <v>8</v>
      </c>
      <c r="B7" s="6" t="n">
        <v>55908</v>
      </c>
      <c r="C7" s="7" t="s">
        <v>4</v>
      </c>
      <c r="D7" s="7" t="s">
        <v>9</v>
      </c>
    </row>
    <row r="8" customFormat="false" ht="15" hidden="false" customHeight="true" outlineLevel="0" collapsed="false">
      <c r="A8" s="5" t="s">
        <v>10</v>
      </c>
      <c r="B8" s="6" t="n">
        <v>0</v>
      </c>
      <c r="C8" s="7" t="s">
        <v>4</v>
      </c>
      <c r="D8" s="7" t="s">
        <v>11</v>
      </c>
    </row>
    <row r="9" customFormat="false" ht="15" hidden="false" customHeight="true" outlineLevel="0" collapsed="false">
      <c r="A9" s="5" t="s">
        <v>12</v>
      </c>
      <c r="B9" s="8" t="n">
        <v>7453</v>
      </c>
      <c r="C9" s="7" t="s">
        <v>13</v>
      </c>
      <c r="D9" s="7" t="s">
        <v>14</v>
      </c>
    </row>
    <row r="10" customFormat="false" ht="15" hidden="false" customHeight="true" outlineLevel="0" collapsed="false">
      <c r="A10" s="5" t="s">
        <v>15</v>
      </c>
      <c r="B10" s="6" t="n">
        <v>442387</v>
      </c>
      <c r="C10" s="7" t="s">
        <v>4</v>
      </c>
      <c r="D10" s="7" t="s">
        <v>16</v>
      </c>
    </row>
    <row r="11" customFormat="false" ht="15" hidden="false" customHeight="true" outlineLevel="0" collapsed="false">
      <c r="A11" s="5" t="s">
        <v>17</v>
      </c>
      <c r="B11" s="6" t="n">
        <v>3051</v>
      </c>
      <c r="C11" s="7" t="s">
        <v>4</v>
      </c>
      <c r="D11" s="7" t="s">
        <v>18</v>
      </c>
    </row>
    <row r="12" customFormat="false" ht="15" hidden="false" customHeight="true" outlineLevel="0" collapsed="false">
      <c r="A12" s="5" t="s">
        <v>19</v>
      </c>
      <c r="B12" s="6" t="n">
        <v>155237</v>
      </c>
      <c r="C12" s="7" t="s">
        <v>4</v>
      </c>
      <c r="D12" s="7" t="s">
        <v>20</v>
      </c>
    </row>
    <row r="13" customFormat="false" ht="15" hidden="false" customHeight="true" outlineLevel="0" collapsed="false">
      <c r="A13" s="5" t="s">
        <v>21</v>
      </c>
      <c r="B13" s="9" t="n">
        <v>17.945659</v>
      </c>
      <c r="C13" s="7" t="s">
        <v>22</v>
      </c>
      <c r="D13" s="7" t="s">
        <v>18</v>
      </c>
    </row>
    <row r="14" customFormat="false" ht="15" hidden="false" customHeight="true" outlineLevel="0" collapsed="false">
      <c r="A14" s="5" t="s">
        <v>23</v>
      </c>
      <c r="B14" s="10" t="n">
        <v>0.193963</v>
      </c>
      <c r="C14" s="7" t="s">
        <v>24</v>
      </c>
      <c r="D14" s="7" t="s">
        <v>25</v>
      </c>
    </row>
    <row r="15" customFormat="false" ht="15" hidden="false" customHeight="true" outlineLevel="0" collapsed="false">
      <c r="A15" s="5" t="s">
        <v>26</v>
      </c>
      <c r="B15" s="9" t="n">
        <v>2.73</v>
      </c>
      <c r="C15" s="7" t="s">
        <v>22</v>
      </c>
      <c r="D15" s="7" t="s">
        <v>27</v>
      </c>
    </row>
    <row r="17" customFormat="false" ht="15" hidden="false" customHeight="true" outlineLevel="0" collapsed="false">
      <c r="A17" s="11" t="s">
        <v>28</v>
      </c>
    </row>
    <row r="18" customFormat="false" ht="15" hidden="false" customHeight="true" outlineLevel="0" collapsed="false">
      <c r="A18" s="5" t="s">
        <v>29</v>
      </c>
      <c r="B18" s="12" t="n">
        <f aca="false">in_debt-in_cash-in_sti</f>
        <v>51965.3</v>
      </c>
      <c r="C18" s="7" t="s">
        <v>4</v>
      </c>
    </row>
    <row r="19" customFormat="false" ht="15" hidden="false" customHeight="true" outlineLevel="0" collapsed="false">
      <c r="A19" s="5" t="s">
        <v>30</v>
      </c>
      <c r="B19" s="12" t="n">
        <f aca="false">anchor_cse0+anchor_nfo0</f>
        <v>494352.3</v>
      </c>
      <c r="C19" s="7" t="s">
        <v>4</v>
      </c>
      <c r="D19" s="7" t="s">
        <v>31</v>
      </c>
    </row>
    <row r="20" customFormat="false" ht="15" hidden="false" customHeight="true" outlineLevel="0" collapsed="false">
      <c r="A20" s="5" t="s">
        <v>32</v>
      </c>
      <c r="B20" s="13" t="n">
        <f aca="false">anchor_nfo0/anchor_shares0</f>
        <v>6.97240037568764</v>
      </c>
    </row>
    <row r="21" customFormat="false" ht="15" hidden="false" customHeight="true" outlineLevel="0" collapsed="false">
      <c r="A21" s="5" t="s">
        <v>33</v>
      </c>
      <c r="B21" s="13" t="n">
        <f aca="false">anchor_cse0/anchor_shares0</f>
        <v>59.356903260432</v>
      </c>
    </row>
    <row r="22" customFormat="false" ht="15" hidden="false" customHeight="true" outlineLevel="0" collapsed="false">
      <c r="A22" s="5" t="s">
        <v>34</v>
      </c>
      <c r="B22" s="14" t="n">
        <f aca="false">anchor_nfo0/anchor_cse0</f>
        <v>0.117465703106104</v>
      </c>
    </row>
    <row r="24" customFormat="false" ht="15" hidden="false" customHeight="true" outlineLevel="0" collapsed="false">
      <c r="A24" s="4" t="s">
        <v>35</v>
      </c>
    </row>
    <row r="25" customFormat="false" ht="15" hidden="false" customHeight="true" outlineLevel="0" collapsed="false">
      <c r="A25" s="5" t="s">
        <v>36</v>
      </c>
      <c r="B25" s="9" t="n">
        <v>484.309997558594</v>
      </c>
    </row>
    <row r="26" customFormat="false" ht="15" hidden="false" customHeight="true" outlineLevel="0" collapsed="false">
      <c r="A26" s="5" t="s">
        <v>37</v>
      </c>
      <c r="B26" s="15" t="n">
        <v>12</v>
      </c>
    </row>
    <row r="27" customFormat="false" ht="15" hidden="false" customHeight="true" outlineLevel="0" collapsed="false">
      <c r="A27" s="5" t="s">
        <v>38</v>
      </c>
      <c r="B27" s="10" t="n">
        <v>0</v>
      </c>
      <c r="D27" s="7" t="s">
        <v>39</v>
      </c>
    </row>
    <row r="28" customFormat="false" ht="15" hidden="false" customHeight="true" outlineLevel="0" collapsed="false">
      <c r="A28" s="5" t="s">
        <v>40</v>
      </c>
      <c r="B28" s="10" t="n">
        <v>0.04</v>
      </c>
      <c r="D28" s="7" t="s">
        <v>41</v>
      </c>
    </row>
    <row r="29" customFormat="false" ht="15" hidden="false" customHeight="true" outlineLevel="0" collapsed="false">
      <c r="A29" s="5" t="s">
        <v>42</v>
      </c>
      <c r="B29" s="16" t="s">
        <v>43</v>
      </c>
      <c r="D29" s="7" t="s">
        <v>44</v>
      </c>
    </row>
    <row r="30" customFormat="false" ht="15" hidden="false" customHeight="true" outlineLevel="0" collapsed="false">
      <c r="A30" s="5" t="s">
        <v>45</v>
      </c>
      <c r="B30" s="16" t="s">
        <v>43</v>
      </c>
    </row>
    <row r="31" customFormat="false" ht="15" hidden="false" customHeight="true" outlineLevel="0" collapsed="false">
      <c r="A31" s="5" t="s">
        <v>46</v>
      </c>
      <c r="B31" s="17" t="n">
        <v>0.06</v>
      </c>
    </row>
    <row r="32" customFormat="false" ht="15" hidden="false" customHeight="true" outlineLevel="0" collapsed="false">
      <c r="A32" s="5" t="s">
        <v>47</v>
      </c>
      <c r="B32" s="17" t="n">
        <v>0.07</v>
      </c>
    </row>
    <row r="33" customFormat="false" ht="15" hidden="false" customHeight="true" outlineLevel="0" collapsed="false">
      <c r="A33" s="5" t="s">
        <v>48</v>
      </c>
      <c r="B33" s="16" t="s">
        <v>43</v>
      </c>
    </row>
    <row r="34" customFormat="false" ht="15" hidden="false" customHeight="true" outlineLevel="0" collapsed="false">
      <c r="A34" s="5" t="s">
        <v>49</v>
      </c>
      <c r="B34" s="16" t="s">
        <v>50</v>
      </c>
      <c r="D34" s="7" t="s">
        <v>51</v>
      </c>
    </row>
    <row r="36" customFormat="false" ht="15" hidden="false" customHeight="true" outlineLevel="0" collapsed="false">
      <c r="A36" s="4" t="s">
        <v>52</v>
      </c>
    </row>
    <row r="37" customFormat="false" ht="15" hidden="false" customHeight="true" outlineLevel="0" collapsed="false">
      <c r="A37" s="5" t="s">
        <v>53</v>
      </c>
      <c r="B37" s="16" t="s">
        <v>54</v>
      </c>
      <c r="D37" s="7" t="s">
        <v>55</v>
      </c>
    </row>
    <row r="38" customFormat="false" ht="15" hidden="false" customHeight="true" outlineLevel="0" collapsed="false">
      <c r="A38" s="11" t="s">
        <v>56</v>
      </c>
      <c r="B38" s="7" t="s">
        <v>57</v>
      </c>
      <c r="D38" s="7" t="s">
        <v>58</v>
      </c>
    </row>
    <row r="39" customFormat="false" ht="15" hidden="false" customHeight="true" outlineLevel="0" collapsed="false">
      <c r="A39" s="5" t="s">
        <v>59</v>
      </c>
      <c r="B39" s="10" t="n">
        <v>0.152126</v>
      </c>
      <c r="D39" s="7" t="s">
        <v>60</v>
      </c>
    </row>
    <row r="41" customFormat="false" ht="15" hidden="false" customHeight="true" outlineLevel="0" collapsed="false">
      <c r="A41" s="4" t="s">
        <v>61</v>
      </c>
    </row>
    <row r="42" customFormat="false" ht="15" hidden="false" customHeight="true" outlineLevel="0" collapsed="false">
      <c r="A42" s="5" t="s">
        <v>62</v>
      </c>
      <c r="B42" s="15" t="n">
        <v>10.64</v>
      </c>
      <c r="D42" s="7" t="s">
        <v>63</v>
      </c>
    </row>
    <row r="43" customFormat="false" ht="15" hidden="false" customHeight="true" outlineLevel="0" collapsed="false">
      <c r="A43" s="5" t="s">
        <v>64</v>
      </c>
      <c r="B43" s="15" t="n">
        <v>0</v>
      </c>
      <c r="D43" s="7" t="s">
        <v>65</v>
      </c>
    </row>
    <row r="44" customFormat="false" ht="15" hidden="false" customHeight="true" outlineLevel="0" collapsed="false">
      <c r="A44" s="5" t="s">
        <v>66</v>
      </c>
      <c r="B44" s="15" t="n">
        <v>2026</v>
      </c>
    </row>
    <row r="45" customFormat="false" ht="15" hidden="false" customHeight="true" outlineLevel="0" collapsed="false">
      <c r="A45" s="5" t="s">
        <v>67</v>
      </c>
      <c r="B45" s="6" t="n">
        <v>35562</v>
      </c>
      <c r="D45" s="7" t="s">
        <v>68</v>
      </c>
    </row>
    <row r="46" customFormat="false" ht="15" hidden="false" customHeight="true" outlineLevel="0" collapsed="false">
      <c r="A46" s="4" t="s">
        <v>69</v>
      </c>
    </row>
    <row r="47" customFormat="false" ht="15" hidden="false" customHeight="true" outlineLevel="0" collapsed="false">
      <c r="A47" s="5" t="s">
        <v>70</v>
      </c>
      <c r="B47" s="16" t="s">
        <v>71</v>
      </c>
      <c r="D47" s="7" t="s">
        <v>72</v>
      </c>
    </row>
    <row r="49" customFormat="false" ht="15" hidden="false" customHeight="true" outlineLevel="0" collapsed="false">
      <c r="A49" s="4" t="s">
        <v>73</v>
      </c>
    </row>
    <row r="50" customFormat="false" ht="15" hidden="false" customHeight="true" outlineLevel="0" collapsed="false">
      <c r="A50" s="5" t="s">
        <v>74</v>
      </c>
      <c r="B50" s="10" t="n">
        <v>0.15</v>
      </c>
      <c r="D50" s="7" t="s">
        <v>75</v>
      </c>
    </row>
    <row r="51" customFormat="false" ht="15" hidden="false" customHeight="true" outlineLevel="0" collapsed="false">
      <c r="A51" s="5" t="s">
        <v>76</v>
      </c>
      <c r="B51" s="15" t="n">
        <v>365</v>
      </c>
      <c r="D51" s="7" t="s">
        <v>77</v>
      </c>
    </row>
    <row r="52" customFormat="false" ht="15" hidden="false" customHeight="true" outlineLevel="0" collapsed="false">
      <c r="A52" s="5" t="s">
        <v>78</v>
      </c>
      <c r="B52" s="17" t="n">
        <v>0.05</v>
      </c>
    </row>
    <row r="53" customFormat="false" ht="15" hidden="false" customHeight="true" outlineLevel="0" collapsed="false">
      <c r="A53" s="5" t="s">
        <v>79</v>
      </c>
      <c r="B53" s="17" t="n">
        <v>0.055</v>
      </c>
    </row>
    <row r="54" customFormat="false" ht="15" hidden="false" customHeight="true" outlineLevel="0" collapsed="false">
      <c r="A54" s="5" t="s">
        <v>80</v>
      </c>
      <c r="B54" s="17" t="n">
        <v>0.06</v>
      </c>
    </row>
    <row r="55" customFormat="false" ht="15" hidden="false" customHeight="true" outlineLevel="0" collapsed="false">
      <c r="A55" s="5" t="s">
        <v>81</v>
      </c>
      <c r="B55" s="17" t="n">
        <v>0.065</v>
      </c>
    </row>
    <row r="56" customFormat="false" ht="15" hidden="false" customHeight="true" outlineLevel="0" collapsed="false">
      <c r="A56" s="5" t="s">
        <v>82</v>
      </c>
      <c r="B56" s="17" t="n">
        <v>0.07</v>
      </c>
    </row>
    <row r="57" customFormat="false" ht="15" hidden="false" customHeight="true" outlineLevel="0" collapsed="false">
      <c r="A57" s="5" t="s">
        <v>83</v>
      </c>
      <c r="B57" s="10" t="n">
        <v>0.04</v>
      </c>
    </row>
    <row r="58" customFormat="false" ht="15" hidden="false" customHeight="true" outlineLevel="0" collapsed="false">
      <c r="A58" s="5" t="s">
        <v>84</v>
      </c>
      <c r="B58" s="10" t="n">
        <v>0.06</v>
      </c>
    </row>
    <row r="59" customFormat="false" ht="15" hidden="false" customHeight="true" outlineLevel="0" collapsed="false">
      <c r="A59" s="5" t="s">
        <v>85</v>
      </c>
      <c r="B59" s="10" t="n">
        <v>0.08</v>
      </c>
    </row>
    <row r="60" customFormat="false" ht="15" hidden="false" customHeight="true" outlineLevel="0" collapsed="false">
      <c r="A60" s="5" t="s">
        <v>86</v>
      </c>
      <c r="B60" s="10" t="n">
        <v>0.02</v>
      </c>
      <c r="D60" s="7" t="s">
        <v>87</v>
      </c>
    </row>
    <row r="62" customFormat="false" ht="15" hidden="false" customHeight="true" outlineLevel="0" collapsed="false">
      <c r="A62" s="4" t="s">
        <v>88</v>
      </c>
    </row>
    <row r="63" customFormat="false" ht="15" hidden="false" customHeight="true" outlineLevel="0" collapsed="false">
      <c r="A63" s="3" t="s">
        <v>89</v>
      </c>
    </row>
    <row r="64" customFormat="false" ht="15" hidden="false" customHeight="true" outlineLevel="0" collapsed="false">
      <c r="A64" s="5" t="s">
        <v>90</v>
      </c>
      <c r="B64" s="18" t="n">
        <v>1E-005</v>
      </c>
    </row>
    <row r="65" customFormat="false" ht="15" hidden="false" customHeight="true" outlineLevel="0" collapsed="false">
      <c r="A65" s="4" t="s">
        <v>91</v>
      </c>
    </row>
    <row r="66" customFormat="false" ht="15" hidden="false" customHeight="true" outlineLevel="0" collapsed="false">
      <c r="A66" s="5" t="s">
        <v>92</v>
      </c>
      <c r="B66" s="19" t="n">
        <v>2026</v>
      </c>
      <c r="D66" s="7" t="s">
        <v>93</v>
      </c>
    </row>
    <row r="67" customFormat="false" ht="15" hidden="false" customHeight="true" outlineLevel="0" collapsed="false">
      <c r="A67" s="5" t="s">
        <v>94</v>
      </c>
      <c r="B67" s="16" t="s">
        <v>95</v>
      </c>
      <c r="D67" s="7" t="s">
        <v>96</v>
      </c>
    </row>
    <row r="68" customFormat="false" ht="15" hidden="false" customHeight="true" outlineLevel="0" collapsed="false">
      <c r="A68" s="5" t="s">
        <v>97</v>
      </c>
      <c r="B68" s="16" t="s">
        <v>98</v>
      </c>
    </row>
    <row r="69" customFormat="false" ht="15" hidden="false" customHeight="true" outlineLevel="0" collapsed="false">
      <c r="A69" s="5" t="s">
        <v>99</v>
      </c>
      <c r="B69" s="16" t="s">
        <v>100</v>
      </c>
      <c r="D69" s="7" t="s">
        <v>101</v>
      </c>
    </row>
    <row r="70" customFormat="false" ht="15" hidden="false" customHeight="true" outlineLevel="0" collapsed="false">
      <c r="A70" s="5" t="s">
        <v>102</v>
      </c>
      <c r="B70" s="10" t="n">
        <v>-0.08</v>
      </c>
    </row>
    <row r="71" customFormat="false" ht="15" hidden="false" customHeight="true" outlineLevel="0" collapsed="false">
      <c r="A71" s="5" t="s">
        <v>103</v>
      </c>
      <c r="B71" s="10" t="n">
        <v>0.01</v>
      </c>
    </row>
  </sheetData>
  <dataValidations count="10"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29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0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3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Equity path,Enterprise path" promptTitle="Toggle" showDropDown="false" showErrorMessage="false" showInputMessage="false" sqref="B34" type="list">
      <formula1>"Equity path,Enterprise path"</formula1>
      <formula2>0</formula2>
    </dataValidation>
    <dataValidation allowBlank="false" error="Pick a listed value exactly (case-sensitive)." errorStyle="stop" errorTitle="Invalid toggle" operator="between" prompt="Allowed: Equity,Enterprise" promptTitle="Toggle" showDropDown="false" showErrorMessage="false" showInputMessage="false" sqref="B37" type="list">
      <formula1>"Equity,Enterprise"</formula1>
      <formula2>0</formula2>
    </dataValidation>
    <dataValidation allowBlank="false" error="Pick a listed value exactly (case-sensitive)." errorStyle="stop" errorTitle="Invalid toggle" operator="between" prompt="Allowed: On,Off" promptTitle="Toggle" showDropDown="false" showErrorMessage="false" showInputMessage="false" sqref="B47" type="list">
      <formula1>"On,Off"</formula1>
      <formula2>0</formula2>
    </dataValidation>
    <dataValidation allowBlank="false" error="Pick a listed value exactly (case-sensitive)." errorStyle="stop" errorTitle="Invalid toggle" operator="between" prompt="Allowed: Economic,Reported" promptTitle="Toggle" showDropDown="false" showErrorMessage="false" showInputMessage="false" sqref="B67" type="list">
      <formula1>"Economic,Reported"</formula1>
      <formula2>0</formula2>
    </dataValidation>
    <dataValidation allowBlank="false" error="Pick a listed value exactly (case-sensitive)." errorStyle="stop" errorTitle="Invalid toggle" operator="between" prompt="Allowed: Target FLEV,Funding policy" promptTitle="Toggle" showDropDown="false" showErrorMessage="false" showInputMessage="false" sqref="B68" type="list">
      <formula1>"Target FLEV,Funding policy"</formula1>
      <formula2>0</formula2>
    </dataValidation>
    <dataValidation allowBlank="false" error="Pick a listed value exactly (case-sensitive)." errorStyle="stop" errorTitle="Invalid toggle" operator="between" prompt="Allowed: Bear,Consensus,Bull,Normal" promptTitle="Toggle" showDropDown="false" showErrorMessage="false" showInputMessage="false" sqref="B69" type="list">
      <formula1>"Bear,Consensus,Bull,Normal"</formula1>
      <formula2>0</formula2>
    </dataValidation>
    <dataValidation allowBlank="false" error="Horizon N must be a whole number 1..30." errorStyle="stop" errorTitle="Invalid N" operator="between" showDropDown="false" showErrorMessage="false" showInputMessage="false" sqref="B26" type="whole">
      <formula1>1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" t="s">
        <v>104</v>
      </c>
    </row>
    <row r="2" customFormat="false" ht="15" hidden="false" customHeight="true" outlineLevel="0" collapsed="false">
      <c r="A2" s="3" t="s">
        <v>105</v>
      </c>
    </row>
    <row r="4" customFormat="false" ht="15" hidden="false" customHeight="true" outlineLevel="0" collapsed="false">
      <c r="A4" s="4" t="s">
        <v>106</v>
      </c>
    </row>
    <row r="5" customFormat="false" ht="15" hidden="false" customHeight="true" outlineLevel="0" collapsed="false">
      <c r="A5" s="5" t="s">
        <v>107</v>
      </c>
      <c r="B5" s="20" t="n">
        <f aca="false">B31+B44+B50+B58+B29+B63+B72+B77</f>
        <v>5.5297277867794E-009</v>
      </c>
    </row>
    <row r="6" customFormat="false" ht="15" hidden="false" customHeight="true" outlineLevel="0" collapsed="false">
      <c r="A6" s="5" t="s">
        <v>108</v>
      </c>
      <c r="B6" s="5" t="str">
        <f aca="false">IF(B5&lt;in_tie_tol,"PASS — all identities tie","FAIL — investigate")</f>
        <v>PASS — all identities tie</v>
      </c>
      <c r="D6" s="7" t="s">
        <v>109</v>
      </c>
    </row>
    <row r="8" customFormat="false" ht="15" hidden="false" customHeight="true" outlineLevel="0" collapsed="false">
      <c r="A8" s="4" t="s">
        <v>110</v>
      </c>
    </row>
    <row r="9" customFormat="false" ht="15" hidden="false" customHeight="true" outlineLevel="0" collapsed="false">
      <c r="A9" s="5" t="s">
        <v>111</v>
      </c>
      <c r="B9" s="20" t="n">
        <f aca="false">SUM(B11:B12)</f>
        <v>0</v>
      </c>
    </row>
    <row r="10" customFormat="false" ht="15" hidden="false" customHeight="true" outlineLevel="0" collapsed="false">
      <c r="A10" s="7" t="s">
        <v>112</v>
      </c>
      <c r="B10" s="7" t="s">
        <v>113</v>
      </c>
      <c r="C10" s="7" t="s">
        <v>114</v>
      </c>
    </row>
    <row r="11" customFormat="false" ht="15" hidden="false" customHeight="true" outlineLevel="0" collapsed="false">
      <c r="A11" s="7" t="s">
        <v>115</v>
      </c>
    </row>
    <row r="12" customFormat="false" ht="15" hidden="false" customHeight="true" outlineLevel="0" collapsed="false">
      <c r="A12" s="7"/>
    </row>
    <row r="14" customFormat="false" ht="15" hidden="false" customHeight="true" outlineLevel="0" collapsed="false">
      <c r="A14" s="4" t="s">
        <v>116</v>
      </c>
      <c r="D14" s="7"/>
    </row>
    <row r="15" customFormat="false" ht="15" hidden="false" customHeight="true" outlineLevel="0" collapsed="false">
      <c r="A15" s="5" t="s">
        <v>117</v>
      </c>
      <c r="B15" s="20" t="n">
        <v>0</v>
      </c>
      <c r="C15" s="7" t="s">
        <v>118</v>
      </c>
      <c r="D15" s="7" t="s">
        <v>119</v>
      </c>
    </row>
    <row r="17" customFormat="false" ht="15" hidden="false" customHeight="true" outlineLevel="0" collapsed="false">
      <c r="A17" s="4" t="s">
        <v>120</v>
      </c>
    </row>
    <row r="18" customFormat="false" ht="15" hidden="false" customHeight="true" outlineLevel="0" collapsed="false">
      <c r="A18" s="5" t="s">
        <v>121</v>
      </c>
      <c r="B18" s="20" t="n">
        <v>0</v>
      </c>
      <c r="C18" s="7" t="s">
        <v>118</v>
      </c>
      <c r="D18" s="7" t="s">
        <v>122</v>
      </c>
    </row>
    <row r="20" customFormat="false" ht="15" hidden="false" customHeight="true" outlineLevel="0" collapsed="false">
      <c r="A20" s="4" t="s">
        <v>123</v>
      </c>
    </row>
    <row r="21" customFormat="false" ht="15" hidden="false" customHeight="true" outlineLevel="0" collapsed="false">
      <c r="A21" s="7" t="s">
        <v>124</v>
      </c>
      <c r="B21" s="7" t="s">
        <v>125</v>
      </c>
      <c r="C21" s="7" t="s">
        <v>114</v>
      </c>
      <c r="D21" s="7" t="s">
        <v>126</v>
      </c>
    </row>
    <row r="22" customFormat="false" ht="15" hidden="false" customHeight="true" outlineLevel="0" collapsed="false">
      <c r="A22" s="5" t="s">
        <v>127</v>
      </c>
      <c r="B22" s="21" t="n">
        <f aca="false">in_noa0-anchor_cse0-anchor_nfo0</f>
        <v>0</v>
      </c>
      <c r="C22" s="20" t="n">
        <v>0</v>
      </c>
      <c r="D22" s="5" t="str">
        <f aca="false">IF(ABS(B22)&lt;0.000001,"tie","BREAK")</f>
        <v>tie</v>
      </c>
    </row>
    <row r="23" customFormat="false" ht="15" hidden="false" customHeight="true" outlineLevel="0" collapsed="false">
      <c r="A23" s="5" t="s">
        <v>128</v>
      </c>
      <c r="B23" s="21" t="n">
        <f aca="false">in_flev0*anchor_cse0-anchor_nfo0</f>
        <v>0</v>
      </c>
      <c r="C23" s="20" t="n">
        <v>0</v>
      </c>
      <c r="D23" s="5" t="str">
        <f aca="false">IF(ABS(B23)&lt;0.000001,"tie","BREAK")</f>
        <v>tie</v>
      </c>
    </row>
    <row r="24" customFormat="false" ht="15" hidden="false" customHeight="true" outlineLevel="0" collapsed="false">
      <c r="A24" s="5" t="s">
        <v>129</v>
      </c>
      <c r="B24" s="21" t="n">
        <f aca="false">in_bps0*anchor_shares0-anchor_cse0</f>
        <v>0</v>
      </c>
      <c r="C24" s="20" t="n">
        <v>0</v>
      </c>
      <c r="D24" s="5" t="str">
        <f aca="false">IF(ABS(B24)&lt;0.000001,"tie","BREAK")</f>
        <v>tie</v>
      </c>
    </row>
    <row r="25" customFormat="false" ht="15" hidden="false" customHeight="true" outlineLevel="0" collapsed="false">
      <c r="A25" s="5" t="s">
        <v>130</v>
      </c>
      <c r="B25" s="21" t="n">
        <f aca="false">in_nfops0*anchor_shares0-anchor_nfo0</f>
        <v>0</v>
      </c>
      <c r="C25" s="20" t="n">
        <v>0</v>
      </c>
      <c r="D25" s="5" t="str">
        <f aca="false">IF(ABS(B25)&lt;0.000001,"tie","BREAK")</f>
        <v>tie</v>
      </c>
    </row>
    <row r="26" customFormat="false" ht="15" hidden="false" customHeight="true" outlineLevel="0" collapsed="false">
      <c r="A26" s="7" t="s">
        <v>131</v>
      </c>
      <c r="D26" s="7" t="s">
        <v>132</v>
      </c>
    </row>
    <row r="27" customFormat="false" ht="15" hidden="false" customHeight="true" outlineLevel="0" collapsed="false">
      <c r="A27" s="5" t="s">
        <v>133</v>
      </c>
      <c r="B27" s="21" t="n">
        <f aca="false">ABS(ev_tie)</f>
        <v>0</v>
      </c>
      <c r="D27" s="5" t="str">
        <f aca="false">IF(ABS(B27)&lt;0.00001,"tie","BREAK")</f>
        <v>tie</v>
      </c>
    </row>
    <row r="28" customFormat="false" ht="15" hidden="false" customHeight="true" outlineLevel="0" collapsed="false">
      <c r="A28" s="5" t="s">
        <v>134</v>
      </c>
      <c r="B28" s="21" t="n">
        <f aca="false">ABS(val_voi-val_intrinsic-val_vnfe)</f>
        <v>0</v>
      </c>
      <c r="D28" s="5" t="str">
        <f aca="false">IF(ABS(B28)&lt;0.00001,"tie","BREAK")</f>
        <v>tie</v>
      </c>
    </row>
    <row r="29" customFormat="false" ht="15" hidden="false" customHeight="true" outlineLevel="0" collapsed="false">
      <c r="A29" s="5" t="s">
        <v>135</v>
      </c>
      <c r="B29" s="21" t="n">
        <f aca="false">ABS(bb_vp6_tie)</f>
        <v>0</v>
      </c>
      <c r="D29" s="5" t="str">
        <f aca="false">IF(ABS(B29)&lt;in_tie_tol,"tie","BREAK")</f>
        <v>tie</v>
      </c>
    </row>
    <row r="31" customFormat="false" ht="15" hidden="false" customHeight="true" outlineLevel="0" collapsed="false">
      <c r="A31" s="5" t="s">
        <v>136</v>
      </c>
      <c r="B31" s="21" t="n">
        <f aca="false">SUMPRODUCT(ABS(B22:B25))</f>
        <v>0</v>
      </c>
    </row>
    <row r="33" customFormat="false" ht="15" hidden="false" customHeight="true" outlineLevel="0" collapsed="false">
      <c r="A33" s="4" t="s">
        <v>137</v>
      </c>
    </row>
    <row r="34" customFormat="false" ht="15" hidden="false" customHeight="true" outlineLevel="0" collapsed="false">
      <c r="A34" s="7" t="s">
        <v>124</v>
      </c>
      <c r="B34" s="7" t="s">
        <v>125</v>
      </c>
      <c r="C34" s="7" t="s">
        <v>114</v>
      </c>
      <c r="D34" s="7" t="s">
        <v>126</v>
      </c>
    </row>
    <row r="35" customFormat="false" ht="15" hidden="false" customHeight="true" outlineLevel="0" collapsed="false">
      <c r="A35" s="5" t="s">
        <v>138</v>
      </c>
      <c r="B35" s="21" t="n">
        <f aca="false">in_debt-rep_debt_fy0</f>
        <v>0</v>
      </c>
      <c r="C35" s="20" t="n">
        <v>0</v>
      </c>
      <c r="D35" s="5" t="str">
        <f aca="false">IF(ABS(B35)&lt;0.000001,"tie","BREAK")</f>
        <v>tie</v>
      </c>
    </row>
    <row r="36" customFormat="false" ht="15" hidden="false" customHeight="true" outlineLevel="0" collapsed="false">
      <c r="A36" s="5" t="s">
        <v>139</v>
      </c>
      <c r="B36" s="21" t="n">
        <f aca="false">in_cash-rep_cash_fy0</f>
        <v>0</v>
      </c>
      <c r="C36" s="20" t="n">
        <v>0</v>
      </c>
      <c r="D36" s="5" t="str">
        <f aca="false">IF(ABS(B36)&lt;0.000001,"tie","BREAK")</f>
        <v>tie</v>
      </c>
    </row>
    <row r="37" customFormat="false" ht="15" hidden="false" customHeight="true" outlineLevel="0" collapsed="false">
      <c r="A37" s="5" t="s">
        <v>140</v>
      </c>
      <c r="B37" s="21" t="n">
        <f aca="false">anchor_cse0-rep_cse_fy0</f>
        <v>0</v>
      </c>
      <c r="C37" s="20" t="n">
        <v>0</v>
      </c>
      <c r="D37" s="5" t="str">
        <f aca="false">IF(ABS(B37)&lt;0.000001,"tie","BREAK")</f>
        <v>tie</v>
      </c>
    </row>
    <row r="38" customFormat="false" ht="15" hidden="false" customHeight="true" outlineLevel="0" collapsed="false">
      <c r="A38" s="5" t="s">
        <v>141</v>
      </c>
      <c r="B38" s="21" t="n">
        <f aca="false">anchor_shares0-rep_shares_fy0</f>
        <v>0</v>
      </c>
      <c r="C38" s="20" t="n">
        <v>0</v>
      </c>
      <c r="D38" s="5" t="str">
        <f aca="false">IF(ABS(B38)&lt;0.000001,"tie","BREAK")</f>
        <v>tie</v>
      </c>
    </row>
    <row r="39" customFormat="false" ht="15" hidden="false" customHeight="true" outlineLevel="0" collapsed="false">
      <c r="A39" s="5" t="s">
        <v>142</v>
      </c>
      <c r="B39" s="21" t="n">
        <f aca="false">anchor_eps0-rep_eps_fy0</f>
        <v>0</v>
      </c>
      <c r="C39" s="20" t="n">
        <v>0</v>
      </c>
      <c r="D39" s="5" t="str">
        <f aca="false">IF(ABS(B39)&lt;0.000001,"tie","BREAK")</f>
        <v>tie</v>
      </c>
    </row>
    <row r="40" customFormat="false" ht="15" hidden="false" customHeight="true" outlineLevel="0" collapsed="false">
      <c r="A40" s="5" t="s">
        <v>143</v>
      </c>
      <c r="B40" s="21" t="n">
        <f aca="false">in_intexp0-rep_intexp_fy0</f>
        <v>0</v>
      </c>
      <c r="C40" s="20" t="n">
        <v>0</v>
      </c>
      <c r="D40" s="5" t="str">
        <f aca="false">IF(ABS(B40)&lt;0.000001,"tie","BREAK")</f>
        <v>tie</v>
      </c>
    </row>
    <row r="41" customFormat="false" ht="15" hidden="false" customHeight="true" outlineLevel="0" collapsed="false">
      <c r="A41" s="5" t="s">
        <v>144</v>
      </c>
      <c r="B41" s="21" t="n">
        <f aca="false">in_oiadj0-rep_oi_fy0</f>
        <v>0</v>
      </c>
      <c r="C41" s="20" t="n">
        <v>0</v>
      </c>
      <c r="D41" s="5" t="str">
        <f aca="false">IF(ABS(B41)&lt;0.000001,"tie","BREAK")</f>
        <v>tie</v>
      </c>
    </row>
    <row r="42" customFormat="false" ht="15" hidden="false" customHeight="true" outlineLevel="0" collapsed="false">
      <c r="A42" s="5" t="s">
        <v>145</v>
      </c>
      <c r="B42" s="21" t="n">
        <f aca="false">in_tax0-rep_tax_fy0</f>
        <v>0</v>
      </c>
      <c r="C42" s="20" t="n">
        <v>0</v>
      </c>
      <c r="D42" s="5" t="str">
        <f aca="false">IF(ABS(B42)&lt;0.000001,"tie","BREAK")</f>
        <v>tie</v>
      </c>
    </row>
    <row r="44" customFormat="false" ht="15" hidden="false" customHeight="true" outlineLevel="0" collapsed="false">
      <c r="A44" s="5" t="s">
        <v>146</v>
      </c>
      <c r="B44" s="21" t="n">
        <f aca="false">SUMPRODUCT(ABS(B35:B42))</f>
        <v>0</v>
      </c>
    </row>
    <row r="46" customFormat="false" ht="15" hidden="false" customHeight="true" outlineLevel="0" collapsed="false">
      <c r="A46" s="4" t="s">
        <v>147</v>
      </c>
    </row>
    <row r="47" customFormat="false" ht="15" hidden="false" customHeight="true" outlineLevel="0" collapsed="false">
      <c r="A47" s="5" t="s">
        <v>148</v>
      </c>
      <c r="B47" s="21" t="n">
        <f aca="false">SUMPRODUCT(ABS(es_tie_partition))</f>
        <v>0</v>
      </c>
      <c r="D47" s="5" t="str">
        <f aca="false">IF(ABS(B47)&lt;0.000001,"tie","BREAK")</f>
        <v>tie</v>
      </c>
    </row>
    <row r="48" customFormat="false" ht="15" hidden="false" customHeight="true" outlineLevel="0" collapsed="false">
      <c r="A48" s="5" t="s">
        <v>149</v>
      </c>
      <c r="B48" s="21" t="n">
        <f aca="false">SUMPRODUCT(ABS(es_tie_real))</f>
        <v>0</v>
      </c>
      <c r="D48" s="5" t="str">
        <f aca="false">IF(ABS(B48)&lt;0.000001,"tie","BREAK")</f>
        <v>tie</v>
      </c>
    </row>
    <row r="49" customFormat="false" ht="15" hidden="false" customHeight="true" outlineLevel="0" collapsed="false">
      <c r="A49" s="5" t="s">
        <v>150</v>
      </c>
      <c r="B49" s="21" t="n">
        <f aca="false">anchor_real_net_ppe-INDEX(ce_real_net_series,MATCH(in_anchor_year,ce_years,0))</f>
        <v>0</v>
      </c>
      <c r="D49" s="5" t="str">
        <f aca="false">IF(ABS(B49)&lt;0.000001,"tie","BREAK")</f>
        <v>tie</v>
      </c>
    </row>
    <row r="50" customFormat="false" ht="15" hidden="false" customHeight="true" outlineLevel="0" collapsed="false">
      <c r="A50" s="5" t="s">
        <v>151</v>
      </c>
      <c r="B50" s="21" t="n">
        <f aca="false">SUMPRODUCT(ABS(B47:B49))</f>
        <v>0</v>
      </c>
    </row>
    <row r="52" customFormat="false" ht="15" hidden="false" customHeight="true" outlineLevel="0" collapsed="false">
      <c r="A52" s="7" t="s">
        <v>152</v>
      </c>
    </row>
    <row r="54" customFormat="false" ht="15" hidden="false" customHeight="true" outlineLevel="0" collapsed="false">
      <c r="A54" s="4" t="s">
        <v>153</v>
      </c>
    </row>
    <row r="55" customFormat="false" ht="15" hidden="false" customHeight="true" outlineLevel="0" collapsed="false">
      <c r="A55" s="5" t="s">
        <v>154</v>
      </c>
      <c r="B55" s="21" t="n">
        <f aca="false">SUMPRODUCT(ABS(fc_tie_bs))</f>
        <v>0</v>
      </c>
      <c r="D55" s="5" t="str">
        <f aca="false">IF(ABS(B55)&lt;0.00001,"tie","BREAK")</f>
        <v>tie</v>
      </c>
    </row>
    <row r="56" customFormat="false" ht="15" hidden="false" customHeight="true" outlineLevel="0" collapsed="false">
      <c r="A56" s="5" t="s">
        <v>155</v>
      </c>
      <c r="B56" s="21" t="n">
        <f aca="false">SUMPRODUCT(ABS(fc_tie_eps))</f>
        <v>0</v>
      </c>
      <c r="D56" s="5" t="str">
        <f aca="false">IF(ABS(B56)&lt;0.00001,"tie","BREAK")</f>
        <v>tie</v>
      </c>
    </row>
    <row r="57" customFormat="false" ht="15" hidden="false" customHeight="true" outlineLevel="0" collapsed="false">
      <c r="A57" s="5" t="s">
        <v>156</v>
      </c>
      <c r="B57" s="21" t="n">
        <f aca="false">SUMPRODUCT(ABS(fc_tie_fcfe))</f>
        <v>6.98491930961609E-010</v>
      </c>
      <c r="D57" s="5" t="str">
        <f aca="false">IF(ABS(B57)&lt;0.00001,"tie","BREAK")</f>
        <v>tie</v>
      </c>
    </row>
    <row r="58" customFormat="false" ht="15" hidden="false" customHeight="true" outlineLevel="0" collapsed="false">
      <c r="A58" s="5" t="s">
        <v>157</v>
      </c>
      <c r="B58" s="21" t="n">
        <f aca="false">SUMPRODUCT(ABS(B55:B57))</f>
        <v>6.98491930961609E-010</v>
      </c>
    </row>
    <row r="60" customFormat="false" ht="15" hidden="false" customHeight="true" outlineLevel="0" collapsed="false">
      <c r="A60" s="4" t="s">
        <v>158</v>
      </c>
    </row>
    <row r="61" customFormat="false" ht="15" hidden="false" customHeight="true" outlineLevel="0" collapsed="false">
      <c r="A61" s="5" t="s">
        <v>159</v>
      </c>
      <c r="B61" s="21" t="n">
        <f aca="false">ABS(dcf_tie_fcfe)</f>
        <v>0</v>
      </c>
      <c r="D61" s="5" t="str">
        <f aca="false">IF(ABS(B61)&lt;in_tie_tol*ABS(dcf_ri),"tie","BREAK")</f>
        <v>tie</v>
      </c>
    </row>
    <row r="62" customFormat="false" ht="15" hidden="false" customHeight="true" outlineLevel="0" collapsed="false">
      <c r="A62" s="5" t="s">
        <v>160</v>
      </c>
      <c r="B62" s="21" t="n">
        <f aca="false">ABS(dcf_tie_fcff)</f>
        <v>0</v>
      </c>
      <c r="D62" s="5" t="str">
        <f aca="false">IF(ABS(B62)&lt;in_tie_tol*ABS(dcf_ri),"tie","BREAK")</f>
        <v>tie</v>
      </c>
    </row>
    <row r="63" customFormat="false" ht="15" hidden="false" customHeight="true" outlineLevel="0" collapsed="false">
      <c r="A63" s="5" t="s">
        <v>161</v>
      </c>
      <c r="B63" s="21" t="n">
        <f aca="false">B61+B62</f>
        <v>0</v>
      </c>
    </row>
    <row r="66" customFormat="false" ht="15" hidden="false" customHeight="true" outlineLevel="0" collapsed="false">
      <c r="A66" s="1" t="s">
        <v>162</v>
      </c>
    </row>
    <row r="67" customFormat="false" ht="15" hidden="false" customHeight="true" outlineLevel="0" collapsed="false">
      <c r="A67" s="1" t="s">
        <v>163</v>
      </c>
      <c r="B67" s="22" t="n">
        <f aca="false">Valuation!B52</f>
        <v>269.496907721409</v>
      </c>
    </row>
    <row r="68" customFormat="false" ht="15" hidden="false" customHeight="true" outlineLevel="0" collapsed="false">
      <c r="A68" s="1" t="s">
        <v>164</v>
      </c>
      <c r="B68" s="22" t="n">
        <f aca="false">'DCF Reconciliation'!B45</f>
        <v>269.496907721409</v>
      </c>
    </row>
    <row r="69" customFormat="false" ht="15" hidden="false" customHeight="true" outlineLevel="0" collapsed="false">
      <c r="A69" s="1" t="s">
        <v>165</v>
      </c>
      <c r="B69" s="1" t="n">
        <f aca="false">B67-B68</f>
        <v>0</v>
      </c>
    </row>
    <row r="70" customFormat="false" ht="15" hidden="false" customHeight="true" outlineLevel="0" collapsed="false">
      <c r="A70" s="1" t="s">
        <v>166</v>
      </c>
      <c r="B70" s="1" t="n">
        <f aca="false">IF(B68=0,"",B69/B68)</f>
        <v>0</v>
      </c>
    </row>
    <row r="71" customFormat="false" ht="15" hidden="false" customHeight="true" outlineLevel="0" collapsed="false">
      <c r="A71" s="1" t="s">
        <v>167</v>
      </c>
    </row>
    <row r="72" customFormat="false" ht="15" hidden="false" customHeight="true" outlineLevel="0" collapsed="false">
      <c r="A72" s="1" t="s">
        <v>168</v>
      </c>
      <c r="B72" s="1" t="n">
        <f aca="false">ABS(B69)</f>
        <v>0</v>
      </c>
    </row>
    <row r="74" customFormat="false" ht="15" hidden="false" customHeight="true" outlineLevel="0" collapsed="false">
      <c r="A74" s="1" t="s">
        <v>169</v>
      </c>
    </row>
    <row r="75" customFormat="false" ht="15" hidden="false" customHeight="true" outlineLevel="0" collapsed="false">
      <c r="A75" s="1" t="s">
        <v>170</v>
      </c>
      <c r="B75" s="1" t="n">
        <f aca="false">ABS('DCF Reconciliation'!B56)</f>
        <v>0</v>
      </c>
    </row>
    <row r="76" customFormat="false" ht="15" hidden="false" customHeight="true" outlineLevel="0" collapsed="false">
      <c r="A76" s="1" t="s">
        <v>171</v>
      </c>
      <c r="B76" s="1" t="n">
        <f aca="false">ABS('DCF Reconciliation'!B57)</f>
        <v>4.8312358558178E-009</v>
      </c>
    </row>
    <row r="77" customFormat="false" ht="15" hidden="false" customHeight="true" outlineLevel="0" collapsed="false">
      <c r="A77" s="1" t="s">
        <v>172</v>
      </c>
      <c r="B77" s="1" t="n">
        <f aca="false">B75+B76</f>
        <v>4.8312358558178E-009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173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217</v>
      </c>
      <c r="B4" s="25" t="n">
        <v>197.5</v>
      </c>
      <c r="C4" s="25" t="n">
        <v>345.9</v>
      </c>
      <c r="D4" s="25" t="n">
        <v>590.8</v>
      </c>
      <c r="E4" s="25" t="n">
        <v>803.5</v>
      </c>
      <c r="F4" s="25" t="n">
        <v>1183.4</v>
      </c>
      <c r="G4" s="25" t="n">
        <v>1843.4</v>
      </c>
      <c r="H4" s="25" t="n">
        <v>2758.7</v>
      </c>
      <c r="I4" s="25" t="n">
        <v>3753</v>
      </c>
      <c r="J4" s="25" t="n">
        <v>4649</v>
      </c>
      <c r="K4" s="25" t="n">
        <v>5937</v>
      </c>
      <c r="L4" s="25" t="n">
        <v>8671</v>
      </c>
      <c r="M4" s="25" t="n">
        <v>11936</v>
      </c>
      <c r="N4" s="25" t="n">
        <v>15262</v>
      </c>
      <c r="O4" s="25" t="n">
        <v>19747</v>
      </c>
      <c r="P4" s="25" t="n">
        <v>22956</v>
      </c>
      <c r="Q4" s="25" t="n">
        <v>25296</v>
      </c>
      <c r="R4" s="25" t="n">
        <v>28365</v>
      </c>
      <c r="S4" s="25" t="n">
        <v>32187</v>
      </c>
      <c r="T4" s="25" t="n">
        <v>36835</v>
      </c>
      <c r="U4" s="25" t="n">
        <v>39788</v>
      </c>
      <c r="V4" s="25" t="n">
        <v>44282</v>
      </c>
      <c r="W4" s="25" t="n">
        <v>51122</v>
      </c>
      <c r="X4" s="25" t="n">
        <v>60420</v>
      </c>
      <c r="Y4" s="25" t="n">
        <v>58437</v>
      </c>
      <c r="Z4" s="25" t="n">
        <v>62484</v>
      </c>
      <c r="AA4" s="25" t="n">
        <v>69943</v>
      </c>
      <c r="AB4" s="25" t="n">
        <v>73723</v>
      </c>
      <c r="AC4" s="25" t="n">
        <v>77849</v>
      </c>
      <c r="AD4" s="25" t="n">
        <v>86833</v>
      </c>
      <c r="AE4" s="25" t="n">
        <v>93580</v>
      </c>
      <c r="AF4" s="25" t="n">
        <v>91154</v>
      </c>
      <c r="AG4" s="25" t="n">
        <v>96571</v>
      </c>
      <c r="AH4" s="25" t="n">
        <v>110360</v>
      </c>
      <c r="AI4" s="25" t="n">
        <v>125843</v>
      </c>
      <c r="AJ4" s="25" t="n">
        <v>143015</v>
      </c>
      <c r="AK4" s="25" t="n">
        <v>168088</v>
      </c>
      <c r="AL4" s="25" t="n">
        <v>198270</v>
      </c>
      <c r="AM4" s="25" t="n">
        <v>211915</v>
      </c>
      <c r="AN4" s="25" t="n">
        <v>245122</v>
      </c>
      <c r="AO4" s="25" t="n">
        <v>281724</v>
      </c>
      <c r="AP4" s="25" t="n">
        <v>331839</v>
      </c>
    </row>
    <row r="5" customFormat="false" ht="15" hidden="false" customHeight="true" outlineLevel="0" collapsed="false">
      <c r="A5" s="26" t="s">
        <v>218</v>
      </c>
      <c r="B5" s="25" t="n">
        <v>197.5</v>
      </c>
      <c r="C5" s="25" t="n">
        <v>345.9</v>
      </c>
      <c r="D5" s="25" t="n">
        <v>590.8</v>
      </c>
      <c r="E5" s="25" t="n">
        <v>803.5</v>
      </c>
      <c r="F5" s="25" t="n">
        <v>1183.4</v>
      </c>
      <c r="G5" s="25" t="n">
        <v>1843.4</v>
      </c>
      <c r="H5" s="25" t="n">
        <v>2758.7</v>
      </c>
      <c r="I5" s="25" t="n">
        <v>3753</v>
      </c>
      <c r="J5" s="25" t="n">
        <v>4649</v>
      </c>
      <c r="K5" s="25" t="n">
        <v>5937</v>
      </c>
      <c r="L5" s="25" t="n">
        <v>8671</v>
      </c>
      <c r="M5" s="25" t="n">
        <v>11936</v>
      </c>
      <c r="N5" s="25" t="n">
        <v>15262</v>
      </c>
      <c r="O5" s="25" t="n">
        <v>19747</v>
      </c>
      <c r="P5" s="25" t="n">
        <v>22956</v>
      </c>
      <c r="Q5" s="25" t="n">
        <v>25296</v>
      </c>
      <c r="R5" s="25" t="n">
        <v>28365</v>
      </c>
      <c r="S5" s="25" t="n">
        <v>32187</v>
      </c>
      <c r="T5" s="25" t="n">
        <v>36835</v>
      </c>
      <c r="U5" s="25" t="n">
        <v>39788</v>
      </c>
      <c r="V5" s="25" t="n">
        <v>44282</v>
      </c>
      <c r="W5" s="25" t="n">
        <v>51122</v>
      </c>
      <c r="X5" s="25" t="n">
        <v>60420</v>
      </c>
      <c r="Y5" s="25" t="n">
        <v>58437</v>
      </c>
      <c r="Z5" s="25" t="n">
        <v>62484</v>
      </c>
      <c r="AA5" s="25" t="n">
        <v>69943</v>
      </c>
      <c r="AB5" s="25" t="n">
        <v>73723</v>
      </c>
      <c r="AC5" s="25" t="n">
        <v>77849</v>
      </c>
      <c r="AD5" s="25" t="n">
        <v>86833</v>
      </c>
      <c r="AE5" s="25" t="n">
        <v>93580</v>
      </c>
      <c r="AF5" s="25" t="n">
        <v>91154</v>
      </c>
      <c r="AG5" s="25" t="n">
        <v>96571</v>
      </c>
      <c r="AH5" s="25" t="n">
        <v>110360</v>
      </c>
      <c r="AI5" s="25" t="n">
        <v>125843</v>
      </c>
      <c r="AJ5" s="25" t="n">
        <v>143015</v>
      </c>
      <c r="AK5" s="25" t="n">
        <v>168088</v>
      </c>
      <c r="AL5" s="25" t="n">
        <v>198270</v>
      </c>
      <c r="AM5" s="25" t="n">
        <v>211915</v>
      </c>
      <c r="AN5" s="25" t="n">
        <v>245122</v>
      </c>
      <c r="AO5" s="25" t="n">
        <v>281724</v>
      </c>
      <c r="AP5" s="25" t="n">
        <v>331839</v>
      </c>
    </row>
    <row r="6" customFormat="false" ht="15" hidden="false" customHeight="true" outlineLevel="0" collapsed="false">
      <c r="A6" s="23" t="s">
        <v>219</v>
      </c>
      <c r="B6" s="25" t="n">
        <v>35.1</v>
      </c>
      <c r="C6" s="25" t="n">
        <v>66.3</v>
      </c>
      <c r="D6" s="25" t="n">
        <v>132</v>
      </c>
      <c r="E6" s="25" t="n">
        <v>180</v>
      </c>
      <c r="F6" s="25" t="n">
        <v>206.4</v>
      </c>
      <c r="G6" s="25" t="n">
        <v>286.8</v>
      </c>
      <c r="H6" s="25" t="n">
        <v>354.1</v>
      </c>
      <c r="I6" s="25" t="n">
        <v>482</v>
      </c>
      <c r="J6" s="25" t="n">
        <v>526</v>
      </c>
      <c r="K6" s="25" t="n">
        <v>608</v>
      </c>
      <c r="L6" s="25" t="n">
        <v>708</v>
      </c>
      <c r="M6" s="25" t="n">
        <v>1613</v>
      </c>
      <c r="N6" s="25" t="n">
        <v>1436</v>
      </c>
      <c r="O6" s="25" t="n">
        <v>1804</v>
      </c>
      <c r="P6" s="25" t="n">
        <v>3002</v>
      </c>
      <c r="Q6" s="25" t="n">
        <v>3455</v>
      </c>
      <c r="R6" s="25" t="n">
        <v>5191</v>
      </c>
      <c r="S6" s="25" t="n">
        <v>6059</v>
      </c>
      <c r="T6" s="25" t="n">
        <v>6716</v>
      </c>
      <c r="U6" s="25" t="n">
        <v>6031</v>
      </c>
      <c r="V6" s="25" t="n">
        <v>7650</v>
      </c>
      <c r="W6" s="25" t="n">
        <v>10693</v>
      </c>
      <c r="X6" s="25" t="n">
        <v>11598</v>
      </c>
      <c r="Y6" s="25" t="n">
        <v>12155</v>
      </c>
      <c r="Z6" s="25" t="n">
        <v>12395</v>
      </c>
      <c r="AA6" s="25" t="n">
        <v>15577</v>
      </c>
      <c r="AB6" s="25" t="n">
        <v>17530</v>
      </c>
      <c r="AC6" s="25" t="n">
        <v>20385</v>
      </c>
      <c r="AD6" s="25" t="n">
        <v>27078</v>
      </c>
      <c r="AE6" s="25" t="n">
        <v>33038</v>
      </c>
      <c r="AF6" s="25" t="n">
        <v>32780</v>
      </c>
      <c r="AG6" s="25" t="n">
        <v>34261</v>
      </c>
      <c r="AH6" s="25" t="n">
        <v>38353</v>
      </c>
      <c r="AI6" s="25" t="n">
        <v>42910</v>
      </c>
      <c r="AJ6" s="25" t="n">
        <v>46078</v>
      </c>
      <c r="AK6" s="25" t="n">
        <v>52232</v>
      </c>
      <c r="AL6" s="25" t="n">
        <v>62650</v>
      </c>
      <c r="AM6" s="25" t="n">
        <v>65863</v>
      </c>
      <c r="AN6" s="25" t="n">
        <v>74114</v>
      </c>
      <c r="AO6" s="25" t="n">
        <v>87831</v>
      </c>
      <c r="AP6" s="25" t="n">
        <v>106374</v>
      </c>
    </row>
    <row r="7" customFormat="false" ht="15" hidden="false" customHeight="true" outlineLevel="0" collapsed="false">
      <c r="A7" s="23" t="s">
        <v>220</v>
      </c>
      <c r="B7" s="25" t="n">
        <v>162.4</v>
      </c>
      <c r="C7" s="25" t="n">
        <v>279.6</v>
      </c>
      <c r="D7" s="25" t="n">
        <v>458.8</v>
      </c>
      <c r="E7" s="25" t="n">
        <v>623.5</v>
      </c>
      <c r="F7" s="25" t="n">
        <v>977</v>
      </c>
      <c r="G7" s="25" t="n">
        <v>1556.6</v>
      </c>
      <c r="H7" s="25" t="n">
        <v>2404.6</v>
      </c>
      <c r="I7" s="25" t="n">
        <v>3271</v>
      </c>
      <c r="J7" s="25" t="n">
        <v>4123</v>
      </c>
      <c r="K7" s="25" t="n">
        <v>5329</v>
      </c>
      <c r="L7" s="25" t="n">
        <v>7963</v>
      </c>
      <c r="M7" s="25" t="n">
        <v>10323</v>
      </c>
      <c r="N7" s="25" t="n">
        <v>13826</v>
      </c>
      <c r="O7" s="25" t="n">
        <v>17943</v>
      </c>
      <c r="P7" s="25" t="n">
        <v>19954</v>
      </c>
      <c r="Q7" s="25" t="n">
        <v>21841</v>
      </c>
      <c r="R7" s="25" t="n">
        <v>23174</v>
      </c>
      <c r="S7" s="25" t="n">
        <v>26128</v>
      </c>
      <c r="T7" s="25" t="n">
        <v>30119</v>
      </c>
      <c r="U7" s="25" t="n">
        <v>33757</v>
      </c>
      <c r="V7" s="25" t="n">
        <v>36632</v>
      </c>
      <c r="W7" s="25" t="n">
        <v>40429</v>
      </c>
      <c r="X7" s="25" t="n">
        <v>48822</v>
      </c>
      <c r="Y7" s="25" t="n">
        <v>46282</v>
      </c>
      <c r="Z7" s="25" t="n">
        <v>50089</v>
      </c>
      <c r="AA7" s="25" t="n">
        <v>54366</v>
      </c>
      <c r="AB7" s="25" t="n">
        <v>56193</v>
      </c>
      <c r="AC7" s="25" t="n">
        <v>57464</v>
      </c>
      <c r="AD7" s="25" t="n">
        <v>59755</v>
      </c>
      <c r="AE7" s="25" t="n">
        <v>60542</v>
      </c>
      <c r="AF7" s="25" t="n">
        <v>58374</v>
      </c>
      <c r="AG7" s="25" t="n">
        <v>62310</v>
      </c>
      <c r="AH7" s="25" t="n">
        <v>72007</v>
      </c>
      <c r="AI7" s="25" t="n">
        <v>82933</v>
      </c>
      <c r="AJ7" s="25" t="n">
        <v>96937</v>
      </c>
      <c r="AK7" s="25" t="n">
        <v>115856</v>
      </c>
      <c r="AL7" s="25" t="n">
        <v>135620</v>
      </c>
      <c r="AM7" s="25" t="n">
        <v>146052</v>
      </c>
      <c r="AN7" s="25" t="n">
        <v>171008</v>
      </c>
      <c r="AO7" s="25" t="n">
        <v>193893</v>
      </c>
      <c r="AP7" s="25" t="n">
        <v>225465</v>
      </c>
    </row>
    <row r="8" customFormat="false" ht="15" hidden="false" customHeight="true" outlineLevel="0" collapsed="false">
      <c r="A8" s="23" t="s">
        <v>221</v>
      </c>
      <c r="B8" s="25" t="n">
        <v>101.5</v>
      </c>
      <c r="C8" s="25" t="n">
        <v>152.7</v>
      </c>
      <c r="D8" s="25" t="n">
        <v>271.4</v>
      </c>
      <c r="E8" s="25" t="n">
        <v>381.3</v>
      </c>
      <c r="F8" s="25" t="n">
        <v>583.8</v>
      </c>
      <c r="G8" s="25" t="n">
        <v>906.8</v>
      </c>
      <c r="H8" s="25" t="n">
        <v>1408.6</v>
      </c>
      <c r="I8" s="25" t="n">
        <v>1945</v>
      </c>
      <c r="J8" s="25" t="n">
        <v>2397</v>
      </c>
      <c r="K8" s="25" t="n">
        <v>3291</v>
      </c>
      <c r="L8" s="25" t="n">
        <v>4885</v>
      </c>
      <c r="M8" s="25" t="n">
        <v>5452</v>
      </c>
      <c r="N8" s="25" t="n">
        <v>7116</v>
      </c>
      <c r="O8" s="25" t="n">
        <v>7900</v>
      </c>
      <c r="P8" s="25" t="n">
        <v>8948</v>
      </c>
      <c r="Q8" s="25" t="n">
        <v>10121</v>
      </c>
      <c r="R8" s="25" t="n">
        <v>11264</v>
      </c>
      <c r="S8" s="25" t="n">
        <v>16583</v>
      </c>
      <c r="T8" s="25" t="n">
        <v>21085</v>
      </c>
      <c r="U8" s="25" t="n">
        <v>19196</v>
      </c>
      <c r="V8" s="25" t="n">
        <v>20160</v>
      </c>
      <c r="W8" s="25" t="n">
        <v>21991</v>
      </c>
      <c r="X8" s="25" t="n">
        <v>26551</v>
      </c>
      <c r="Y8" s="25" t="n">
        <v>25919</v>
      </c>
      <c r="Z8" s="25" t="n">
        <v>25991</v>
      </c>
      <c r="AA8" s="25" t="n">
        <v>27205</v>
      </c>
      <c r="AB8" s="25" t="n">
        <v>28237</v>
      </c>
      <c r="AC8" s="25" t="n">
        <v>30700</v>
      </c>
      <c r="AD8" s="25" t="n">
        <v>31869</v>
      </c>
      <c r="AE8" s="25" t="n">
        <v>42381</v>
      </c>
      <c r="AF8" s="25" t="n">
        <v>32296</v>
      </c>
      <c r="AG8" s="25" t="n">
        <v>32979</v>
      </c>
      <c r="AH8" s="25" t="n">
        <v>36949</v>
      </c>
      <c r="AI8" s="25" t="n">
        <v>39974</v>
      </c>
      <c r="AJ8" s="25" t="n">
        <v>43978</v>
      </c>
      <c r="AK8" s="25" t="n">
        <v>45940</v>
      </c>
      <c r="AL8" s="25" t="n">
        <v>52237</v>
      </c>
      <c r="AM8" s="25" t="n">
        <v>57529</v>
      </c>
      <c r="AN8" s="25" t="n">
        <v>61575</v>
      </c>
      <c r="AO8" s="25" t="n">
        <v>65365</v>
      </c>
      <c r="AP8" s="25" t="n">
        <v>70228</v>
      </c>
    </row>
    <row r="9" customFormat="false" ht="15" hidden="false" customHeight="true" outlineLevel="0" collapsed="false">
      <c r="A9" s="26" t="s">
        <v>222</v>
      </c>
      <c r="B9" s="25" t="n">
        <v>95.7</v>
      </c>
      <c r="C9" s="25" t="n">
        <v>145.1</v>
      </c>
      <c r="D9" s="25" t="n">
        <v>255.4</v>
      </c>
      <c r="E9" s="25" t="n">
        <v>357.1</v>
      </c>
      <c r="F9" s="25" t="n">
        <v>537.5</v>
      </c>
      <c r="G9" s="25" t="n">
        <v>831</v>
      </c>
      <c r="H9" s="25" t="n">
        <v>1296.3</v>
      </c>
      <c r="I9" s="25" t="n">
        <v>1794</v>
      </c>
      <c r="J9" s="25" t="n">
        <v>1550</v>
      </c>
      <c r="K9" s="25" t="n">
        <v>2162</v>
      </c>
      <c r="L9" s="25" t="n">
        <v>2973</v>
      </c>
      <c r="M9" s="25" t="n">
        <v>3218</v>
      </c>
      <c r="N9" s="25" t="n">
        <v>3845</v>
      </c>
      <c r="O9" s="27" t="n">
        <v>3920</v>
      </c>
      <c r="P9" s="27" t="n">
        <v>5150</v>
      </c>
      <c r="Q9" s="27" t="n">
        <v>5742</v>
      </c>
      <c r="R9" s="25" t="n">
        <v>6957</v>
      </c>
      <c r="S9" s="25" t="n">
        <v>4028</v>
      </c>
      <c r="T9" s="25" t="n">
        <v>4997</v>
      </c>
      <c r="U9" s="25" t="n">
        <v>4422</v>
      </c>
      <c r="V9" s="25" t="n">
        <v>3758</v>
      </c>
      <c r="W9" s="25" t="n">
        <v>3329</v>
      </c>
      <c r="X9" s="25" t="n">
        <v>5127</v>
      </c>
      <c r="Y9" s="25" t="n">
        <v>4030</v>
      </c>
      <c r="Z9" s="25" t="n">
        <v>4063</v>
      </c>
      <c r="AA9" s="25" t="n">
        <v>4222</v>
      </c>
      <c r="AB9" s="25" t="n">
        <v>4569</v>
      </c>
      <c r="AC9" s="25" t="n">
        <v>5013</v>
      </c>
      <c r="AD9" s="25" t="n">
        <v>4677</v>
      </c>
      <c r="AE9" s="25" t="n">
        <v>4611</v>
      </c>
      <c r="AF9" s="25" t="n">
        <v>4563</v>
      </c>
      <c r="AG9" s="25" t="n">
        <v>4481</v>
      </c>
      <c r="AH9" s="25" t="n">
        <v>4754</v>
      </c>
      <c r="AI9" s="25" t="n">
        <v>4885</v>
      </c>
      <c r="AJ9" s="25" t="n">
        <v>5111</v>
      </c>
      <c r="AK9" s="25" t="n">
        <v>5107</v>
      </c>
      <c r="AL9" s="25" t="n">
        <v>5900</v>
      </c>
      <c r="AM9" s="25" t="n">
        <v>7575</v>
      </c>
      <c r="AN9" s="25" t="n">
        <v>7609</v>
      </c>
      <c r="AO9" s="25" t="n">
        <v>7223</v>
      </c>
      <c r="AP9" s="25" t="n">
        <v>7956</v>
      </c>
    </row>
    <row r="10" customFormat="false" ht="15" hidden="false" customHeight="true" outlineLevel="0" collapsed="false">
      <c r="A10" s="26" t="s">
        <v>223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customFormat="false" ht="15" hidden="false" customHeight="true" outlineLevel="0" collapsed="false">
      <c r="A11" s="26" t="s">
        <v>224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225</v>
      </c>
      <c r="B12" s="25" t="n">
        <v>136.6</v>
      </c>
      <c r="C12" s="27" t="n">
        <v>219</v>
      </c>
      <c r="D12" s="27" t="n">
        <v>403.4</v>
      </c>
      <c r="E12" s="27" t="n">
        <v>561.3</v>
      </c>
      <c r="F12" s="27" t="n">
        <v>790.2</v>
      </c>
      <c r="G12" s="27" t="n">
        <v>1193.6</v>
      </c>
      <c r="H12" s="27" t="n">
        <v>1762.7</v>
      </c>
      <c r="I12" s="27" t="n">
        <v>2427</v>
      </c>
      <c r="J12" s="27" t="n">
        <v>2923</v>
      </c>
      <c r="K12" s="27" t="n">
        <v>3899</v>
      </c>
      <c r="L12" s="27" t="n">
        <v>5593</v>
      </c>
      <c r="M12" s="27" t="n">
        <v>7065</v>
      </c>
      <c r="N12" s="27" t="n">
        <v>8552</v>
      </c>
      <c r="O12" s="27" t="n">
        <v>9704</v>
      </c>
      <c r="P12" s="27" t="n">
        <v>11950</v>
      </c>
      <c r="Q12" s="27" t="n">
        <v>13576</v>
      </c>
      <c r="R12" s="27" t="n">
        <v>16455</v>
      </c>
      <c r="S12" s="27" t="n">
        <v>22642</v>
      </c>
      <c r="T12" s="27" t="n">
        <v>27801</v>
      </c>
      <c r="U12" s="27" t="n">
        <v>25227</v>
      </c>
      <c r="V12" s="27" t="n">
        <v>27810</v>
      </c>
      <c r="W12" s="27" t="n">
        <v>32684</v>
      </c>
      <c r="X12" s="27" t="n">
        <v>38149</v>
      </c>
      <c r="Y12" s="27" t="n">
        <v>38074</v>
      </c>
      <c r="Z12" s="27" t="n">
        <v>38386</v>
      </c>
      <c r="AA12" s="27" t="n">
        <v>42782</v>
      </c>
      <c r="AB12" s="27" t="n">
        <v>45767</v>
      </c>
      <c r="AC12" s="27" t="n">
        <v>51085</v>
      </c>
      <c r="AD12" s="27" t="n">
        <v>58947</v>
      </c>
      <c r="AE12" s="27" t="n">
        <v>75419</v>
      </c>
      <c r="AF12" s="27" t="n">
        <v>65076</v>
      </c>
      <c r="AG12" s="27" t="n">
        <v>67240</v>
      </c>
      <c r="AH12" s="27" t="n">
        <v>75302</v>
      </c>
      <c r="AI12" s="27" t="n">
        <v>82884</v>
      </c>
      <c r="AJ12" s="27" t="n">
        <v>90056</v>
      </c>
      <c r="AK12" s="27" t="n">
        <v>98172</v>
      </c>
      <c r="AL12" s="27" t="n">
        <v>114887</v>
      </c>
      <c r="AM12" s="27" t="n">
        <v>123392</v>
      </c>
      <c r="AN12" s="27" t="n">
        <v>135689</v>
      </c>
      <c r="AO12" s="27" t="n">
        <v>153196</v>
      </c>
      <c r="AP12" s="27" t="n">
        <v>176602</v>
      </c>
    </row>
    <row r="13" customFormat="false" ht="15" hidden="false" customHeight="true" outlineLevel="0" collapsed="false">
      <c r="A13" s="23" t="s">
        <v>226</v>
      </c>
      <c r="B13" s="25" t="n">
        <v>60.9</v>
      </c>
      <c r="C13" s="25" t="n">
        <v>126.9</v>
      </c>
      <c r="D13" s="25" t="n">
        <v>187.4</v>
      </c>
      <c r="E13" s="25" t="n">
        <v>242.2</v>
      </c>
      <c r="F13" s="25" t="n">
        <v>393.2</v>
      </c>
      <c r="G13" s="25" t="n">
        <v>649.8</v>
      </c>
      <c r="H13" s="25" t="n">
        <v>996</v>
      </c>
      <c r="I13" s="25" t="n">
        <v>1326</v>
      </c>
      <c r="J13" s="25" t="n">
        <v>1726</v>
      </c>
      <c r="K13" s="25" t="n">
        <v>2038</v>
      </c>
      <c r="L13" s="25" t="n">
        <v>3078</v>
      </c>
      <c r="M13" s="25" t="n">
        <v>4871</v>
      </c>
      <c r="N13" s="25" t="n">
        <v>6710</v>
      </c>
      <c r="O13" s="25" t="n">
        <v>10043</v>
      </c>
      <c r="P13" s="25" t="n">
        <v>11006</v>
      </c>
      <c r="Q13" s="25" t="n">
        <v>11720</v>
      </c>
      <c r="R13" s="25" t="n">
        <v>11910</v>
      </c>
      <c r="S13" s="25" t="n">
        <v>9545</v>
      </c>
      <c r="T13" s="25" t="n">
        <v>9034</v>
      </c>
      <c r="U13" s="25" t="n">
        <v>14561</v>
      </c>
      <c r="V13" s="25" t="n">
        <v>16472</v>
      </c>
      <c r="W13" s="25" t="n">
        <v>18438</v>
      </c>
      <c r="X13" s="25" t="n">
        <v>22271</v>
      </c>
      <c r="Y13" s="25" t="n">
        <v>20363</v>
      </c>
      <c r="Z13" s="25" t="n">
        <v>24098</v>
      </c>
      <c r="AA13" s="25" t="n">
        <v>27161</v>
      </c>
      <c r="AB13" s="25" t="n">
        <v>21763</v>
      </c>
      <c r="AC13" s="25" t="n">
        <v>26764</v>
      </c>
      <c r="AD13" s="25" t="n">
        <v>27759</v>
      </c>
      <c r="AE13" s="25" t="n">
        <v>18161</v>
      </c>
      <c r="AF13" s="25" t="n">
        <v>26078</v>
      </c>
      <c r="AG13" s="25" t="n">
        <v>29025</v>
      </c>
      <c r="AH13" s="25" t="n">
        <v>35058</v>
      </c>
      <c r="AI13" s="25" t="n">
        <v>42959</v>
      </c>
      <c r="AJ13" s="25" t="n">
        <v>52959</v>
      </c>
      <c r="AK13" s="25" t="n">
        <v>69916</v>
      </c>
      <c r="AL13" s="25" t="n">
        <v>83383</v>
      </c>
      <c r="AM13" s="25" t="n">
        <v>88523</v>
      </c>
      <c r="AN13" s="25" t="n">
        <v>109433</v>
      </c>
      <c r="AO13" s="25" t="n">
        <v>128528</v>
      </c>
      <c r="AP13" s="25" t="n">
        <v>155237</v>
      </c>
    </row>
    <row r="14" customFormat="false" ht="15" hidden="false" customHeight="true" outlineLevel="0" collapsed="false">
      <c r="A14" s="23" t="s">
        <v>227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 t="n">
        <v>-1243</v>
      </c>
      <c r="AG14" s="25" t="n">
        <v>-2222</v>
      </c>
      <c r="AH14" s="25" t="n">
        <v>-2733</v>
      </c>
      <c r="AI14" s="25" t="n">
        <v>-2686</v>
      </c>
      <c r="AJ14" s="25" t="n">
        <v>-2591</v>
      </c>
      <c r="AK14" s="25" t="n">
        <v>-215</v>
      </c>
      <c r="AL14" s="25" t="n">
        <v>31</v>
      </c>
      <c r="AM14" s="25" t="n">
        <v>1026</v>
      </c>
      <c r="AN14" s="25" t="n">
        <v>222</v>
      </c>
      <c r="AO14" s="25" t="n">
        <v>262</v>
      </c>
      <c r="AP14" s="25" t="n">
        <v>250</v>
      </c>
    </row>
    <row r="15" customFormat="false" ht="15" hidden="false" customHeight="true" outlineLevel="0" collapsed="false">
      <c r="A15" s="26" t="s">
        <v>228</v>
      </c>
      <c r="O15" s="25"/>
      <c r="P15" s="25"/>
      <c r="Q15" s="25"/>
      <c r="R15" s="25"/>
      <c r="S15" s="25"/>
      <c r="T15" s="25"/>
      <c r="U15" s="25"/>
      <c r="V15" s="25"/>
      <c r="W15" s="25"/>
      <c r="AF15" s="27" t="n">
        <v>78</v>
      </c>
      <c r="AG15" s="27" t="n">
        <v>1182</v>
      </c>
      <c r="AH15" s="27" t="n">
        <v>1522</v>
      </c>
      <c r="AI15" s="27" t="n">
        <v>812</v>
      </c>
      <c r="AJ15" s="27" t="n">
        <v>2680</v>
      </c>
      <c r="AK15" s="27" t="n">
        <v>2131</v>
      </c>
      <c r="AL15" s="27" t="n">
        <v>2094</v>
      </c>
      <c r="AM15" s="27" t="n">
        <v>1041</v>
      </c>
      <c r="AN15" s="27" t="n">
        <v>3157</v>
      </c>
      <c r="AO15" s="27" t="n">
        <v>767</v>
      </c>
      <c r="AP15" s="27" t="n">
        <v>3301</v>
      </c>
    </row>
    <row r="16" customFormat="false" ht="15" hidden="false" customHeight="true" outlineLevel="0" collapsed="false">
      <c r="A16" s="26" t="s">
        <v>229</v>
      </c>
      <c r="B16" s="27" t="n">
        <v>0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5" t="n">
        <v>0</v>
      </c>
      <c r="J16" s="25" t="n">
        <v>0</v>
      </c>
      <c r="K16" s="25" t="n">
        <v>0</v>
      </c>
      <c r="L16" s="25" t="n">
        <v>0</v>
      </c>
      <c r="M16" s="25" t="n">
        <v>0</v>
      </c>
      <c r="N16" s="25" t="n">
        <v>0</v>
      </c>
      <c r="O16" s="25" t="n">
        <v>0</v>
      </c>
      <c r="P16" s="25" t="n">
        <v>0</v>
      </c>
      <c r="Q16" s="25" t="n">
        <v>0</v>
      </c>
      <c r="R16" s="25" t="n">
        <v>0</v>
      </c>
      <c r="S16" s="25" t="n">
        <v>0</v>
      </c>
      <c r="T16" s="25" t="n">
        <v>0</v>
      </c>
      <c r="U16" s="25" t="n">
        <v>0</v>
      </c>
      <c r="V16" s="25" t="n">
        <v>0</v>
      </c>
      <c r="W16" s="25" t="n">
        <v>0</v>
      </c>
      <c r="X16" s="25" t="n">
        <v>106</v>
      </c>
      <c r="Y16" s="25" t="n">
        <v>38</v>
      </c>
      <c r="Z16" s="25" t="n">
        <v>151</v>
      </c>
      <c r="AA16" s="25" t="n">
        <v>295</v>
      </c>
      <c r="AB16" s="25" t="n">
        <v>380</v>
      </c>
      <c r="AC16" s="25" t="n">
        <v>429</v>
      </c>
      <c r="AD16" s="25" t="n">
        <v>597</v>
      </c>
      <c r="AE16" s="25" t="n">
        <v>781</v>
      </c>
      <c r="AF16" s="25" t="n">
        <v>1243</v>
      </c>
      <c r="AG16" s="25" t="n">
        <v>2222</v>
      </c>
      <c r="AH16" s="25" t="n">
        <v>2733</v>
      </c>
      <c r="AI16" s="25" t="n">
        <v>2686</v>
      </c>
      <c r="AJ16" s="25" t="n">
        <v>2591</v>
      </c>
      <c r="AK16" s="25" t="n">
        <v>2346</v>
      </c>
      <c r="AL16" s="25" t="n">
        <v>2063</v>
      </c>
      <c r="AM16" s="25" t="n">
        <v>1968</v>
      </c>
      <c r="AN16" s="25" t="n">
        <v>2935</v>
      </c>
      <c r="AO16" s="25" t="n">
        <v>2385</v>
      </c>
      <c r="AP16" s="25" t="n">
        <v>3051</v>
      </c>
    </row>
    <row r="17" customFormat="false" ht="15" hidden="false" customHeight="true" outlineLevel="0" collapsed="false">
      <c r="A17" s="23" t="s">
        <v>230</v>
      </c>
      <c r="B17" s="25" t="n">
        <v>5.1</v>
      </c>
      <c r="C17" s="25" t="n">
        <v>-5.5</v>
      </c>
      <c r="D17" s="25" t="n">
        <v>-3.7</v>
      </c>
      <c r="E17" s="25" t="n">
        <v>8.6</v>
      </c>
      <c r="F17" s="25" t="n">
        <v>17.4</v>
      </c>
      <c r="G17" s="25" t="n">
        <v>20.8</v>
      </c>
      <c r="H17" s="25" t="n">
        <v>45.3</v>
      </c>
      <c r="I17" s="25" t="n">
        <v>75</v>
      </c>
      <c r="J17" s="25" t="n">
        <v>-4</v>
      </c>
      <c r="K17" s="25" t="n">
        <v>129</v>
      </c>
      <c r="L17" s="25" t="n">
        <v>301</v>
      </c>
      <c r="M17" s="25" t="n">
        <v>443</v>
      </c>
      <c r="N17" s="25" t="n">
        <v>407</v>
      </c>
      <c r="O17" s="25" t="n">
        <v>1848</v>
      </c>
      <c r="P17" s="25" t="n">
        <v>3269</v>
      </c>
      <c r="Q17" s="25" t="n">
        <v>-195</v>
      </c>
      <c r="R17" s="25" t="n">
        <v>-397</v>
      </c>
      <c r="S17" s="25" t="n">
        <v>1509</v>
      </c>
      <c r="T17" s="25" t="n">
        <v>3162</v>
      </c>
      <c r="U17" s="25" t="n">
        <v>2067</v>
      </c>
      <c r="V17" s="25" t="n">
        <v>1790</v>
      </c>
      <c r="W17" s="25" t="n">
        <v>1663</v>
      </c>
      <c r="X17" s="25" t="n">
        <v>1543</v>
      </c>
      <c r="Y17" s="25" t="n">
        <v>-542</v>
      </c>
      <c r="Z17" s="25" t="n">
        <v>915</v>
      </c>
      <c r="AA17" s="25" t="n">
        <v>910</v>
      </c>
      <c r="AB17" s="25" t="n">
        <v>504</v>
      </c>
      <c r="AC17" s="25" t="n">
        <v>288</v>
      </c>
      <c r="AD17" s="25" t="n">
        <v>61</v>
      </c>
      <c r="AE17" s="25" t="n">
        <v>346</v>
      </c>
      <c r="AF17" s="25" t="n">
        <v>-439</v>
      </c>
      <c r="AG17" s="25" t="n">
        <v>876</v>
      </c>
      <c r="AH17" s="25" t="n">
        <v>1416</v>
      </c>
      <c r="AI17" s="25" t="n">
        <v>729</v>
      </c>
      <c r="AJ17" s="25" t="n">
        <v>77</v>
      </c>
      <c r="AK17" s="25" t="n">
        <v>1186</v>
      </c>
      <c r="AL17" s="25" t="n">
        <v>333</v>
      </c>
      <c r="AM17" s="25" t="n">
        <v>788</v>
      </c>
      <c r="AN17" s="25" t="n">
        <v>-1646</v>
      </c>
      <c r="AO17" s="25" t="n">
        <v>-4901</v>
      </c>
      <c r="AP17" s="25" t="n">
        <v>10697</v>
      </c>
    </row>
    <row r="18" customFormat="false" ht="15" hidden="false" customHeight="true" outlineLevel="0" collapsed="false">
      <c r="A18" s="26" t="s">
        <v>231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customFormat="false" ht="15" hidden="false" customHeight="true" outlineLevel="0" collapsed="false">
      <c r="A19" s="26" t="s">
        <v>232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 t="n">
        <v>6193</v>
      </c>
      <c r="AC19" s="25"/>
      <c r="AD19" s="25" t="n">
        <v>127</v>
      </c>
      <c r="AE19" s="25" t="n">
        <v>10011</v>
      </c>
      <c r="AF19" s="25" t="n">
        <v>1110</v>
      </c>
      <c r="AG19" s="25" t="n">
        <v>306</v>
      </c>
      <c r="AH19" s="25"/>
      <c r="AI19" s="25"/>
      <c r="AJ19" s="25"/>
      <c r="AK19" s="25"/>
      <c r="AL19" s="25"/>
      <c r="AM19" s="25"/>
      <c r="AN19" s="25"/>
      <c r="AO19" s="25"/>
      <c r="AP19" s="25"/>
    </row>
    <row r="20" customFormat="false" ht="15" hidden="false" customHeight="true" outlineLevel="0" collapsed="false">
      <c r="A20" s="26" t="s">
        <v>233</v>
      </c>
      <c r="AM20" s="25"/>
    </row>
    <row r="21" customFormat="false" ht="15" hidden="false" customHeight="true" outlineLevel="0" collapsed="false">
      <c r="A21" s="26" t="s">
        <v>234</v>
      </c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customFormat="false" ht="15" hidden="false" customHeight="true" outlineLevel="0" collapsed="false">
      <c r="A22" s="26" t="s">
        <v>235</v>
      </c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customFormat="false" ht="15" hidden="false" customHeight="true" outlineLevel="0" collapsed="false">
      <c r="A23" s="26" t="s">
        <v>236</v>
      </c>
      <c r="AB23" s="25"/>
    </row>
    <row r="24" customFormat="false" ht="15" hidden="false" customHeight="true" outlineLevel="0" collapsed="false">
      <c r="A24" s="26" t="s">
        <v>237</v>
      </c>
      <c r="AC24" s="25"/>
      <c r="AD24" s="25"/>
      <c r="AE24" s="25"/>
      <c r="AF24" s="25"/>
      <c r="AG24" s="25"/>
      <c r="AH24" s="25"/>
      <c r="AI24" s="25"/>
      <c r="AJ24" s="25"/>
      <c r="AM24" s="25"/>
    </row>
    <row r="25" customFormat="false" ht="15" hidden="false" customHeight="true" outlineLevel="0" collapsed="false">
      <c r="A25" s="26" t="s">
        <v>238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 t="n">
        <v>915</v>
      </c>
      <c r="AA25" s="25" t="n">
        <v>910</v>
      </c>
      <c r="AB25" s="25" t="n">
        <v>504</v>
      </c>
      <c r="AC25" s="25" t="n">
        <v>288</v>
      </c>
      <c r="AD25" s="25" t="n">
        <v>61</v>
      </c>
      <c r="AE25" s="25" t="n">
        <v>346</v>
      </c>
      <c r="AF25" s="25" t="n">
        <v>-431</v>
      </c>
      <c r="AG25" s="25" t="n">
        <v>823</v>
      </c>
      <c r="AH25" s="25" t="n">
        <v>1416</v>
      </c>
      <c r="AI25" s="25" t="n">
        <v>729</v>
      </c>
      <c r="AJ25" s="25" t="n">
        <v>77</v>
      </c>
      <c r="AK25" s="25" t="n">
        <v>1186</v>
      </c>
      <c r="AL25" s="25" t="n">
        <v>333</v>
      </c>
      <c r="AM25" s="25"/>
      <c r="AN25" s="25"/>
      <c r="AO25" s="25"/>
      <c r="AP25" s="25"/>
    </row>
    <row r="26" customFormat="false" ht="15" hidden="false" customHeight="true" outlineLevel="0" collapsed="false">
      <c r="A26" s="23" t="s">
        <v>239</v>
      </c>
      <c r="B26" s="25" t="n">
        <v>66</v>
      </c>
      <c r="C26" s="25" t="n">
        <v>121.4</v>
      </c>
      <c r="D26" s="25" t="n">
        <v>183.7</v>
      </c>
      <c r="E26" s="25" t="n">
        <v>250.8</v>
      </c>
      <c r="F26" s="25" t="n">
        <v>410.6</v>
      </c>
      <c r="G26" s="25" t="n">
        <v>670.6</v>
      </c>
      <c r="H26" s="25" t="n">
        <v>1041.3</v>
      </c>
      <c r="I26" s="25" t="n">
        <v>1401</v>
      </c>
      <c r="J26" s="25" t="n">
        <v>1722</v>
      </c>
      <c r="K26" s="25" t="n">
        <v>2167</v>
      </c>
      <c r="L26" s="25" t="n">
        <v>3379</v>
      </c>
      <c r="M26" s="25" t="n">
        <v>5314</v>
      </c>
      <c r="N26" s="25" t="n">
        <v>7117</v>
      </c>
      <c r="O26" s="25" t="n">
        <v>11891</v>
      </c>
      <c r="P26" s="25" t="n">
        <v>14275</v>
      </c>
      <c r="Q26" s="25" t="n">
        <v>11525</v>
      </c>
      <c r="R26" s="25" t="n">
        <v>11513</v>
      </c>
      <c r="S26" s="25" t="n">
        <v>11054</v>
      </c>
      <c r="T26" s="25" t="n">
        <v>12196</v>
      </c>
      <c r="U26" s="25" t="n">
        <v>16628</v>
      </c>
      <c r="V26" s="25" t="n">
        <v>18262</v>
      </c>
      <c r="W26" s="25" t="n">
        <v>20101</v>
      </c>
      <c r="X26" s="25" t="n">
        <v>23814</v>
      </c>
      <c r="Y26" s="25" t="n">
        <v>19821</v>
      </c>
      <c r="Z26" s="25" t="n">
        <v>25013</v>
      </c>
      <c r="AA26" s="25" t="n">
        <v>28071</v>
      </c>
      <c r="AB26" s="25" t="n">
        <v>22267</v>
      </c>
      <c r="AC26" s="25" t="n">
        <v>27052</v>
      </c>
      <c r="AD26" s="25" t="n">
        <v>27820</v>
      </c>
      <c r="AE26" s="25" t="n">
        <v>18507</v>
      </c>
      <c r="AF26" s="25" t="n">
        <v>25639</v>
      </c>
      <c r="AG26" s="25" t="n">
        <v>29901</v>
      </c>
      <c r="AH26" s="25" t="n">
        <v>36474</v>
      </c>
      <c r="AI26" s="25" t="n">
        <v>43688</v>
      </c>
      <c r="AJ26" s="25" t="n">
        <v>53036</v>
      </c>
      <c r="AK26" s="25" t="n">
        <v>71102</v>
      </c>
      <c r="AL26" s="25" t="n">
        <v>83716</v>
      </c>
      <c r="AM26" s="25" t="n">
        <v>89311</v>
      </c>
      <c r="AN26" s="25" t="n">
        <v>107787</v>
      </c>
      <c r="AO26" s="25" t="n">
        <v>123627</v>
      </c>
      <c r="AP26" s="25" t="n">
        <v>165934</v>
      </c>
    </row>
    <row r="27" customFormat="false" ht="15" hidden="false" customHeight="true" outlineLevel="0" collapsed="false">
      <c r="A27" s="23" t="s">
        <v>240</v>
      </c>
      <c r="B27" s="25" t="n">
        <v>26.7</v>
      </c>
      <c r="C27" s="25" t="n">
        <v>49.5</v>
      </c>
      <c r="D27" s="25" t="n">
        <v>59.8</v>
      </c>
      <c r="E27" s="25" t="n">
        <v>80.3</v>
      </c>
      <c r="F27" s="25" t="n">
        <v>131.4</v>
      </c>
      <c r="G27" s="25" t="n">
        <v>207.9</v>
      </c>
      <c r="H27" s="25" t="n">
        <v>333.2</v>
      </c>
      <c r="I27" s="25" t="n">
        <v>448</v>
      </c>
      <c r="J27" s="25" t="n">
        <v>576</v>
      </c>
      <c r="K27" s="25" t="n">
        <v>714</v>
      </c>
      <c r="L27" s="25" t="n">
        <v>1184</v>
      </c>
      <c r="M27" s="25" t="n">
        <v>1860</v>
      </c>
      <c r="N27" s="25" t="n">
        <v>2627</v>
      </c>
      <c r="O27" s="25" t="n">
        <v>4106</v>
      </c>
      <c r="P27" s="25" t="n">
        <v>4854</v>
      </c>
      <c r="Q27" s="25" t="n">
        <v>3804</v>
      </c>
      <c r="R27" s="25" t="n">
        <v>3684</v>
      </c>
      <c r="S27" s="25" t="n">
        <v>3523</v>
      </c>
      <c r="T27" s="25" t="n">
        <v>4028</v>
      </c>
      <c r="U27" s="25" t="n">
        <v>4374</v>
      </c>
      <c r="V27" s="25" t="n">
        <v>5663</v>
      </c>
      <c r="W27" s="25" t="n">
        <v>6036</v>
      </c>
      <c r="X27" s="25" t="n">
        <v>6133</v>
      </c>
      <c r="Y27" s="25" t="n">
        <v>5252</v>
      </c>
      <c r="Z27" s="25" t="n">
        <v>6253</v>
      </c>
      <c r="AA27" s="25" t="n">
        <v>4921</v>
      </c>
      <c r="AB27" s="25" t="n">
        <v>5289</v>
      </c>
      <c r="AC27" s="25" t="n">
        <v>5189</v>
      </c>
      <c r="AD27" s="25" t="n">
        <v>5746</v>
      </c>
      <c r="AE27" s="25" t="n">
        <v>6314</v>
      </c>
      <c r="AF27" s="25" t="n">
        <v>5100</v>
      </c>
      <c r="AG27" s="25" t="n">
        <v>4412</v>
      </c>
      <c r="AH27" s="25" t="n">
        <v>19903</v>
      </c>
      <c r="AI27" s="25" t="n">
        <v>4448</v>
      </c>
      <c r="AJ27" s="25" t="n">
        <v>8755</v>
      </c>
      <c r="AK27" s="25" t="n">
        <v>9831</v>
      </c>
      <c r="AL27" s="25" t="n">
        <v>10978</v>
      </c>
      <c r="AM27" s="25" t="n">
        <v>16950</v>
      </c>
      <c r="AN27" s="25" t="n">
        <v>19651</v>
      </c>
      <c r="AO27" s="25" t="n">
        <v>21795</v>
      </c>
      <c r="AP27" s="25" t="n">
        <v>32185</v>
      </c>
    </row>
    <row r="28" customFormat="false" ht="15" hidden="false" customHeight="true" outlineLevel="0" collapsed="false">
      <c r="A28" s="23" t="s">
        <v>241</v>
      </c>
      <c r="B28" s="25" t="n">
        <v>39.3</v>
      </c>
      <c r="C28" s="25" t="n">
        <v>71.878</v>
      </c>
      <c r="D28" s="25" t="n">
        <v>123.908</v>
      </c>
      <c r="E28" s="25" t="n">
        <v>170.538</v>
      </c>
      <c r="F28" s="25" t="n">
        <v>279.186</v>
      </c>
      <c r="G28" s="25" t="n">
        <v>462.743</v>
      </c>
      <c r="H28" s="25" t="n">
        <v>708.06</v>
      </c>
      <c r="I28" s="25" t="n">
        <v>953</v>
      </c>
      <c r="J28" s="25" t="n">
        <v>1146</v>
      </c>
      <c r="K28" s="25" t="n">
        <v>1453</v>
      </c>
      <c r="L28" s="25" t="n">
        <v>2195</v>
      </c>
      <c r="M28" s="25" t="n">
        <v>3439</v>
      </c>
      <c r="N28" s="25" t="n">
        <v>4462</v>
      </c>
      <c r="O28" s="25" t="n">
        <v>7757</v>
      </c>
      <c r="P28" s="25" t="n">
        <v>9408</v>
      </c>
      <c r="Q28" s="25" t="n">
        <v>7346</v>
      </c>
      <c r="R28" s="25" t="n">
        <v>7829</v>
      </c>
      <c r="S28" s="25" t="n">
        <v>7531</v>
      </c>
      <c r="T28" s="25" t="n">
        <v>8168</v>
      </c>
      <c r="U28" s="25" t="n">
        <v>12254</v>
      </c>
      <c r="V28" s="25" t="n">
        <v>12599</v>
      </c>
      <c r="W28" s="25" t="n">
        <v>14065</v>
      </c>
      <c r="X28" s="25" t="n">
        <v>17681</v>
      </c>
      <c r="Y28" s="25" t="n">
        <v>14569</v>
      </c>
      <c r="Z28" s="25" t="n">
        <v>18760</v>
      </c>
      <c r="AA28" s="25" t="n">
        <v>23150</v>
      </c>
      <c r="AB28" s="25" t="n">
        <v>16978</v>
      </c>
      <c r="AC28" s="25" t="n">
        <v>21863</v>
      </c>
      <c r="AD28" s="25" t="n">
        <v>22074</v>
      </c>
      <c r="AE28" s="25" t="n">
        <v>12193</v>
      </c>
      <c r="AF28" s="25" t="n">
        <v>16798</v>
      </c>
      <c r="AG28" s="25" t="n">
        <v>25489</v>
      </c>
      <c r="AH28" s="25" t="n">
        <v>16571</v>
      </c>
      <c r="AI28" s="25" t="n">
        <v>39240</v>
      </c>
      <c r="AJ28" s="25" t="n">
        <v>44281</v>
      </c>
      <c r="AK28" s="25" t="n">
        <v>61271</v>
      </c>
      <c r="AL28" s="25" t="n">
        <v>72738</v>
      </c>
      <c r="AM28" s="25" t="n">
        <v>72361</v>
      </c>
      <c r="AN28" s="25" t="n">
        <v>88136</v>
      </c>
      <c r="AO28" s="25" t="n">
        <v>101832</v>
      </c>
      <c r="AP28" s="25" t="n">
        <v>133749</v>
      </c>
    </row>
    <row r="29" customFormat="false" ht="15" hidden="false" customHeight="true" outlineLevel="0" collapsed="false">
      <c r="A29" s="26" t="s">
        <v>242</v>
      </c>
      <c r="B29" s="25" t="n">
        <v>39.3</v>
      </c>
      <c r="C29" s="25" t="n">
        <v>71.9</v>
      </c>
      <c r="D29" s="25" t="n">
        <v>123.9</v>
      </c>
      <c r="E29" s="25" t="n">
        <v>170.5</v>
      </c>
      <c r="F29" s="25" t="n">
        <v>279.2</v>
      </c>
      <c r="G29" s="25" t="n">
        <v>462.7</v>
      </c>
      <c r="H29" s="25" t="n">
        <v>708.1</v>
      </c>
      <c r="I29" s="25" t="n">
        <v>953</v>
      </c>
      <c r="J29" s="25" t="n">
        <v>1146</v>
      </c>
      <c r="K29" s="25" t="n">
        <v>1453</v>
      </c>
      <c r="L29" s="25" t="n">
        <v>2195</v>
      </c>
      <c r="M29" s="25" t="n">
        <v>3454</v>
      </c>
      <c r="N29" s="25" t="n">
        <v>4490</v>
      </c>
      <c r="O29" s="25" t="n">
        <v>7785</v>
      </c>
      <c r="P29" s="25" t="n">
        <v>9421</v>
      </c>
      <c r="Q29" s="25" t="n">
        <v>7346</v>
      </c>
      <c r="R29" s="25" t="n">
        <v>7829</v>
      </c>
      <c r="S29" s="25" t="n">
        <v>7531</v>
      </c>
      <c r="T29" s="25" t="n">
        <v>8168</v>
      </c>
      <c r="U29" s="25" t="n">
        <v>12254</v>
      </c>
      <c r="V29" s="25" t="n">
        <v>12599</v>
      </c>
      <c r="W29" s="25" t="n">
        <v>14065</v>
      </c>
      <c r="X29" s="25" t="n">
        <v>17681</v>
      </c>
      <c r="Y29" s="25" t="n">
        <v>14569</v>
      </c>
      <c r="Z29" s="25" t="n">
        <v>18760</v>
      </c>
      <c r="AA29" s="25" t="n">
        <v>23150</v>
      </c>
      <c r="AB29" s="25" t="n">
        <v>16978</v>
      </c>
      <c r="AC29" s="25" t="n">
        <v>21863</v>
      </c>
      <c r="AD29" s="25" t="n">
        <v>22074</v>
      </c>
      <c r="AE29" s="25" t="n">
        <v>12193</v>
      </c>
      <c r="AF29" s="25" t="n">
        <v>20539</v>
      </c>
      <c r="AG29" s="25" t="n">
        <v>25489</v>
      </c>
      <c r="AH29" s="25" t="n">
        <v>16571</v>
      </c>
      <c r="AI29" s="25" t="n">
        <v>39240</v>
      </c>
      <c r="AJ29" s="25" t="n">
        <v>44281</v>
      </c>
      <c r="AK29" s="25" t="n">
        <v>61271</v>
      </c>
      <c r="AL29" s="25" t="n">
        <v>72738</v>
      </c>
      <c r="AM29" s="25" t="n">
        <v>72361</v>
      </c>
      <c r="AN29" s="25" t="n">
        <v>88136</v>
      </c>
      <c r="AO29" s="25" t="n">
        <v>101832</v>
      </c>
      <c r="AP29" s="25" t="n">
        <v>133749</v>
      </c>
    </row>
    <row r="30" customFormat="false" ht="15" hidden="false" customHeight="true" outlineLevel="0" collapsed="false">
      <c r="A30" s="26" t="s">
        <v>243</v>
      </c>
      <c r="B30" s="25" t="n">
        <v>39.3</v>
      </c>
      <c r="C30" s="25" t="n">
        <v>71.9</v>
      </c>
      <c r="D30" s="25" t="n">
        <v>123.9</v>
      </c>
      <c r="E30" s="25" t="n">
        <v>170.5</v>
      </c>
      <c r="F30" s="25" t="n">
        <v>279.2</v>
      </c>
      <c r="G30" s="25" t="n">
        <v>462.7</v>
      </c>
      <c r="H30" s="25" t="n">
        <v>708.1</v>
      </c>
      <c r="I30" s="25" t="n">
        <v>953</v>
      </c>
      <c r="J30" s="25" t="n">
        <v>1146</v>
      </c>
      <c r="K30" s="25" t="n">
        <v>1453</v>
      </c>
      <c r="L30" s="25" t="n">
        <v>2195</v>
      </c>
      <c r="M30" s="25" t="n">
        <v>3454</v>
      </c>
      <c r="N30" s="25" t="n">
        <v>4490</v>
      </c>
      <c r="O30" s="25" t="n">
        <v>7785</v>
      </c>
      <c r="P30" s="25" t="n">
        <v>9421</v>
      </c>
      <c r="Q30" s="25" t="n">
        <v>7346</v>
      </c>
      <c r="R30" s="25" t="n">
        <v>7829</v>
      </c>
      <c r="S30" s="25" t="n">
        <v>7531</v>
      </c>
      <c r="T30" s="25" t="n">
        <v>8168</v>
      </c>
      <c r="U30" s="25" t="n">
        <v>12254</v>
      </c>
      <c r="V30" s="25" t="n">
        <v>12599</v>
      </c>
      <c r="W30" s="25" t="n">
        <v>14065</v>
      </c>
      <c r="X30" s="25" t="n">
        <v>17681</v>
      </c>
      <c r="Y30" s="25" t="n">
        <v>14569</v>
      </c>
      <c r="Z30" s="25" t="n">
        <v>18760</v>
      </c>
      <c r="AA30" s="25" t="n">
        <v>23150</v>
      </c>
      <c r="AB30" s="25" t="n">
        <v>16978</v>
      </c>
      <c r="AC30" s="25" t="n">
        <v>21863</v>
      </c>
      <c r="AD30" s="25" t="n">
        <v>22074</v>
      </c>
      <c r="AE30" s="25" t="n">
        <v>12193</v>
      </c>
      <c r="AF30" s="25" t="n">
        <v>20539</v>
      </c>
      <c r="AG30" s="25" t="n">
        <v>25489</v>
      </c>
      <c r="AH30" s="25" t="n">
        <v>16571</v>
      </c>
      <c r="AI30" s="25" t="n">
        <v>39240</v>
      </c>
      <c r="AJ30" s="25" t="n">
        <v>44281</v>
      </c>
      <c r="AK30" s="25" t="n">
        <v>61271</v>
      </c>
      <c r="AL30" s="25" t="n">
        <v>72738</v>
      </c>
      <c r="AM30" s="25" t="n">
        <v>72361</v>
      </c>
      <c r="AN30" s="25" t="n">
        <v>88136</v>
      </c>
      <c r="AO30" s="25" t="n">
        <v>101832</v>
      </c>
      <c r="AP30" s="25" t="n">
        <v>133749</v>
      </c>
    </row>
    <row r="31" customFormat="false" ht="15" hidden="false" customHeight="true" outlineLevel="0" collapsed="false">
      <c r="A31" s="26" t="s">
        <v>244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 t="n">
        <v>18760</v>
      </c>
      <c r="AA31" s="25" t="n">
        <v>23150</v>
      </c>
      <c r="AB31" s="25" t="n">
        <v>16978</v>
      </c>
      <c r="AC31" s="25" t="n">
        <v>21863</v>
      </c>
      <c r="AD31" s="25" t="n">
        <v>22074</v>
      </c>
      <c r="AE31" s="25" t="n">
        <v>12193</v>
      </c>
      <c r="AF31" s="25" t="n">
        <v>16798</v>
      </c>
      <c r="AG31" s="25" t="n">
        <v>21204</v>
      </c>
      <c r="AH31" s="25" t="n">
        <v>16571</v>
      </c>
      <c r="AI31" s="25" t="n">
        <v>39240</v>
      </c>
      <c r="AJ31" s="25" t="n">
        <v>44281</v>
      </c>
      <c r="AK31" s="25" t="n">
        <v>61271</v>
      </c>
      <c r="AL31" s="25" t="n">
        <v>72738</v>
      </c>
      <c r="AM31" s="25" t="n">
        <v>72361</v>
      </c>
      <c r="AN31" s="25" t="n">
        <v>88136</v>
      </c>
      <c r="AO31" s="25" t="n">
        <v>101832</v>
      </c>
      <c r="AP31" s="25" t="n">
        <v>133749</v>
      </c>
    </row>
    <row r="32" customFormat="false" ht="15" hidden="false" customHeight="true" outlineLevel="0" collapsed="false">
      <c r="A32" s="26" t="s">
        <v>245</v>
      </c>
      <c r="S32" s="25"/>
      <c r="T32" s="25"/>
      <c r="U32" s="25"/>
      <c r="V32" s="25"/>
      <c r="W32" s="25"/>
      <c r="Y32" s="25"/>
      <c r="Z32" s="25"/>
      <c r="AA32" s="25"/>
      <c r="AB32" s="25"/>
      <c r="AC32" s="25"/>
      <c r="AK32" s="25"/>
      <c r="AL32" s="25"/>
      <c r="AM32" s="25"/>
      <c r="AN32" s="25"/>
      <c r="AO32" s="25"/>
    </row>
    <row r="33" customFormat="false" ht="15" hidden="false" customHeight="true" outlineLevel="0" collapsed="false">
      <c r="A33" s="26" t="s">
        <v>246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customFormat="false" ht="15" hidden="false" customHeight="true" outlineLevel="0" collapsed="false">
      <c r="A34" s="26" t="s">
        <v>247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customFormat="false" ht="15" hidden="false" customHeight="true" outlineLevel="0" collapsed="false">
      <c r="A35" s="26" t="s">
        <v>248</v>
      </c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249</v>
      </c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250</v>
      </c>
      <c r="AK37" s="25"/>
      <c r="AL37" s="25"/>
      <c r="AM37" s="25"/>
      <c r="AN37" s="25"/>
      <c r="AO37" s="25"/>
    </row>
    <row r="38" customFormat="false" ht="15" hidden="false" customHeight="true" outlineLevel="0" collapsed="false">
      <c r="A38" s="23" t="s">
        <v>251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 customFormat="false" ht="15" hidden="false" customHeight="true" outlineLevel="0" collapsed="false">
      <c r="A39" s="23" t="s">
        <v>252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3" t="s">
        <v>253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customFormat="false" ht="15" hidden="false" customHeight="true" outlineLevel="0" collapsed="false">
      <c r="A41" s="23" t="s">
        <v>254</v>
      </c>
      <c r="B41" s="29" t="n">
        <v>0.005352</v>
      </c>
      <c r="C41" s="29" t="n">
        <v>0.009997</v>
      </c>
      <c r="D41" s="29" t="n">
        <v>0.020001</v>
      </c>
      <c r="E41" s="29" t="n">
        <v>0.025006</v>
      </c>
      <c r="F41" s="29" t="n">
        <v>0.034998</v>
      </c>
      <c r="G41" s="29" t="n">
        <v>0.055005</v>
      </c>
      <c r="H41" s="29" t="n">
        <v>0.079995</v>
      </c>
      <c r="I41" s="29" t="n">
        <v>0.1</v>
      </c>
      <c r="J41" s="29" t="n">
        <v>0.117418</v>
      </c>
      <c r="K41" s="29" t="n">
        <v>0.144837</v>
      </c>
      <c r="L41" s="29" t="n">
        <v>0.215</v>
      </c>
      <c r="M41" s="29" t="n">
        <v>0.33</v>
      </c>
      <c r="N41" s="29" t="n">
        <v>0.416076</v>
      </c>
      <c r="O41" s="29" t="n">
        <v>0.707497</v>
      </c>
      <c r="P41" s="29" t="n">
        <v>0.85009</v>
      </c>
      <c r="Q41" s="29" t="n">
        <v>0.658952</v>
      </c>
      <c r="R41" s="29" t="n">
        <v>0.704934</v>
      </c>
      <c r="S41" s="29" t="n">
        <v>0.69206</v>
      </c>
      <c r="T41" s="29" t="n">
        <v>0.749771</v>
      </c>
      <c r="U41" s="29" t="n">
        <v>1.123602</v>
      </c>
      <c r="V41" s="29" t="n">
        <v>1.196373</v>
      </c>
      <c r="W41" s="29" t="n">
        <v>1.422719</v>
      </c>
      <c r="X41" s="29" t="n">
        <v>1.867054</v>
      </c>
      <c r="Y41" s="29" t="n">
        <v>1.619498</v>
      </c>
      <c r="Z41" s="29" t="n">
        <v>2.10149</v>
      </c>
      <c r="AA41" s="29" t="n">
        <v>2.694053</v>
      </c>
      <c r="AB41" s="29" t="n">
        <v>1.996003</v>
      </c>
      <c r="AC41" s="29" t="n">
        <v>2.581228</v>
      </c>
      <c r="AD41" s="29" t="n">
        <v>2.62817</v>
      </c>
      <c r="AE41" s="29" t="n">
        <v>1.477223</v>
      </c>
      <c r="AF41" s="29" t="n">
        <v>2.096343</v>
      </c>
      <c r="AG41" s="29" t="n">
        <v>3.254469</v>
      </c>
      <c r="AH41" s="29" t="n">
        <v>2.126123</v>
      </c>
      <c r="AI41" s="29" t="n">
        <v>5.061267</v>
      </c>
      <c r="AJ41" s="29" t="n">
        <v>5.763504</v>
      </c>
      <c r="AK41" s="29" t="n">
        <v>8.053496</v>
      </c>
      <c r="AL41" s="29" t="n">
        <v>9.64695</v>
      </c>
      <c r="AM41" s="29" t="n">
        <v>9.684288</v>
      </c>
      <c r="AN41" s="29" t="n">
        <v>11.800241</v>
      </c>
      <c r="AO41" s="29" t="n">
        <v>13.641259</v>
      </c>
      <c r="AP41" s="29" t="n">
        <v>17.945659</v>
      </c>
    </row>
    <row r="42" customFormat="false" ht="15" hidden="false" customHeight="true" outlineLevel="0" collapsed="false">
      <c r="A42" s="23" t="s">
        <v>255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 customFormat="false" ht="15" hidden="false" customHeight="true" outlineLevel="0" collapsed="false">
      <c r="A43" s="23" t="s">
        <v>256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 customFormat="false" ht="15" hidden="false" customHeight="true" outlineLevel="0" collapsed="false">
      <c r="A44" s="23" t="s">
        <v>257</v>
      </c>
      <c r="B44" s="25" t="n">
        <v>60.9</v>
      </c>
      <c r="C44" s="25" t="n">
        <v>126.9</v>
      </c>
      <c r="D44" s="25" t="n">
        <v>187.4</v>
      </c>
      <c r="E44" s="25" t="n">
        <v>242.2</v>
      </c>
      <c r="F44" s="25" t="n">
        <v>393.2</v>
      </c>
      <c r="G44" s="25" t="n">
        <v>649.8</v>
      </c>
      <c r="H44" s="25" t="n">
        <v>996</v>
      </c>
      <c r="I44" s="25" t="n">
        <v>1326</v>
      </c>
      <c r="J44" s="25" t="n">
        <v>1726</v>
      </c>
      <c r="K44" s="25" t="n">
        <v>2038</v>
      </c>
      <c r="L44" s="25" t="n">
        <v>3078</v>
      </c>
      <c r="M44" s="25" t="n">
        <v>4871</v>
      </c>
      <c r="N44" s="25" t="n">
        <v>6710</v>
      </c>
      <c r="O44" s="25" t="n">
        <v>10043</v>
      </c>
      <c r="P44" s="25" t="n">
        <v>11006</v>
      </c>
      <c r="Q44" s="25" t="n">
        <v>11720</v>
      </c>
      <c r="R44" s="25" t="n">
        <v>11910</v>
      </c>
      <c r="S44" s="25" t="n">
        <v>9545</v>
      </c>
      <c r="T44" s="25" t="n">
        <v>9034</v>
      </c>
      <c r="U44" s="25" t="n">
        <v>14561</v>
      </c>
      <c r="V44" s="25" t="n">
        <v>16472</v>
      </c>
      <c r="W44" s="25" t="n">
        <v>18438</v>
      </c>
      <c r="X44" s="25" t="n">
        <v>22271</v>
      </c>
      <c r="Y44" s="25" t="n">
        <v>20363</v>
      </c>
      <c r="Z44" s="25" t="n">
        <v>24098</v>
      </c>
      <c r="AA44" s="25" t="n">
        <v>27161</v>
      </c>
      <c r="AB44" s="25" t="n">
        <v>21763</v>
      </c>
      <c r="AC44" s="25" t="n">
        <v>26764</v>
      </c>
      <c r="AD44" s="25" t="n">
        <v>27759</v>
      </c>
      <c r="AE44" s="25" t="n">
        <v>18161</v>
      </c>
      <c r="AF44" s="25" t="n">
        <v>26078</v>
      </c>
      <c r="AG44" s="25" t="n">
        <v>29025</v>
      </c>
      <c r="AH44" s="25" t="n">
        <v>35058</v>
      </c>
      <c r="AI44" s="25" t="n">
        <v>42959</v>
      </c>
      <c r="AJ44" s="25" t="n">
        <v>52959</v>
      </c>
      <c r="AK44" s="25" t="n">
        <v>69916</v>
      </c>
      <c r="AL44" s="25" t="n">
        <v>83383</v>
      </c>
      <c r="AM44" s="25" t="n">
        <v>88523</v>
      </c>
      <c r="AN44" s="25" t="n">
        <v>109433</v>
      </c>
      <c r="AO44" s="25" t="n">
        <v>128528</v>
      </c>
      <c r="AP44" s="25" t="n">
        <v>155237</v>
      </c>
    </row>
    <row r="45" customFormat="false" ht="15" hidden="false" customHeight="true" outlineLevel="0" collapsed="false">
      <c r="A45" s="23" t="s">
        <v>258</v>
      </c>
      <c r="B45" s="25" t="n">
        <v>101.5</v>
      </c>
      <c r="C45" s="25" t="n">
        <v>152.7</v>
      </c>
      <c r="D45" s="25" t="n">
        <v>271.4</v>
      </c>
      <c r="E45" s="25" t="n">
        <v>381.3</v>
      </c>
      <c r="F45" s="25" t="n">
        <v>583.8</v>
      </c>
      <c r="G45" s="25" t="n">
        <v>906.8</v>
      </c>
      <c r="H45" s="25" t="n">
        <v>1408.6</v>
      </c>
      <c r="I45" s="25" t="n">
        <v>1945</v>
      </c>
      <c r="J45" s="25" t="n">
        <v>2397</v>
      </c>
      <c r="K45" s="25" t="n">
        <v>3291</v>
      </c>
      <c r="L45" s="25" t="n">
        <v>4885</v>
      </c>
      <c r="M45" s="25" t="n">
        <v>5452</v>
      </c>
      <c r="N45" s="25" t="n">
        <v>7116</v>
      </c>
      <c r="O45" s="25" t="n">
        <v>7900</v>
      </c>
      <c r="P45" s="25" t="n">
        <v>8948</v>
      </c>
      <c r="Q45" s="25" t="n">
        <v>10121</v>
      </c>
      <c r="R45" s="25" t="n">
        <v>11264</v>
      </c>
      <c r="S45" s="25" t="n">
        <v>16583</v>
      </c>
      <c r="T45" s="25" t="n">
        <v>21085</v>
      </c>
      <c r="U45" s="25" t="n">
        <v>19196</v>
      </c>
      <c r="V45" s="25" t="n">
        <v>20160</v>
      </c>
      <c r="W45" s="25" t="n">
        <v>21991</v>
      </c>
      <c r="X45" s="25" t="n">
        <v>26551</v>
      </c>
      <c r="Y45" s="25" t="n">
        <v>25919</v>
      </c>
      <c r="Z45" s="25" t="n">
        <v>25991</v>
      </c>
      <c r="AA45" s="25" t="n">
        <v>27205</v>
      </c>
      <c r="AB45" s="25" t="n">
        <v>28237</v>
      </c>
      <c r="AC45" s="25" t="n">
        <v>30700</v>
      </c>
      <c r="AD45" s="25" t="n">
        <v>31869</v>
      </c>
      <c r="AE45" s="25" t="n">
        <v>42381</v>
      </c>
      <c r="AF45" s="25" t="n">
        <v>32296</v>
      </c>
      <c r="AG45" s="25" t="n">
        <v>32979</v>
      </c>
      <c r="AH45" s="25" t="n">
        <v>36949</v>
      </c>
      <c r="AI45" s="25" t="n">
        <v>39974</v>
      </c>
      <c r="AJ45" s="25" t="n">
        <v>43978</v>
      </c>
      <c r="AK45" s="25" t="n">
        <v>45940</v>
      </c>
      <c r="AL45" s="25" t="n">
        <v>52237</v>
      </c>
      <c r="AM45" s="25" t="n">
        <v>57529</v>
      </c>
      <c r="AN45" s="25" t="n">
        <v>61575</v>
      </c>
      <c r="AO45" s="25" t="n">
        <v>65365</v>
      </c>
      <c r="AP45" s="25" t="n">
        <v>70228</v>
      </c>
    </row>
    <row r="46" customFormat="false" ht="15" hidden="false" customHeight="true" outlineLevel="0" collapsed="false">
      <c r="A46" s="23" t="s">
        <v>259</v>
      </c>
      <c r="B46" s="25" t="n">
        <v>39.3</v>
      </c>
      <c r="C46" s="25" t="n">
        <v>71.9</v>
      </c>
      <c r="D46" s="25" t="n">
        <v>123.9</v>
      </c>
      <c r="E46" s="25" t="n">
        <v>170.5</v>
      </c>
      <c r="F46" s="25" t="n">
        <v>279.2</v>
      </c>
      <c r="G46" s="25" t="n">
        <v>462.7</v>
      </c>
      <c r="H46" s="25" t="n">
        <v>708.1</v>
      </c>
      <c r="I46" s="25" t="n">
        <v>953</v>
      </c>
      <c r="J46" s="25" t="n">
        <v>1146</v>
      </c>
      <c r="K46" s="25" t="n">
        <v>1453</v>
      </c>
      <c r="L46" s="25" t="n">
        <v>2195</v>
      </c>
      <c r="M46" s="25" t="n">
        <v>3454</v>
      </c>
      <c r="N46" s="25" t="n">
        <v>4490</v>
      </c>
      <c r="O46" s="25" t="n">
        <v>7785</v>
      </c>
      <c r="P46" s="25" t="n">
        <v>9421</v>
      </c>
      <c r="Q46" s="25" t="n">
        <v>7346</v>
      </c>
      <c r="R46" s="25" t="n">
        <v>7829</v>
      </c>
      <c r="S46" s="25" t="n">
        <v>7531</v>
      </c>
      <c r="T46" s="25" t="n">
        <v>8168</v>
      </c>
      <c r="U46" s="25" t="n">
        <v>12254</v>
      </c>
      <c r="V46" s="25" t="n">
        <v>12599</v>
      </c>
      <c r="W46" s="25" t="n">
        <v>14065</v>
      </c>
      <c r="X46" s="25" t="n">
        <v>17681</v>
      </c>
      <c r="Y46" s="25" t="n">
        <v>14569</v>
      </c>
      <c r="Z46" s="25" t="n">
        <v>18760</v>
      </c>
      <c r="AA46" s="25" t="n">
        <v>23150</v>
      </c>
      <c r="AB46" s="25" t="n">
        <v>16978</v>
      </c>
      <c r="AC46" s="25" t="n">
        <v>21863</v>
      </c>
      <c r="AD46" s="25" t="n">
        <v>22074</v>
      </c>
      <c r="AE46" s="25" t="n">
        <v>12193</v>
      </c>
      <c r="AF46" s="25" t="n">
        <v>20539</v>
      </c>
      <c r="AG46" s="25" t="n">
        <v>25489</v>
      </c>
      <c r="AH46" s="25" t="n">
        <v>16571</v>
      </c>
      <c r="AI46" s="25" t="n">
        <v>39240</v>
      </c>
      <c r="AJ46" s="25" t="n">
        <v>44281</v>
      </c>
      <c r="AK46" s="25" t="n">
        <v>61271</v>
      </c>
      <c r="AL46" s="25" t="n">
        <v>72738</v>
      </c>
      <c r="AM46" s="25" t="n">
        <v>72361</v>
      </c>
      <c r="AN46" s="25" t="n">
        <v>88136</v>
      </c>
      <c r="AO46" s="25" t="n">
        <v>101832</v>
      </c>
      <c r="AP46" s="25" t="n">
        <v>133749</v>
      </c>
    </row>
    <row r="47" customFormat="false" ht="15" hidden="false" customHeight="true" outlineLevel="0" collapsed="false">
      <c r="A47" s="23" t="s">
        <v>260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3" t="s">
        <v>261</v>
      </c>
      <c r="O48" s="25"/>
      <c r="P48" s="25"/>
      <c r="Q48" s="25"/>
      <c r="R48" s="25"/>
      <c r="S48" s="25"/>
      <c r="T48" s="25"/>
      <c r="U48" s="25"/>
      <c r="V48" s="25"/>
      <c r="W48" s="25"/>
      <c r="AF48" s="27" t="n">
        <v>78</v>
      </c>
      <c r="AG48" s="27" t="n">
        <v>1182</v>
      </c>
      <c r="AH48" s="27" t="n">
        <v>1522</v>
      </c>
      <c r="AI48" s="27" t="n">
        <v>812</v>
      </c>
      <c r="AJ48" s="27" t="n">
        <v>2680</v>
      </c>
      <c r="AK48" s="27" t="n">
        <v>2131</v>
      </c>
      <c r="AL48" s="27" t="n">
        <v>2094</v>
      </c>
      <c r="AM48" s="27" t="n">
        <v>1041</v>
      </c>
      <c r="AN48" s="27" t="n">
        <v>3157</v>
      </c>
      <c r="AO48" s="27" t="n">
        <v>767</v>
      </c>
      <c r="AP48" s="27" t="n">
        <v>3301</v>
      </c>
    </row>
    <row r="49" customFormat="false" ht="15" hidden="false" customHeight="true" outlineLevel="0" collapsed="false">
      <c r="A49" s="23" t="s">
        <v>262</v>
      </c>
      <c r="B49" s="27" t="n">
        <v>0</v>
      </c>
      <c r="C49" s="27" t="n">
        <v>0</v>
      </c>
      <c r="D49" s="27" t="n">
        <v>0</v>
      </c>
      <c r="E49" s="27" t="n">
        <v>0</v>
      </c>
      <c r="F49" s="27" t="n">
        <v>0</v>
      </c>
      <c r="G49" s="27" t="n">
        <v>0</v>
      </c>
      <c r="H49" s="27" t="n">
        <v>0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0</v>
      </c>
      <c r="N49" s="25" t="n">
        <v>0</v>
      </c>
      <c r="O49" s="25" t="n">
        <v>0</v>
      </c>
      <c r="P49" s="25" t="n">
        <v>0</v>
      </c>
      <c r="Q49" s="25" t="n">
        <v>0</v>
      </c>
      <c r="R49" s="25" t="n">
        <v>0</v>
      </c>
      <c r="S49" s="25" t="n">
        <v>0</v>
      </c>
      <c r="T49" s="25" t="n">
        <v>0</v>
      </c>
      <c r="U49" s="25" t="n">
        <v>0</v>
      </c>
      <c r="V49" s="25" t="n">
        <v>0</v>
      </c>
      <c r="W49" s="25" t="n">
        <v>0</v>
      </c>
      <c r="X49" s="25" t="n">
        <v>106</v>
      </c>
      <c r="Y49" s="25" t="n">
        <v>38</v>
      </c>
      <c r="Z49" s="25" t="n">
        <v>151</v>
      </c>
      <c r="AA49" s="25" t="n">
        <v>295</v>
      </c>
      <c r="AB49" s="25" t="n">
        <v>380</v>
      </c>
      <c r="AC49" s="25" t="n">
        <v>429</v>
      </c>
      <c r="AD49" s="25" t="n">
        <v>597</v>
      </c>
      <c r="AE49" s="25" t="n">
        <v>781</v>
      </c>
      <c r="AF49" s="25" t="n">
        <v>1243</v>
      </c>
      <c r="AG49" s="25" t="n">
        <v>2222</v>
      </c>
      <c r="AH49" s="25" t="n">
        <v>2733</v>
      </c>
      <c r="AI49" s="25" t="n">
        <v>2686</v>
      </c>
      <c r="AJ49" s="25" t="n">
        <v>2591</v>
      </c>
      <c r="AK49" s="25" t="n">
        <v>2346</v>
      </c>
      <c r="AL49" s="25" t="n">
        <v>2063</v>
      </c>
      <c r="AM49" s="25" t="n">
        <v>1968</v>
      </c>
      <c r="AN49" s="25" t="n">
        <v>2935</v>
      </c>
      <c r="AO49" s="25" t="n">
        <v>2385</v>
      </c>
      <c r="AP49" s="25" t="n">
        <v>3051</v>
      </c>
    </row>
    <row r="50" customFormat="false" ht="15" hidden="false" customHeight="true" outlineLevel="0" collapsed="false">
      <c r="A50" s="23" t="s">
        <v>263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 t="n">
        <v>-1243</v>
      </c>
      <c r="AG50" s="25" t="n">
        <v>-2222</v>
      </c>
      <c r="AH50" s="25" t="n">
        <v>-2733</v>
      </c>
      <c r="AI50" s="25" t="n">
        <v>-2686</v>
      </c>
      <c r="AJ50" s="25" t="n">
        <v>-2591</v>
      </c>
      <c r="AK50" s="25" t="n">
        <v>-215</v>
      </c>
      <c r="AL50" s="25" t="n">
        <v>31</v>
      </c>
      <c r="AM50" s="25" t="n">
        <v>1026</v>
      </c>
      <c r="AN50" s="25" t="n">
        <v>222</v>
      </c>
      <c r="AO50" s="25" t="n">
        <v>262</v>
      </c>
      <c r="AP50" s="25" t="n">
        <v>250</v>
      </c>
    </row>
    <row r="51" customFormat="false" ht="15" hidden="false" customHeight="true" outlineLevel="0" collapsed="false">
      <c r="A51" s="23" t="s">
        <v>264</v>
      </c>
      <c r="B51" s="25" t="n">
        <v>60.9</v>
      </c>
      <c r="C51" s="25" t="n">
        <v>126.9</v>
      </c>
      <c r="D51" s="25" t="n">
        <v>187.4</v>
      </c>
      <c r="E51" s="25" t="n">
        <v>242.2</v>
      </c>
      <c r="F51" s="25" t="n">
        <v>393.2</v>
      </c>
      <c r="G51" s="25" t="n">
        <v>649.8</v>
      </c>
      <c r="H51" s="25" t="n">
        <v>996</v>
      </c>
      <c r="I51" s="25" t="n">
        <v>1326</v>
      </c>
      <c r="J51" s="25" t="n">
        <v>1726</v>
      </c>
      <c r="K51" s="25" t="n">
        <v>2038</v>
      </c>
      <c r="L51" s="25" t="n">
        <v>3078</v>
      </c>
      <c r="M51" s="25" t="n">
        <v>4871</v>
      </c>
      <c r="N51" s="25" t="n">
        <v>6710</v>
      </c>
      <c r="O51" s="25" t="n">
        <v>10127</v>
      </c>
      <c r="P51" s="25" t="n">
        <v>11006</v>
      </c>
      <c r="Q51" s="25" t="n">
        <v>11720</v>
      </c>
      <c r="R51" s="25" t="n">
        <v>11910</v>
      </c>
      <c r="S51" s="25" t="n">
        <v>9545</v>
      </c>
      <c r="T51" s="25" t="n">
        <v>9034</v>
      </c>
      <c r="U51" s="25" t="n">
        <v>14561</v>
      </c>
      <c r="V51" s="25" t="n">
        <v>16472</v>
      </c>
      <c r="W51" s="25" t="n">
        <v>18438</v>
      </c>
      <c r="X51" s="25" t="n">
        <v>23920</v>
      </c>
      <c r="Y51" s="25" t="n">
        <v>19859</v>
      </c>
      <c r="Z51" s="25" t="n">
        <v>25164</v>
      </c>
      <c r="AA51" s="25" t="n">
        <v>28366</v>
      </c>
      <c r="AB51" s="25" t="n">
        <v>22647</v>
      </c>
      <c r="AC51" s="25" t="n">
        <v>27481</v>
      </c>
      <c r="AD51" s="25" t="n">
        <v>28417</v>
      </c>
      <c r="AE51" s="25" t="n">
        <v>19288</v>
      </c>
      <c r="AF51" s="25" t="n">
        <v>26882</v>
      </c>
      <c r="AG51" s="25" t="n">
        <v>32123</v>
      </c>
      <c r="AH51" s="25" t="n">
        <v>39207</v>
      </c>
      <c r="AI51" s="25" t="n">
        <v>46374</v>
      </c>
      <c r="AJ51" s="25" t="n">
        <v>55627</v>
      </c>
      <c r="AK51" s="25" t="n">
        <v>73448</v>
      </c>
      <c r="AL51" s="25" t="n">
        <v>85779</v>
      </c>
      <c r="AM51" s="25" t="n">
        <v>91279</v>
      </c>
      <c r="AN51" s="25" t="n">
        <v>110722</v>
      </c>
      <c r="AO51" s="25" t="n">
        <v>126012</v>
      </c>
      <c r="AP51" s="25" t="n">
        <v>168985</v>
      </c>
    </row>
    <row r="52" customFormat="false" ht="15" hidden="false" customHeight="true" outlineLevel="0" collapsed="false">
      <c r="A52" s="23" t="s">
        <v>265</v>
      </c>
      <c r="B52" s="25" t="n">
        <v>66.7</v>
      </c>
      <c r="C52" s="25" t="n">
        <v>134.5</v>
      </c>
      <c r="D52" s="25" t="n">
        <v>203.4</v>
      </c>
      <c r="E52" s="25" t="n">
        <v>266.4</v>
      </c>
      <c r="F52" s="25" t="n">
        <v>439.5</v>
      </c>
      <c r="G52" s="25" t="n">
        <v>725.6</v>
      </c>
      <c r="H52" s="25" t="n">
        <v>1108.3</v>
      </c>
      <c r="I52" s="25" t="n">
        <v>1477</v>
      </c>
      <c r="J52" s="25" t="n">
        <v>1963</v>
      </c>
      <c r="K52" s="25" t="n">
        <v>2307</v>
      </c>
      <c r="L52" s="25" t="n">
        <v>3558</v>
      </c>
      <c r="M52" s="25" t="n">
        <v>5428</v>
      </c>
      <c r="N52" s="25" t="n">
        <v>7734</v>
      </c>
      <c r="O52" s="25" t="n">
        <v>11053</v>
      </c>
      <c r="P52" s="25" t="n">
        <v>12256</v>
      </c>
      <c r="Q52" s="25" t="n">
        <v>13256</v>
      </c>
      <c r="R52" s="25" t="n">
        <v>12994</v>
      </c>
      <c r="S52" s="25" t="n">
        <v>10938</v>
      </c>
      <c r="T52" s="25" t="n">
        <v>10220</v>
      </c>
      <c r="U52" s="25" t="n">
        <v>15416</v>
      </c>
      <c r="V52" s="25" t="n">
        <v>17375</v>
      </c>
      <c r="W52" s="25" t="n">
        <v>19878</v>
      </c>
      <c r="X52" s="25" t="n">
        <v>25976</v>
      </c>
      <c r="Y52" s="25" t="n">
        <v>22421</v>
      </c>
      <c r="Z52" s="25" t="n">
        <v>27837</v>
      </c>
      <c r="AA52" s="25" t="n">
        <v>31132</v>
      </c>
      <c r="AB52" s="25" t="n">
        <v>25614</v>
      </c>
      <c r="AC52" s="25" t="n">
        <v>31236</v>
      </c>
      <c r="AD52" s="25" t="n">
        <v>33629</v>
      </c>
      <c r="AE52" s="25" t="n">
        <v>25245</v>
      </c>
      <c r="AF52" s="25" t="n">
        <v>33504</v>
      </c>
      <c r="AG52" s="25" t="n">
        <v>40901</v>
      </c>
      <c r="AH52" s="25" t="n">
        <v>49468</v>
      </c>
      <c r="AI52" s="25" t="n">
        <v>58056</v>
      </c>
      <c r="AJ52" s="25" t="n">
        <v>68423</v>
      </c>
      <c r="AK52" s="25" t="n">
        <v>85134</v>
      </c>
      <c r="AL52" s="25" t="n">
        <v>100239</v>
      </c>
      <c r="AM52" s="25" t="n">
        <v>105140</v>
      </c>
      <c r="AN52" s="25" t="n">
        <v>133009</v>
      </c>
      <c r="AO52" s="25" t="n">
        <v>160165</v>
      </c>
      <c r="AP52" s="25" t="n">
        <v>207519</v>
      </c>
    </row>
    <row r="53" customFormat="false" ht="15" hidden="false" customHeight="true" outlineLevel="0" collapsed="false">
      <c r="A53" s="23" t="s">
        <v>266</v>
      </c>
      <c r="B53" s="25" t="n">
        <v>35.1</v>
      </c>
      <c r="C53" s="25" t="n">
        <v>66.3</v>
      </c>
      <c r="D53" s="25" t="n">
        <v>132</v>
      </c>
      <c r="E53" s="25" t="n">
        <v>180</v>
      </c>
      <c r="F53" s="25" t="n">
        <v>206.4</v>
      </c>
      <c r="G53" s="25" t="n">
        <v>286.8</v>
      </c>
      <c r="H53" s="25" t="n">
        <v>354.1</v>
      </c>
      <c r="I53" s="25" t="n">
        <v>482</v>
      </c>
      <c r="J53" s="25" t="n">
        <v>526</v>
      </c>
      <c r="K53" s="25" t="n">
        <v>608</v>
      </c>
      <c r="L53" s="25" t="n">
        <v>708</v>
      </c>
      <c r="M53" s="25" t="n">
        <v>1613</v>
      </c>
      <c r="N53" s="25" t="n">
        <v>1436</v>
      </c>
      <c r="O53" s="25" t="n">
        <v>1804</v>
      </c>
      <c r="P53" s="25" t="n">
        <v>3002</v>
      </c>
      <c r="Q53" s="25" t="n">
        <v>3455</v>
      </c>
      <c r="R53" s="25" t="n">
        <v>5191</v>
      </c>
      <c r="S53" s="25" t="n">
        <v>6059</v>
      </c>
      <c r="T53" s="25" t="n">
        <v>6716</v>
      </c>
      <c r="U53" s="25" t="n">
        <v>6031</v>
      </c>
      <c r="V53" s="25" t="n">
        <v>7650</v>
      </c>
      <c r="W53" s="25" t="n">
        <v>10693</v>
      </c>
      <c r="X53" s="25" t="n">
        <v>11598</v>
      </c>
      <c r="Y53" s="25" t="n">
        <v>12155</v>
      </c>
      <c r="Z53" s="25" t="n">
        <v>12395</v>
      </c>
      <c r="AA53" s="25" t="n">
        <v>15577</v>
      </c>
      <c r="AB53" s="25" t="n">
        <v>17530</v>
      </c>
      <c r="AC53" s="25" t="n">
        <v>20385</v>
      </c>
      <c r="AD53" s="25" t="n">
        <v>27078</v>
      </c>
      <c r="AE53" s="25" t="n">
        <v>33038</v>
      </c>
      <c r="AF53" s="25" t="n">
        <v>32780</v>
      </c>
      <c r="AG53" s="25" t="n">
        <v>34261</v>
      </c>
      <c r="AH53" s="25" t="n">
        <v>38353</v>
      </c>
      <c r="AI53" s="25" t="n">
        <v>42910</v>
      </c>
      <c r="AJ53" s="25" t="n">
        <v>46078</v>
      </c>
      <c r="AK53" s="25" t="n">
        <v>52232</v>
      </c>
      <c r="AL53" s="25" t="n">
        <v>62650</v>
      </c>
      <c r="AM53" s="25" t="n">
        <v>65863</v>
      </c>
      <c r="AN53" s="25" t="n">
        <v>74114</v>
      </c>
      <c r="AO53" s="25" t="n">
        <v>87831</v>
      </c>
      <c r="AP53" s="25" t="n">
        <v>106374</v>
      </c>
    </row>
    <row r="54" customFormat="false" ht="15" hidden="false" customHeight="true" outlineLevel="0" collapsed="false">
      <c r="A54" s="23" t="s">
        <v>267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 t="n">
        <v>8778</v>
      </c>
      <c r="AH54" s="25" t="n">
        <v>10261</v>
      </c>
      <c r="AI54" s="25" t="n">
        <v>11682</v>
      </c>
      <c r="AJ54" s="25" t="n">
        <v>12796</v>
      </c>
      <c r="AK54" s="25" t="n">
        <v>11686</v>
      </c>
      <c r="AL54" s="25" t="n">
        <v>14460</v>
      </c>
      <c r="AM54" s="25" t="n">
        <v>13861</v>
      </c>
      <c r="AN54" s="25" t="n">
        <v>22287</v>
      </c>
      <c r="AO54" s="25" t="n">
        <v>34153</v>
      </c>
      <c r="AP54" s="25" t="n">
        <v>38534</v>
      </c>
    </row>
    <row r="55" customFormat="false" ht="15" hidden="false" customHeight="true" outlineLevel="0" collapsed="false">
      <c r="A55" s="23" t="s">
        <v>268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 t="n">
        <v>18760</v>
      </c>
      <c r="AA55" s="25" t="n">
        <v>23150</v>
      </c>
      <c r="AB55" s="25" t="n">
        <v>16978</v>
      </c>
      <c r="AC55" s="25" t="n">
        <v>21863</v>
      </c>
      <c r="AD55" s="25" t="n">
        <v>22074</v>
      </c>
      <c r="AE55" s="25" t="n">
        <v>12193</v>
      </c>
      <c r="AF55" s="25" t="n">
        <v>16798</v>
      </c>
      <c r="AG55" s="25" t="n">
        <v>21204</v>
      </c>
      <c r="AH55" s="25" t="n">
        <v>16571</v>
      </c>
      <c r="AI55" s="25" t="n">
        <v>39240</v>
      </c>
      <c r="AJ55" s="25" t="n">
        <v>44281</v>
      </c>
      <c r="AK55" s="25" t="n">
        <v>61271</v>
      </c>
      <c r="AL55" s="25" t="n">
        <v>72738</v>
      </c>
      <c r="AM55" s="25" t="n">
        <v>72361</v>
      </c>
      <c r="AN55" s="25" t="n">
        <v>88136</v>
      </c>
      <c r="AO55" s="25" t="n">
        <v>101832</v>
      </c>
      <c r="AP55" s="25" t="n">
        <v>133749</v>
      </c>
    </row>
    <row r="56" customFormat="false" ht="15" hidden="false" customHeight="true" outlineLevel="0" collapsed="false">
      <c r="A56" s="23" t="s">
        <v>269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3" t="s">
        <v>270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3" t="s">
        <v>271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3" t="s">
        <v>272</v>
      </c>
      <c r="B59" s="30" t="n">
        <v>0.404545</v>
      </c>
      <c r="C59" s="30" t="n">
        <v>0.407743</v>
      </c>
      <c r="D59" s="30" t="n">
        <v>0.325531</v>
      </c>
      <c r="E59" s="30" t="n">
        <v>0.320175</v>
      </c>
      <c r="F59" s="30" t="n">
        <v>0.320019</v>
      </c>
      <c r="G59" s="30" t="n">
        <v>0.310021</v>
      </c>
      <c r="H59" s="30" t="n">
        <v>0.319985</v>
      </c>
      <c r="I59" s="30" t="n">
        <v>0.319772</v>
      </c>
      <c r="J59" s="30" t="n">
        <v>0.334495</v>
      </c>
      <c r="K59" s="30" t="n">
        <v>0.329488</v>
      </c>
      <c r="L59" s="30" t="n">
        <v>0.3504</v>
      </c>
      <c r="M59" s="30" t="n">
        <v>0.350019</v>
      </c>
      <c r="N59" s="30" t="n">
        <v>0.369116</v>
      </c>
      <c r="O59" s="30" t="n">
        <v>0.345303</v>
      </c>
      <c r="P59" s="30" t="n">
        <v>0.340035</v>
      </c>
      <c r="Q59" s="30" t="n">
        <v>0.330065</v>
      </c>
      <c r="R59" s="30" t="n">
        <v>0.319986</v>
      </c>
      <c r="S59" s="30" t="n">
        <v>0.318708</v>
      </c>
      <c r="T59" s="30" t="n">
        <v>0.330272</v>
      </c>
      <c r="U59" s="30" t="n">
        <v>0.26305</v>
      </c>
      <c r="V59" s="30" t="n">
        <v>0.310097</v>
      </c>
      <c r="W59" s="30" t="n">
        <v>0.300284</v>
      </c>
      <c r="X59" s="30" t="n">
        <v>0.257538</v>
      </c>
      <c r="Y59" s="30" t="n">
        <v>0.264971</v>
      </c>
      <c r="Z59" s="30" t="n">
        <v>0.24999</v>
      </c>
      <c r="AA59" s="30" t="n">
        <v>0.175305</v>
      </c>
      <c r="AB59" s="30" t="n">
        <v>0.237526</v>
      </c>
      <c r="AC59" s="30" t="n">
        <v>0.191816</v>
      </c>
      <c r="AD59" s="30" t="n">
        <v>0.206542</v>
      </c>
      <c r="AE59" s="30" t="n">
        <v>0.341168</v>
      </c>
      <c r="AF59" s="30" t="n">
        <v>0.198916</v>
      </c>
      <c r="AG59" s="30" t="n">
        <v>0.147554</v>
      </c>
      <c r="AH59" s="30" t="n">
        <v>0.545676</v>
      </c>
      <c r="AI59" s="30" t="n">
        <v>0.101813</v>
      </c>
      <c r="AJ59" s="30" t="n">
        <v>0.165077</v>
      </c>
      <c r="AK59" s="30" t="n">
        <v>0.138266</v>
      </c>
      <c r="AL59" s="30" t="n">
        <v>0.131134</v>
      </c>
      <c r="AM59" s="30" t="n">
        <v>0.189786</v>
      </c>
      <c r="AN59" s="30" t="n">
        <v>0.182313</v>
      </c>
      <c r="AO59" s="30" t="n">
        <v>0.176296</v>
      </c>
      <c r="AP59" s="30" t="n">
        <v>0.193963</v>
      </c>
    </row>
    <row r="60" customFormat="false" ht="15" hidden="false" customHeight="true" outlineLevel="0" collapsed="false">
      <c r="A60" s="23" t="s">
        <v>273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274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275</v>
      </c>
      <c r="B4" s="25" t="n">
        <v>170.7</v>
      </c>
      <c r="C4" s="25" t="n">
        <v>287.8</v>
      </c>
      <c r="D4" s="25" t="n">
        <v>493</v>
      </c>
      <c r="E4" s="25" t="n">
        <v>720.6</v>
      </c>
      <c r="F4" s="25" t="n">
        <v>1105.3</v>
      </c>
      <c r="G4" s="25" t="n">
        <v>1644.2</v>
      </c>
      <c r="H4" s="25" t="n">
        <v>2639.9</v>
      </c>
      <c r="I4" s="25" t="n">
        <v>3805</v>
      </c>
      <c r="J4" s="25" t="n">
        <v>5363</v>
      </c>
      <c r="K4" s="25" t="n">
        <v>7210</v>
      </c>
      <c r="L4" s="25" t="n">
        <v>10093</v>
      </c>
      <c r="M4" s="25" t="n">
        <v>14387</v>
      </c>
      <c r="N4" s="25" t="n">
        <v>22357</v>
      </c>
      <c r="O4" s="25" t="n">
        <v>38625</v>
      </c>
      <c r="P4" s="25" t="n">
        <v>52150</v>
      </c>
      <c r="Q4" s="25" t="n">
        <v>58830</v>
      </c>
      <c r="R4" s="25" t="n">
        <v>67646</v>
      </c>
      <c r="S4" s="25" t="n">
        <v>81732</v>
      </c>
      <c r="T4" s="25" t="n">
        <v>94368</v>
      </c>
      <c r="U4" s="25" t="n">
        <v>70815</v>
      </c>
      <c r="V4" s="25" t="n">
        <v>69597</v>
      </c>
      <c r="W4" s="25" t="n">
        <v>63171</v>
      </c>
      <c r="X4" s="25" t="n">
        <v>72793</v>
      </c>
      <c r="Y4" s="25" t="n">
        <v>77888</v>
      </c>
      <c r="Z4" s="25" t="n">
        <v>86113</v>
      </c>
      <c r="AA4" s="25" t="n">
        <v>108704</v>
      </c>
      <c r="AB4" s="25" t="n">
        <v>121271</v>
      </c>
      <c r="AC4" s="25" t="n">
        <v>142431</v>
      </c>
      <c r="AD4" s="25" t="n">
        <v>172384</v>
      </c>
      <c r="AE4" s="25" t="n">
        <v>174472</v>
      </c>
      <c r="AF4" s="25" t="n">
        <v>193694</v>
      </c>
      <c r="AG4" s="25" t="n">
        <v>241086</v>
      </c>
      <c r="AH4" s="25" t="n">
        <v>258848</v>
      </c>
      <c r="AI4" s="25" t="n">
        <v>286556</v>
      </c>
      <c r="AJ4" s="25" t="n">
        <v>301311</v>
      </c>
      <c r="AK4" s="25" t="n">
        <v>333779</v>
      </c>
      <c r="AL4" s="25" t="n">
        <v>364840</v>
      </c>
      <c r="AM4" s="25" t="n">
        <v>411976</v>
      </c>
      <c r="AN4" s="25" t="n">
        <v>512163</v>
      </c>
      <c r="AO4" s="25" t="n">
        <v>619003</v>
      </c>
      <c r="AP4" s="25" t="n">
        <v>758376</v>
      </c>
    </row>
    <row r="5" customFormat="false" ht="15" hidden="false" customHeight="true" outlineLevel="0" collapsed="false">
      <c r="A5" s="26" t="s">
        <v>276</v>
      </c>
      <c r="B5" s="25" t="n">
        <v>148</v>
      </c>
      <c r="C5" s="25" t="n">
        <v>213</v>
      </c>
      <c r="D5" s="25" t="n">
        <v>345.3</v>
      </c>
      <c r="E5" s="25" t="n">
        <v>468.9</v>
      </c>
      <c r="F5" s="25" t="n">
        <v>719.9</v>
      </c>
      <c r="G5" s="25" t="n">
        <v>1028.5</v>
      </c>
      <c r="H5" s="25" t="n">
        <v>1769.7</v>
      </c>
      <c r="I5" s="25" t="n">
        <v>2850</v>
      </c>
      <c r="J5" s="25" t="n">
        <v>4312</v>
      </c>
      <c r="K5" s="25" t="n">
        <v>5620</v>
      </c>
      <c r="L5" s="25" t="n">
        <v>7839</v>
      </c>
      <c r="M5" s="25" t="n">
        <v>10373</v>
      </c>
      <c r="N5" s="25" t="n">
        <v>15889</v>
      </c>
      <c r="O5" s="25" t="n">
        <v>21702</v>
      </c>
      <c r="P5" s="25" t="n">
        <v>30308</v>
      </c>
      <c r="Q5" s="25" t="n">
        <v>39210</v>
      </c>
      <c r="R5" s="25" t="n">
        <v>48576</v>
      </c>
      <c r="S5" s="25" t="n">
        <v>58973</v>
      </c>
      <c r="T5" s="25" t="n">
        <v>70566</v>
      </c>
      <c r="U5" s="25" t="n">
        <v>48737</v>
      </c>
      <c r="V5" s="25" t="n">
        <v>49010</v>
      </c>
      <c r="W5" s="25" t="n">
        <v>40168</v>
      </c>
      <c r="X5" s="25" t="n">
        <v>43242</v>
      </c>
      <c r="Y5" s="25" t="n">
        <v>49280</v>
      </c>
      <c r="Z5" s="25" t="n">
        <v>55676</v>
      </c>
      <c r="AA5" s="25" t="n">
        <v>74918</v>
      </c>
      <c r="AB5" s="25" t="n">
        <v>85084</v>
      </c>
      <c r="AC5" s="25" t="n">
        <v>101466</v>
      </c>
      <c r="AD5" s="25" t="n">
        <v>114246</v>
      </c>
      <c r="AE5" s="25" t="n">
        <v>122797</v>
      </c>
      <c r="AF5" s="25" t="n">
        <v>139660</v>
      </c>
      <c r="AG5" s="25" t="n">
        <v>159851</v>
      </c>
      <c r="AH5" s="25" t="n">
        <v>169662</v>
      </c>
      <c r="AI5" s="25" t="n">
        <v>175552</v>
      </c>
      <c r="AJ5" s="25" t="n">
        <v>181915</v>
      </c>
      <c r="AK5" s="25" t="n">
        <v>184406</v>
      </c>
      <c r="AL5" s="25" t="n">
        <v>169684</v>
      </c>
      <c r="AM5" s="25" t="n">
        <v>184257</v>
      </c>
      <c r="AN5" s="25" t="n">
        <v>159734</v>
      </c>
      <c r="AO5" s="25" t="n">
        <v>191131</v>
      </c>
      <c r="AP5" s="25" t="n">
        <v>207710</v>
      </c>
    </row>
    <row r="6" customFormat="false" ht="15" hidden="false" customHeight="true" outlineLevel="0" collapsed="false">
      <c r="A6" s="26" t="s">
        <v>277</v>
      </c>
      <c r="B6" s="25" t="n">
        <v>102.7</v>
      </c>
      <c r="C6" s="25" t="n">
        <v>132.5</v>
      </c>
      <c r="D6" s="25" t="n">
        <v>183.2</v>
      </c>
      <c r="E6" s="25" t="n">
        <v>192.4</v>
      </c>
      <c r="F6" s="25" t="n">
        <v>246.3</v>
      </c>
      <c r="G6" s="25" t="n">
        <v>417.2</v>
      </c>
      <c r="H6" s="25" t="n">
        <v>791.4</v>
      </c>
      <c r="I6" s="25" t="n">
        <v>1013</v>
      </c>
      <c r="J6" s="25" t="n">
        <v>1477</v>
      </c>
      <c r="K6" s="25" t="n">
        <v>1962</v>
      </c>
      <c r="L6" s="25" t="n">
        <v>2601</v>
      </c>
      <c r="M6" s="25" t="n">
        <v>3706</v>
      </c>
      <c r="N6" s="25" t="n">
        <v>3839</v>
      </c>
      <c r="O6" s="25" t="n">
        <v>17236</v>
      </c>
      <c r="P6" s="25" t="n">
        <v>23798</v>
      </c>
      <c r="Q6" s="25" t="n">
        <v>31600</v>
      </c>
      <c r="R6" s="25" t="n">
        <v>38652</v>
      </c>
      <c r="S6" s="25" t="n">
        <v>49048</v>
      </c>
      <c r="T6" s="25" t="n">
        <v>60592</v>
      </c>
      <c r="U6" s="25" t="n">
        <v>37751</v>
      </c>
      <c r="V6" s="25" t="n">
        <v>34161</v>
      </c>
      <c r="W6" s="25" t="n">
        <v>23411</v>
      </c>
      <c r="X6" s="25" t="n">
        <v>23662</v>
      </c>
      <c r="Y6" s="25" t="n">
        <v>31447</v>
      </c>
      <c r="Z6" s="25" t="n">
        <v>36788</v>
      </c>
      <c r="AA6" s="25" t="n">
        <v>52772</v>
      </c>
      <c r="AB6" s="25" t="n">
        <v>63040</v>
      </c>
      <c r="AC6" s="25" t="n">
        <v>77022</v>
      </c>
      <c r="AD6" s="25" t="n">
        <v>85709</v>
      </c>
      <c r="AE6" s="25" t="n">
        <v>96526</v>
      </c>
      <c r="AF6" s="25" t="n">
        <v>113240</v>
      </c>
      <c r="AG6" s="25" t="n">
        <v>132981</v>
      </c>
      <c r="AH6" s="25" t="n">
        <v>133768</v>
      </c>
      <c r="AI6" s="25" t="n">
        <v>133819</v>
      </c>
      <c r="AJ6" s="25" t="n">
        <v>136527</v>
      </c>
      <c r="AK6" s="25" t="n">
        <v>130334</v>
      </c>
      <c r="AL6" s="25" t="n">
        <v>104757</v>
      </c>
      <c r="AM6" s="25" t="n">
        <v>111262</v>
      </c>
      <c r="AN6" s="25" t="n">
        <v>75531</v>
      </c>
      <c r="AO6" s="25" t="n">
        <v>94555</v>
      </c>
      <c r="AP6" s="25" t="n">
        <v>76843</v>
      </c>
    </row>
    <row r="7" customFormat="false" ht="15" hidden="false" customHeight="true" outlineLevel="0" collapsed="false">
      <c r="A7" s="26" t="s">
        <v>278</v>
      </c>
      <c r="B7" s="25" t="n">
        <v>102.7</v>
      </c>
      <c r="C7" s="25" t="n">
        <v>132.5</v>
      </c>
      <c r="D7" s="25" t="n">
        <v>183.2</v>
      </c>
      <c r="E7" s="25" t="n">
        <v>192.4</v>
      </c>
      <c r="F7" s="25" t="n">
        <v>246.3</v>
      </c>
      <c r="G7" s="25" t="n">
        <v>417.2</v>
      </c>
      <c r="H7" s="25" t="n">
        <v>791.4</v>
      </c>
      <c r="I7" s="25" t="n">
        <v>1013</v>
      </c>
      <c r="J7" s="25" t="n">
        <v>1477</v>
      </c>
      <c r="K7" s="25" t="n">
        <v>1962</v>
      </c>
      <c r="L7" s="25" t="n">
        <v>2601</v>
      </c>
      <c r="M7" s="25" t="n">
        <v>3706</v>
      </c>
      <c r="N7" s="25" t="n">
        <v>3839</v>
      </c>
      <c r="O7" s="25" t="n">
        <v>4975</v>
      </c>
      <c r="P7" s="25" t="n">
        <v>4846</v>
      </c>
      <c r="Q7" s="25" t="n">
        <v>3922</v>
      </c>
      <c r="R7" s="25" t="n">
        <v>3016</v>
      </c>
      <c r="S7" s="25" t="n">
        <v>6438</v>
      </c>
      <c r="T7" s="25" t="n">
        <v>14304</v>
      </c>
      <c r="U7" s="25" t="n">
        <v>4851</v>
      </c>
      <c r="V7" s="25" t="n">
        <v>6714</v>
      </c>
      <c r="W7" s="25" t="n">
        <v>6111</v>
      </c>
      <c r="X7" s="25" t="n">
        <v>10339</v>
      </c>
      <c r="Y7" s="25" t="n">
        <v>6076</v>
      </c>
      <c r="Z7" s="25" t="n">
        <v>5505</v>
      </c>
      <c r="AA7" s="25" t="n">
        <v>9610</v>
      </c>
      <c r="AB7" s="25" t="n">
        <v>6938</v>
      </c>
      <c r="AC7" s="25" t="n">
        <v>3804</v>
      </c>
      <c r="AD7" s="25" t="n">
        <v>8669</v>
      </c>
      <c r="AE7" s="25" t="n">
        <v>5595</v>
      </c>
      <c r="AF7" s="25" t="n">
        <v>6510</v>
      </c>
      <c r="AG7" s="25" t="n">
        <v>7663</v>
      </c>
      <c r="AH7" s="25" t="n">
        <v>11946</v>
      </c>
      <c r="AI7" s="25" t="n">
        <v>11356</v>
      </c>
      <c r="AJ7" s="25" t="n">
        <v>13576</v>
      </c>
      <c r="AK7" s="25" t="n">
        <v>14224</v>
      </c>
      <c r="AL7" s="25" t="n">
        <v>13931</v>
      </c>
      <c r="AM7" s="25" t="n">
        <v>34704</v>
      </c>
      <c r="AN7" s="25" t="n">
        <v>18315</v>
      </c>
      <c r="AO7" s="25" t="n">
        <v>30242</v>
      </c>
      <c r="AP7" s="25" t="n">
        <v>20935</v>
      </c>
    </row>
    <row r="8" customFormat="false" ht="15" hidden="false" customHeight="true" outlineLevel="0" collapsed="false">
      <c r="A8" s="26" t="s">
        <v>279</v>
      </c>
      <c r="B8" s="27" t="n">
        <v>102.7</v>
      </c>
      <c r="C8" s="27" t="n">
        <v>132.5</v>
      </c>
      <c r="D8" s="27" t="n">
        <v>183.2</v>
      </c>
      <c r="E8" s="27" t="n">
        <v>192.4</v>
      </c>
      <c r="F8" s="27" t="n">
        <v>246.3</v>
      </c>
      <c r="G8" s="27" t="n">
        <v>417.2</v>
      </c>
      <c r="H8" s="27" t="n">
        <v>791.4</v>
      </c>
      <c r="I8" s="27" t="n">
        <v>1013</v>
      </c>
      <c r="J8" s="27" t="n">
        <v>1477</v>
      </c>
      <c r="K8" s="27" t="n">
        <v>1962</v>
      </c>
      <c r="L8" s="27" t="n">
        <v>2601</v>
      </c>
      <c r="M8" s="27" t="n">
        <v>3706</v>
      </c>
      <c r="N8" s="27" t="n">
        <v>3839</v>
      </c>
      <c r="O8" s="27" t="n">
        <v>4975</v>
      </c>
      <c r="P8" s="27" t="n">
        <v>4846</v>
      </c>
      <c r="Q8" s="27" t="n">
        <v>3922</v>
      </c>
      <c r="R8" s="27" t="n">
        <v>3016</v>
      </c>
      <c r="S8" s="27" t="n">
        <v>6438</v>
      </c>
      <c r="T8" s="27" t="n">
        <v>14304</v>
      </c>
      <c r="U8" s="27" t="n">
        <v>4851</v>
      </c>
      <c r="V8" s="27" t="n">
        <v>6714</v>
      </c>
      <c r="W8" s="27" t="n">
        <v>6111</v>
      </c>
      <c r="X8" s="27" t="n">
        <v>10339</v>
      </c>
      <c r="Y8" s="27" t="n">
        <v>6076</v>
      </c>
      <c r="Z8" s="27" t="n">
        <v>5505</v>
      </c>
      <c r="AA8" s="27" t="n">
        <v>9610</v>
      </c>
      <c r="AB8" s="27" t="n">
        <v>6938</v>
      </c>
      <c r="AC8" s="27" t="n">
        <v>3804</v>
      </c>
      <c r="AD8" s="25" t="n">
        <v>8669</v>
      </c>
      <c r="AE8" s="25" t="n">
        <v>5595</v>
      </c>
      <c r="AF8" s="27" t="n">
        <v>6510</v>
      </c>
      <c r="AG8" s="25" t="n">
        <v>7663</v>
      </c>
      <c r="AH8" s="25" t="n">
        <v>11946</v>
      </c>
      <c r="AI8" s="25" t="n">
        <v>11356</v>
      </c>
      <c r="AJ8" s="25" t="n">
        <v>13576</v>
      </c>
      <c r="AK8" s="25" t="n">
        <v>14224</v>
      </c>
      <c r="AL8" s="25" t="n">
        <v>13931</v>
      </c>
      <c r="AM8" s="25" t="n">
        <v>34704</v>
      </c>
      <c r="AN8" s="25" t="n">
        <v>18315</v>
      </c>
      <c r="AO8" s="25" t="n">
        <v>30242</v>
      </c>
      <c r="AP8" s="27" t="n">
        <v>20935</v>
      </c>
    </row>
    <row r="9" customFormat="false" ht="15" hidden="false" customHeight="true" outlineLevel="0" collapsed="false">
      <c r="A9" s="26" t="s">
        <v>280</v>
      </c>
      <c r="AD9" s="25"/>
      <c r="AE9" s="25"/>
      <c r="AG9" s="25"/>
      <c r="AH9" s="25"/>
      <c r="AI9" s="25"/>
      <c r="AJ9" s="25"/>
      <c r="AK9" s="25"/>
      <c r="AL9" s="25"/>
      <c r="AM9" s="25"/>
      <c r="AN9" s="25"/>
      <c r="AO9" s="25"/>
    </row>
    <row r="10" customFormat="false" ht="15" hidden="false" customHeight="true" outlineLevel="0" collapsed="false">
      <c r="A10" s="26" t="s">
        <v>281</v>
      </c>
      <c r="L10" s="25"/>
      <c r="M10" s="25"/>
      <c r="N10" s="25"/>
      <c r="O10" s="25" t="n">
        <v>12261</v>
      </c>
      <c r="P10" s="27" t="n">
        <v>18952</v>
      </c>
      <c r="Q10" s="27" t="n">
        <v>27678</v>
      </c>
      <c r="R10" s="27" t="n">
        <v>35636</v>
      </c>
      <c r="S10" s="25" t="n">
        <v>42610</v>
      </c>
      <c r="T10" s="25" t="n">
        <v>46288</v>
      </c>
      <c r="U10" s="25" t="n">
        <v>32900</v>
      </c>
      <c r="V10" s="27" t="n">
        <v>27447</v>
      </c>
      <c r="W10" s="27" t="n">
        <v>17300</v>
      </c>
      <c r="X10" s="27" t="n">
        <v>13323</v>
      </c>
      <c r="Y10" s="27" t="n">
        <v>25371</v>
      </c>
      <c r="Z10" s="27" t="n">
        <v>31283</v>
      </c>
      <c r="AA10" s="27" t="n">
        <v>43162</v>
      </c>
      <c r="AB10" s="27" t="n">
        <v>56102</v>
      </c>
      <c r="AC10" s="27" t="n">
        <v>73218</v>
      </c>
      <c r="AD10" s="27" t="n">
        <v>77040</v>
      </c>
      <c r="AE10" s="27" t="n">
        <v>90931</v>
      </c>
      <c r="AF10" s="27" t="n">
        <v>106730</v>
      </c>
      <c r="AG10" s="27" t="n">
        <v>125318</v>
      </c>
      <c r="AH10" s="27" t="n">
        <v>121822</v>
      </c>
      <c r="AI10" s="27" t="n">
        <v>122463</v>
      </c>
      <c r="AJ10" s="27" t="n">
        <v>122951</v>
      </c>
      <c r="AK10" s="27" t="n">
        <v>116110</v>
      </c>
      <c r="AL10" s="27" t="n">
        <v>90826</v>
      </c>
      <c r="AM10" s="27" t="n">
        <v>76558</v>
      </c>
      <c r="AN10" s="27" t="n">
        <v>57216</v>
      </c>
      <c r="AO10" s="27" t="n">
        <v>64313</v>
      </c>
      <c r="AP10" s="27" t="n">
        <v>55908</v>
      </c>
    </row>
    <row r="11" customFormat="false" ht="15" hidden="false" customHeight="true" outlineLevel="0" collapsed="false">
      <c r="A11" s="26" t="s">
        <v>282</v>
      </c>
      <c r="B11" s="25" t="n">
        <v>34.5</v>
      </c>
      <c r="C11" s="25" t="n">
        <v>55.1</v>
      </c>
      <c r="D11" s="25" t="n">
        <v>93.6</v>
      </c>
      <c r="E11" s="25" t="n">
        <v>111.2</v>
      </c>
      <c r="F11" s="25" t="n">
        <v>181</v>
      </c>
      <c r="G11" s="25" t="n">
        <v>243.3</v>
      </c>
      <c r="H11" s="25" t="n">
        <v>823.7</v>
      </c>
      <c r="I11" s="25" t="n">
        <v>338</v>
      </c>
      <c r="J11" s="25" t="n">
        <v>475</v>
      </c>
      <c r="K11" s="25" t="n">
        <v>581</v>
      </c>
      <c r="L11" s="25" t="n">
        <v>639</v>
      </c>
      <c r="M11" s="25" t="n">
        <v>980</v>
      </c>
      <c r="N11" s="25" t="n">
        <v>1460</v>
      </c>
      <c r="O11" s="25" t="n">
        <v>2245</v>
      </c>
      <c r="P11" s="25" t="n">
        <v>3250</v>
      </c>
      <c r="Q11" s="25" t="n">
        <v>3671</v>
      </c>
      <c r="R11" s="25" t="n">
        <v>5129</v>
      </c>
      <c r="S11" s="25" t="n">
        <v>5196</v>
      </c>
      <c r="T11" s="25" t="n">
        <v>5890</v>
      </c>
      <c r="U11" s="25" t="n">
        <v>7180</v>
      </c>
      <c r="V11" s="25" t="n">
        <v>9316</v>
      </c>
      <c r="W11" s="25" t="n">
        <v>11338</v>
      </c>
      <c r="X11" s="25" t="n">
        <v>13589</v>
      </c>
      <c r="Y11" s="25" t="n">
        <v>11192</v>
      </c>
      <c r="Z11" s="25" t="n">
        <v>13014</v>
      </c>
      <c r="AA11" s="25" t="n">
        <v>14987</v>
      </c>
      <c r="AB11" s="25" t="n">
        <v>15780</v>
      </c>
      <c r="AC11" s="25" t="n">
        <v>17486</v>
      </c>
      <c r="AD11" s="25" t="n">
        <v>19544</v>
      </c>
      <c r="AE11" s="25" t="n">
        <v>17908</v>
      </c>
      <c r="AF11" s="25" t="n">
        <v>18277</v>
      </c>
      <c r="AG11" s="25" t="n">
        <v>19792</v>
      </c>
      <c r="AH11" s="25" t="n">
        <v>26481</v>
      </c>
      <c r="AI11" s="25" t="n">
        <v>29524</v>
      </c>
      <c r="AJ11" s="25" t="n">
        <v>32011</v>
      </c>
      <c r="AK11" s="25" t="n">
        <v>38043</v>
      </c>
      <c r="AL11" s="25" t="n">
        <v>44261</v>
      </c>
      <c r="AM11" s="25" t="n">
        <v>48688</v>
      </c>
      <c r="AN11" s="25" t="n">
        <v>56924</v>
      </c>
      <c r="AO11" s="25" t="n">
        <v>69905</v>
      </c>
      <c r="AP11" s="25" t="n">
        <v>80876</v>
      </c>
    </row>
    <row r="12" customFormat="false" ht="15" hidden="false" customHeight="true" outlineLevel="0" collapsed="false">
      <c r="A12" s="26" t="s">
        <v>283</v>
      </c>
      <c r="B12" s="27" t="n">
        <v>34.5</v>
      </c>
      <c r="C12" s="27" t="n">
        <v>55.1</v>
      </c>
      <c r="D12" s="27" t="n">
        <v>93.6</v>
      </c>
      <c r="E12" s="27" t="n">
        <v>111.2</v>
      </c>
      <c r="F12" s="27" t="n">
        <v>181</v>
      </c>
      <c r="G12" s="27" t="n">
        <v>243.3</v>
      </c>
      <c r="H12" s="27" t="n">
        <v>823.7</v>
      </c>
      <c r="I12" s="27" t="n">
        <v>338</v>
      </c>
      <c r="J12" s="25" t="n">
        <v>475</v>
      </c>
      <c r="K12" s="25" t="n">
        <v>581</v>
      </c>
      <c r="L12" s="25" t="n">
        <v>639</v>
      </c>
      <c r="M12" s="25" t="n">
        <v>980</v>
      </c>
      <c r="N12" s="25" t="n">
        <v>1460</v>
      </c>
      <c r="O12" s="25" t="n">
        <v>2245</v>
      </c>
      <c r="P12" s="25" t="n">
        <v>3250</v>
      </c>
      <c r="Q12" s="25" t="n">
        <v>3671</v>
      </c>
      <c r="R12" s="25" t="n">
        <v>5129</v>
      </c>
      <c r="S12" s="25" t="n">
        <v>5196</v>
      </c>
      <c r="T12" s="25" t="n">
        <v>5890</v>
      </c>
      <c r="U12" s="25" t="n">
        <v>7180</v>
      </c>
      <c r="V12" s="25" t="n">
        <v>9316</v>
      </c>
      <c r="W12" s="25" t="n">
        <v>11338</v>
      </c>
      <c r="X12" s="25" t="n">
        <v>13589</v>
      </c>
      <c r="Y12" s="25" t="n">
        <v>11192</v>
      </c>
      <c r="Z12" s="25" t="n">
        <v>13014</v>
      </c>
      <c r="AA12" s="25" t="n">
        <v>14987</v>
      </c>
      <c r="AB12" s="25" t="n">
        <v>15780</v>
      </c>
      <c r="AC12" s="25" t="n">
        <v>17486</v>
      </c>
      <c r="AD12" s="25" t="n">
        <v>19544</v>
      </c>
      <c r="AE12" s="25" t="n">
        <v>17908</v>
      </c>
      <c r="AF12" s="25" t="n">
        <v>18277</v>
      </c>
      <c r="AG12" s="25" t="n">
        <v>19792</v>
      </c>
      <c r="AH12" s="25" t="n">
        <v>26481</v>
      </c>
      <c r="AI12" s="25" t="n">
        <v>29524</v>
      </c>
      <c r="AJ12" s="25" t="n">
        <v>32011</v>
      </c>
      <c r="AK12" s="25" t="n">
        <v>38043</v>
      </c>
      <c r="AL12" s="25" t="n">
        <v>44261</v>
      </c>
      <c r="AM12" s="25" t="n">
        <v>48688</v>
      </c>
      <c r="AN12" s="25" t="n">
        <v>56924</v>
      </c>
      <c r="AO12" s="25" t="n">
        <v>69905</v>
      </c>
      <c r="AP12" s="25" t="n">
        <v>80876</v>
      </c>
    </row>
    <row r="13" customFormat="false" ht="15" hidden="false" customHeight="true" outlineLevel="0" collapsed="false">
      <c r="A13" s="26" t="s">
        <v>284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customFormat="false" ht="15" hidden="false" customHeight="true" outlineLevel="0" collapsed="false">
      <c r="A14" s="26" t="s">
        <v>285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286</v>
      </c>
      <c r="Q15" s="25"/>
    </row>
    <row r="16" customFormat="false" ht="15" hidden="false" customHeight="true" outlineLevel="0" collapsed="false">
      <c r="A16" s="26" t="s">
        <v>287</v>
      </c>
      <c r="P16" s="25"/>
      <c r="Q16" s="25"/>
    </row>
    <row r="17" customFormat="false" ht="15" hidden="false" customHeight="true" outlineLevel="0" collapsed="false">
      <c r="A17" s="26" t="s">
        <v>288</v>
      </c>
      <c r="B17" s="25" t="n">
        <v>8</v>
      </c>
      <c r="C17" s="25" t="n">
        <v>16.6</v>
      </c>
      <c r="D17" s="25" t="n">
        <v>53.5</v>
      </c>
      <c r="E17" s="25" t="n">
        <v>37.8</v>
      </c>
      <c r="F17" s="25" t="n">
        <v>55.6</v>
      </c>
      <c r="G17" s="25" t="n">
        <v>47.1</v>
      </c>
      <c r="H17" s="25" t="n">
        <v>85.9</v>
      </c>
      <c r="I17" s="25" t="n">
        <v>127</v>
      </c>
      <c r="J17" s="25" t="n">
        <v>102</v>
      </c>
      <c r="K17" s="25" t="n">
        <v>88</v>
      </c>
      <c r="L17" s="25"/>
      <c r="M17" s="25"/>
      <c r="Q17" s="27" t="n">
        <v>83</v>
      </c>
      <c r="R17" s="27" t="n">
        <v>673</v>
      </c>
      <c r="S17" s="27" t="n">
        <v>640</v>
      </c>
      <c r="T17" s="27" t="n">
        <v>421</v>
      </c>
      <c r="U17" s="27" t="n">
        <v>491</v>
      </c>
      <c r="V17" s="27" t="n">
        <v>1478</v>
      </c>
      <c r="W17" s="27" t="n">
        <v>1127</v>
      </c>
      <c r="X17" s="27" t="n">
        <v>985</v>
      </c>
      <c r="Y17" s="27" t="n">
        <v>717</v>
      </c>
      <c r="Z17" s="27" t="n">
        <v>740</v>
      </c>
      <c r="AA17" s="27" t="n">
        <v>1372</v>
      </c>
      <c r="AB17" s="27" t="n">
        <v>1137</v>
      </c>
      <c r="AC17" s="27" t="n">
        <v>1938</v>
      </c>
      <c r="AD17" s="27" t="n">
        <v>2660</v>
      </c>
      <c r="AE17" s="27" t="n">
        <v>2902</v>
      </c>
      <c r="AF17" s="27" t="n">
        <v>2251</v>
      </c>
      <c r="AG17" s="27" t="n">
        <v>2181</v>
      </c>
      <c r="AH17" s="27" t="n">
        <v>2662</v>
      </c>
      <c r="AI17" s="27" t="n">
        <v>2063</v>
      </c>
      <c r="AJ17" s="27" t="n">
        <v>1895</v>
      </c>
      <c r="AK17" s="25" t="n">
        <v>2636</v>
      </c>
      <c r="AL17" s="25" t="n">
        <v>3742</v>
      </c>
      <c r="AM17" s="25" t="n">
        <v>2500</v>
      </c>
      <c r="AN17" s="25" t="n">
        <v>1246</v>
      </c>
      <c r="AO17" s="25" t="n">
        <v>938</v>
      </c>
      <c r="AP17" s="25" t="n">
        <v>1397</v>
      </c>
    </row>
    <row r="18" customFormat="false" ht="15" hidden="false" customHeight="true" outlineLevel="0" collapsed="false">
      <c r="A18" s="26" t="s">
        <v>289</v>
      </c>
      <c r="J18" s="25"/>
      <c r="K18" s="25"/>
      <c r="L18" s="25"/>
      <c r="M18" s="25"/>
    </row>
    <row r="19" customFormat="false" ht="15" hidden="false" customHeight="true" outlineLevel="0" collapsed="false">
      <c r="A19" s="26" t="s">
        <v>290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customFormat="false" ht="15" hidden="false" customHeight="true" outlineLevel="0" collapsed="false">
      <c r="A20" s="26" t="s">
        <v>291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customFormat="false" ht="15" hidden="false" customHeight="true" outlineLevel="0" collapsed="false">
      <c r="A21" s="26" t="s">
        <v>292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customFormat="false" ht="15" hidden="false" customHeight="true" outlineLevel="0" collapsed="false">
      <c r="A22" s="26" t="s">
        <v>293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" hidden="false" customHeight="true" outlineLevel="0" collapsed="false">
      <c r="A23" s="26" t="s">
        <v>294</v>
      </c>
      <c r="T23" s="25"/>
      <c r="U23" s="25"/>
      <c r="AL23" s="25"/>
      <c r="AM23" s="25"/>
    </row>
    <row r="24" customFormat="false" ht="15" hidden="false" customHeight="true" outlineLevel="0" collapsed="false">
      <c r="A24" s="26" t="s">
        <v>295</v>
      </c>
      <c r="B24" s="25" t="n">
        <v>2.8</v>
      </c>
      <c r="C24" s="25" t="n">
        <v>8.8</v>
      </c>
      <c r="D24" s="25" t="n">
        <v>15</v>
      </c>
      <c r="E24" s="25" t="n">
        <v>127.5</v>
      </c>
      <c r="F24" s="25" t="n">
        <v>237</v>
      </c>
      <c r="G24" s="25" t="n">
        <v>320.9</v>
      </c>
      <c r="H24" s="25" t="n">
        <v>68.7</v>
      </c>
      <c r="I24" s="25" t="n">
        <v>1372</v>
      </c>
      <c r="J24" s="25" t="n">
        <v>2258</v>
      </c>
      <c r="K24" s="25" t="n">
        <v>2989</v>
      </c>
      <c r="L24" s="25" t="n">
        <v>4599</v>
      </c>
      <c r="M24" s="25" t="n">
        <v>5687</v>
      </c>
      <c r="N24" s="25" t="n">
        <v>10590</v>
      </c>
      <c r="O24" s="25" t="n">
        <v>2221</v>
      </c>
      <c r="P24" s="25" t="n">
        <v>3260</v>
      </c>
      <c r="Q24" s="25" t="n">
        <v>3856</v>
      </c>
      <c r="R24" s="25" t="n">
        <v>4122</v>
      </c>
      <c r="S24" s="25" t="n">
        <v>4089</v>
      </c>
      <c r="T24" s="25" t="n">
        <v>3663</v>
      </c>
      <c r="U24" s="25" t="n">
        <v>3315</v>
      </c>
      <c r="V24" s="25" t="n">
        <v>4055</v>
      </c>
      <c r="W24" s="25" t="n">
        <v>4292</v>
      </c>
      <c r="X24" s="25" t="n">
        <v>5006</v>
      </c>
      <c r="Y24" s="25" t="n">
        <v>3711</v>
      </c>
      <c r="Z24" s="25" t="n">
        <v>5134</v>
      </c>
      <c r="AA24" s="25" t="n">
        <v>3320</v>
      </c>
      <c r="AB24" s="25" t="n">
        <v>5127</v>
      </c>
      <c r="AC24" s="25" t="n">
        <v>5020</v>
      </c>
      <c r="AD24" s="25" t="n">
        <v>6333</v>
      </c>
      <c r="AE24" s="25" t="n">
        <v>5461</v>
      </c>
      <c r="AF24" s="25" t="n">
        <v>5892</v>
      </c>
      <c r="AG24" s="25" t="n">
        <v>4897</v>
      </c>
      <c r="AH24" s="25" t="n">
        <v>6751</v>
      </c>
      <c r="AI24" s="25" t="n">
        <v>10146</v>
      </c>
      <c r="AJ24" s="25" t="n">
        <v>11482</v>
      </c>
      <c r="AK24" s="25" t="n">
        <v>13393</v>
      </c>
      <c r="AL24" s="25" t="n">
        <v>16924</v>
      </c>
      <c r="AM24" s="25" t="n">
        <v>21807</v>
      </c>
      <c r="AN24" s="25" t="n">
        <v>26033</v>
      </c>
      <c r="AO24" s="25" t="n">
        <v>25733</v>
      </c>
      <c r="AP24" s="25" t="n">
        <v>48594</v>
      </c>
    </row>
    <row r="25" customFormat="false" ht="15" hidden="false" customHeight="true" outlineLevel="0" collapsed="false">
      <c r="A25" s="26" t="s">
        <v>296</v>
      </c>
      <c r="B25" s="25" t="n">
        <v>22.7</v>
      </c>
      <c r="C25" s="25" t="n">
        <v>74.8</v>
      </c>
      <c r="D25" s="25" t="n">
        <v>147.7</v>
      </c>
      <c r="E25" s="25" t="n">
        <v>251.7</v>
      </c>
      <c r="F25" s="25" t="n">
        <v>385.4</v>
      </c>
      <c r="G25" s="25" t="n">
        <v>615.7</v>
      </c>
      <c r="H25" s="25" t="n">
        <v>870.2</v>
      </c>
      <c r="I25" s="25" t="n">
        <v>955</v>
      </c>
      <c r="J25" s="25" t="n">
        <v>1051</v>
      </c>
      <c r="K25" s="25" t="n">
        <v>1590</v>
      </c>
      <c r="L25" s="25" t="n">
        <v>2254</v>
      </c>
      <c r="M25" s="25" t="n">
        <v>4014</v>
      </c>
      <c r="N25" s="25" t="n">
        <v>6468</v>
      </c>
      <c r="O25" s="25" t="n">
        <v>16923</v>
      </c>
      <c r="P25" s="25" t="n">
        <v>21842</v>
      </c>
      <c r="Q25" s="25" t="n">
        <v>19620</v>
      </c>
      <c r="R25" s="25" t="n">
        <v>19070</v>
      </c>
      <c r="S25" s="25" t="n">
        <v>22759</v>
      </c>
      <c r="T25" s="25" t="n">
        <v>23802</v>
      </c>
      <c r="U25" s="25" t="n">
        <v>22078</v>
      </c>
      <c r="V25" s="25" t="n">
        <v>20587</v>
      </c>
      <c r="W25" s="25" t="n">
        <v>23003</v>
      </c>
      <c r="X25" s="25" t="n">
        <v>29551</v>
      </c>
      <c r="Y25" s="25" t="n">
        <v>28608</v>
      </c>
      <c r="Z25" s="25" t="n">
        <v>30437</v>
      </c>
      <c r="AA25" s="25" t="n">
        <v>33786</v>
      </c>
      <c r="AB25" s="25" t="n">
        <v>36187</v>
      </c>
      <c r="AC25" s="25" t="n">
        <v>40965</v>
      </c>
      <c r="AD25" s="25" t="n">
        <v>58138</v>
      </c>
      <c r="AE25" s="25" t="n">
        <v>51675</v>
      </c>
      <c r="AF25" s="25" t="n">
        <v>54034</v>
      </c>
      <c r="AG25" s="25" t="n">
        <v>81235</v>
      </c>
      <c r="AH25" s="25" t="n">
        <v>89186</v>
      </c>
      <c r="AI25" s="25" t="n">
        <v>111004</v>
      </c>
      <c r="AJ25" s="25" t="n">
        <v>119396</v>
      </c>
      <c r="AK25" s="25" t="n">
        <v>149373</v>
      </c>
      <c r="AL25" s="25" t="n">
        <v>195156</v>
      </c>
      <c r="AM25" s="25" t="n">
        <v>227719</v>
      </c>
      <c r="AN25" s="25" t="n">
        <v>352429</v>
      </c>
      <c r="AO25" s="25" t="n">
        <v>427872</v>
      </c>
      <c r="AP25" s="25" t="n">
        <v>550666</v>
      </c>
    </row>
    <row r="26" customFormat="false" ht="15" hidden="false" customHeight="true" outlineLevel="0" collapsed="false">
      <c r="A26" s="26" t="s">
        <v>297</v>
      </c>
      <c r="B26" s="25" t="n">
        <v>19.5</v>
      </c>
      <c r="C26" s="25" t="n">
        <v>70</v>
      </c>
      <c r="D26" s="25" t="n">
        <v>130.1</v>
      </c>
      <c r="E26" s="25" t="n">
        <v>198.8</v>
      </c>
      <c r="F26" s="25" t="n">
        <v>325.4</v>
      </c>
      <c r="G26" s="25" t="n">
        <v>530.2</v>
      </c>
      <c r="H26" s="25" t="n">
        <v>766.6</v>
      </c>
      <c r="I26" s="25" t="n">
        <v>867</v>
      </c>
      <c r="J26" s="25" t="n">
        <v>930</v>
      </c>
      <c r="K26" s="25" t="n">
        <v>1192</v>
      </c>
      <c r="L26" s="25" t="n">
        <v>1326</v>
      </c>
      <c r="M26" s="25" t="n">
        <v>1465</v>
      </c>
      <c r="N26" s="25" t="n">
        <v>1505</v>
      </c>
      <c r="O26" s="25" t="n">
        <v>1611</v>
      </c>
      <c r="P26" s="25" t="n">
        <v>1903</v>
      </c>
      <c r="Q26" s="25" t="n">
        <v>2309</v>
      </c>
      <c r="R26" s="25" t="n">
        <v>2268</v>
      </c>
      <c r="S26" s="25" t="n">
        <v>2223</v>
      </c>
      <c r="T26" s="25" t="n">
        <v>2326</v>
      </c>
      <c r="U26" s="25" t="n">
        <v>2346</v>
      </c>
      <c r="V26" s="25" t="n">
        <v>3044</v>
      </c>
      <c r="W26" s="25" t="n">
        <v>4350</v>
      </c>
      <c r="X26" s="25" t="n">
        <v>6242</v>
      </c>
      <c r="Y26" s="25" t="n">
        <v>7535</v>
      </c>
      <c r="Z26" s="25" t="n">
        <v>7630</v>
      </c>
      <c r="AA26" s="25" t="n">
        <v>8162</v>
      </c>
      <c r="AB26" s="25" t="n">
        <v>8269</v>
      </c>
      <c r="AC26" s="25" t="n">
        <v>9991</v>
      </c>
      <c r="AD26" s="25" t="n">
        <v>13011</v>
      </c>
      <c r="AE26" s="25" t="n">
        <v>14731</v>
      </c>
      <c r="AF26" s="25" t="n">
        <v>18356</v>
      </c>
      <c r="AG26" s="25" t="n">
        <v>23734</v>
      </c>
      <c r="AH26" s="25" t="n">
        <v>29460</v>
      </c>
      <c r="AI26" s="25" t="n">
        <v>36477</v>
      </c>
      <c r="AJ26" s="25" t="n">
        <v>44151</v>
      </c>
      <c r="AK26" s="25" t="n">
        <v>70803</v>
      </c>
      <c r="AL26" s="25" t="n">
        <v>87546</v>
      </c>
      <c r="AM26" s="25" t="n">
        <v>109987</v>
      </c>
      <c r="AN26" s="25" t="n">
        <v>154552</v>
      </c>
      <c r="AO26" s="25" t="n">
        <v>229789</v>
      </c>
      <c r="AP26" s="25" t="n">
        <v>337253</v>
      </c>
    </row>
    <row r="27" customFormat="false" ht="15" hidden="false" customHeight="true" outlineLevel="0" collapsed="false">
      <c r="A27" s="26" t="s">
        <v>298</v>
      </c>
      <c r="B27" s="25" t="n">
        <v>19.5</v>
      </c>
      <c r="C27" s="25" t="n">
        <v>70</v>
      </c>
      <c r="D27" s="25" t="n">
        <v>130.1</v>
      </c>
      <c r="E27" s="25" t="n">
        <v>198.8</v>
      </c>
      <c r="F27" s="25" t="n">
        <v>325.4</v>
      </c>
      <c r="G27" s="25" t="n">
        <v>530.2</v>
      </c>
      <c r="H27" s="25" t="n">
        <v>766.6</v>
      </c>
      <c r="I27" s="25" t="n">
        <v>867</v>
      </c>
      <c r="J27" s="25" t="n">
        <v>930</v>
      </c>
      <c r="K27" s="25" t="n">
        <v>1192</v>
      </c>
      <c r="L27" s="25" t="n">
        <v>1326</v>
      </c>
      <c r="M27" s="25" t="n">
        <v>1465</v>
      </c>
      <c r="N27" s="25" t="n">
        <v>1505</v>
      </c>
      <c r="O27" s="25" t="n">
        <v>1611</v>
      </c>
      <c r="P27" s="25" t="n">
        <v>1903</v>
      </c>
      <c r="Q27" s="25" t="n">
        <v>2309</v>
      </c>
      <c r="R27" s="25" t="n">
        <v>2268</v>
      </c>
      <c r="S27" s="25" t="n">
        <v>2223</v>
      </c>
      <c r="T27" s="25" t="n">
        <v>2326</v>
      </c>
      <c r="U27" s="25" t="n">
        <v>2346</v>
      </c>
      <c r="V27" s="25" t="n">
        <v>3044</v>
      </c>
      <c r="W27" s="25" t="n">
        <v>4350</v>
      </c>
      <c r="X27" s="25" t="n">
        <v>6242</v>
      </c>
      <c r="Y27" s="25" t="n">
        <v>7535</v>
      </c>
      <c r="Z27" s="25" t="n">
        <v>7630</v>
      </c>
      <c r="AA27" s="25" t="n">
        <v>8162</v>
      </c>
      <c r="AB27" s="25" t="n">
        <v>8269</v>
      </c>
      <c r="AC27" s="25" t="n">
        <v>9991</v>
      </c>
      <c r="AD27" s="25" t="n">
        <v>13011</v>
      </c>
      <c r="AE27" s="25" t="n">
        <v>14731</v>
      </c>
      <c r="AF27" s="25" t="n">
        <v>38156</v>
      </c>
      <c r="AG27" s="25" t="n">
        <v>54468</v>
      </c>
      <c r="AH27" s="25" t="n">
        <v>65369</v>
      </c>
      <c r="AI27" s="25" t="n">
        <v>79186</v>
      </c>
      <c r="AJ27" s="25" t="n">
        <v>96101</v>
      </c>
      <c r="AK27" s="25" t="n">
        <v>122154</v>
      </c>
      <c r="AL27" s="25" t="n">
        <v>147206</v>
      </c>
      <c r="AM27" s="25" t="n">
        <v>178238</v>
      </c>
      <c r="AN27" s="25" t="n">
        <v>230973</v>
      </c>
      <c r="AO27" s="25" t="n">
        <v>323442</v>
      </c>
      <c r="AP27" s="25" t="n">
        <v>455944</v>
      </c>
    </row>
    <row r="28" customFormat="false" ht="15" hidden="false" customHeight="true" outlineLevel="0" collapsed="false">
      <c r="A28" s="26" t="s">
        <v>299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customFormat="false" ht="15" hidden="false" customHeight="true" outlineLevel="0" collapsed="false">
      <c r="A29" s="26" t="s">
        <v>300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301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302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303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</row>
    <row r="33" customFormat="false" ht="15" hidden="false" customHeight="true" outlineLevel="0" collapsed="false">
      <c r="A33" s="26" t="s">
        <v>304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  <row r="34" customFormat="false" ht="15" hidden="false" customHeight="true" outlineLevel="0" collapsed="false">
      <c r="A34" s="26" t="s">
        <v>305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customFormat="false" ht="15" hidden="false" customHeight="true" outlineLevel="0" collapsed="false">
      <c r="A35" s="26" t="s">
        <v>306</v>
      </c>
      <c r="D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307</v>
      </c>
      <c r="P36" s="25"/>
      <c r="Q36" s="25"/>
      <c r="R36" s="25" t="n">
        <v>1426</v>
      </c>
      <c r="S36" s="25" t="n">
        <v>180</v>
      </c>
      <c r="T36" s="25" t="n">
        <v>3115</v>
      </c>
      <c r="U36" s="25" t="n">
        <v>3309</v>
      </c>
      <c r="V36" s="25" t="n">
        <v>3866</v>
      </c>
      <c r="W36" s="25" t="n">
        <v>4760</v>
      </c>
      <c r="X36" s="25" t="n">
        <v>12108</v>
      </c>
      <c r="Y36" s="25" t="n">
        <v>12503</v>
      </c>
      <c r="Z36" s="25" t="n">
        <v>12394</v>
      </c>
      <c r="AA36" s="25" t="n">
        <v>12581</v>
      </c>
      <c r="AB36" s="25" t="n">
        <v>13452</v>
      </c>
      <c r="AC36" s="25" t="n">
        <v>14655</v>
      </c>
      <c r="AD36" s="25" t="n">
        <v>20127</v>
      </c>
      <c r="AE36" s="25" t="n">
        <v>16939</v>
      </c>
      <c r="AF36" s="25" t="n">
        <v>17872</v>
      </c>
      <c r="AG36" s="25" t="n">
        <v>35122</v>
      </c>
      <c r="AH36" s="25" t="n">
        <v>35683</v>
      </c>
      <c r="AI36" s="25" t="n">
        <v>42026</v>
      </c>
      <c r="AJ36" s="25" t="n">
        <v>43351</v>
      </c>
      <c r="AK36" s="25" t="n">
        <v>49711</v>
      </c>
      <c r="AL36" s="25" t="n">
        <v>67524</v>
      </c>
      <c r="AM36" s="25" t="n">
        <v>67886</v>
      </c>
      <c r="AN36" s="25" t="n">
        <v>119220</v>
      </c>
      <c r="AO36" s="25" t="n">
        <v>119509</v>
      </c>
      <c r="AP36" s="25" t="n">
        <v>119651</v>
      </c>
    </row>
    <row r="37" customFormat="false" ht="15" hidden="false" customHeight="true" outlineLevel="0" collapsed="false">
      <c r="A37" s="26" t="s">
        <v>308</v>
      </c>
      <c r="D37" s="25" t="n">
        <v>7.9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 t="n">
        <v>1912</v>
      </c>
      <c r="R37" s="25" t="n">
        <v>1669</v>
      </c>
      <c r="S37" s="25" t="n">
        <v>3512</v>
      </c>
      <c r="T37" s="25" t="n">
        <v>3684</v>
      </c>
      <c r="U37" s="25" t="n">
        <v>3808</v>
      </c>
      <c r="V37" s="25" t="n">
        <v>539</v>
      </c>
      <c r="W37" s="25" t="n">
        <v>878</v>
      </c>
      <c r="X37" s="25" t="n">
        <v>1973</v>
      </c>
      <c r="Y37" s="25" t="n">
        <v>1759</v>
      </c>
      <c r="Z37" s="25" t="n">
        <v>1158</v>
      </c>
      <c r="AA37" s="25" t="n">
        <v>744</v>
      </c>
      <c r="AB37" s="25" t="n">
        <v>3170</v>
      </c>
      <c r="AC37" s="25" t="n">
        <v>3083</v>
      </c>
      <c r="AD37" s="25" t="n">
        <v>6981</v>
      </c>
      <c r="AE37" s="25" t="n">
        <v>4835</v>
      </c>
      <c r="AF37" s="25" t="n">
        <v>3733</v>
      </c>
      <c r="AG37" s="25" t="n">
        <v>10106</v>
      </c>
      <c r="AH37" s="25" t="n">
        <v>8053</v>
      </c>
      <c r="AI37" s="25" t="n">
        <v>7750</v>
      </c>
      <c r="AJ37" s="25" t="n">
        <v>7038</v>
      </c>
      <c r="AK37" s="25" t="n">
        <v>7800</v>
      </c>
      <c r="AL37" s="25" t="n">
        <v>11298</v>
      </c>
      <c r="AM37" s="25" t="n">
        <v>9366</v>
      </c>
      <c r="AN37" s="25" t="n">
        <v>27597</v>
      </c>
      <c r="AO37" s="25" t="n">
        <v>22604</v>
      </c>
      <c r="AP37" s="25" t="n">
        <v>18609</v>
      </c>
    </row>
    <row r="38" customFormat="false" ht="15" hidden="false" customHeight="true" outlineLevel="0" collapsed="false">
      <c r="A38" s="26" t="s">
        <v>309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 t="n">
        <v>7754</v>
      </c>
      <c r="AA38" s="25" t="n">
        <v>10865</v>
      </c>
      <c r="AB38" s="25" t="n">
        <v>9776</v>
      </c>
      <c r="AC38" s="25" t="n">
        <v>10844</v>
      </c>
      <c r="AD38" s="25" t="n">
        <v>14597</v>
      </c>
      <c r="AE38" s="25" t="n">
        <v>12053</v>
      </c>
      <c r="AF38" s="25" t="n">
        <v>10431</v>
      </c>
      <c r="AG38" s="25" t="n">
        <v>6023</v>
      </c>
      <c r="AH38" s="25" t="n">
        <v>1862</v>
      </c>
      <c r="AI38" s="25" t="n">
        <v>2649</v>
      </c>
      <c r="AJ38" s="25" t="n">
        <v>2965</v>
      </c>
      <c r="AK38" s="25" t="n">
        <v>5984</v>
      </c>
      <c r="AL38" s="25" t="n">
        <v>6891</v>
      </c>
      <c r="AM38" s="25" t="n">
        <v>9879</v>
      </c>
      <c r="AN38" s="25" t="n">
        <v>14600</v>
      </c>
      <c r="AO38" s="25" t="n">
        <v>15133</v>
      </c>
      <c r="AP38" s="25" t="n">
        <v>36348</v>
      </c>
    </row>
    <row r="39" customFormat="false" ht="15" hidden="false" customHeight="true" outlineLevel="0" collapsed="false">
      <c r="A39" s="26" t="s">
        <v>310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6" t="s">
        <v>311</v>
      </c>
      <c r="V40" s="25"/>
      <c r="W40" s="25"/>
    </row>
    <row r="41" customFormat="false" ht="15" hidden="false" customHeight="true" outlineLevel="0" collapsed="false">
      <c r="A41" s="26" t="s">
        <v>312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customFormat="false" ht="15" hidden="false" customHeight="true" outlineLevel="0" collapsed="false">
      <c r="A42" s="26" t="s">
        <v>313</v>
      </c>
      <c r="S42" s="25"/>
      <c r="T42" s="25"/>
      <c r="U42" s="25"/>
      <c r="V42" s="25"/>
    </row>
    <row r="43" customFormat="false" ht="15" hidden="false" customHeight="true" outlineLevel="0" collapsed="false">
      <c r="A43" s="26" t="s">
        <v>314</v>
      </c>
      <c r="Q43" s="25"/>
      <c r="R43" s="25"/>
      <c r="S43" s="25"/>
    </row>
    <row r="44" customFormat="false" ht="15" hidden="false" customHeight="true" outlineLevel="0" collapsed="false">
      <c r="A44" s="26" t="s">
        <v>315</v>
      </c>
      <c r="V44" s="25"/>
      <c r="W44" s="25"/>
      <c r="X44" s="25"/>
      <c r="Y44" s="25"/>
    </row>
    <row r="45" customFormat="false" ht="15" hidden="false" customHeight="true" outlineLevel="0" collapsed="false">
      <c r="A45" s="26" t="s">
        <v>316</v>
      </c>
      <c r="B45" s="25" t="n">
        <v>3.2</v>
      </c>
      <c r="C45" s="25" t="n">
        <v>4.8</v>
      </c>
      <c r="D45" s="25" t="n">
        <v>9.7</v>
      </c>
      <c r="E45" s="25" t="n">
        <v>52.9</v>
      </c>
      <c r="F45" s="25" t="n">
        <v>60</v>
      </c>
      <c r="G45" s="25" t="n">
        <v>85.5</v>
      </c>
      <c r="H45" s="25" t="n">
        <v>103.6</v>
      </c>
      <c r="I45" s="25" t="n">
        <v>88</v>
      </c>
      <c r="J45" s="25" t="n">
        <v>121</v>
      </c>
      <c r="K45" s="25" t="n">
        <v>398</v>
      </c>
      <c r="L45" s="25" t="n">
        <v>928</v>
      </c>
      <c r="M45" s="25" t="n">
        <v>2549</v>
      </c>
      <c r="N45" s="25" t="n">
        <v>4963</v>
      </c>
      <c r="O45" s="25" t="n">
        <v>15312</v>
      </c>
      <c r="P45" s="25" t="n">
        <v>19939</v>
      </c>
      <c r="Q45" s="25" t="n">
        <v>15399</v>
      </c>
      <c r="R45" s="25" t="n">
        <v>15133</v>
      </c>
      <c r="S45" s="25" t="n">
        <v>14863</v>
      </c>
      <c r="T45" s="25" t="n">
        <v>13984</v>
      </c>
      <c r="U45" s="25" t="n">
        <v>12303</v>
      </c>
      <c r="V45" s="25" t="n">
        <v>10527</v>
      </c>
      <c r="W45" s="25" t="n">
        <v>1509</v>
      </c>
      <c r="X45" s="25" t="n">
        <v>1691</v>
      </c>
      <c r="Y45" s="25" t="n">
        <v>1599</v>
      </c>
      <c r="Z45" s="25" t="n">
        <v>1501</v>
      </c>
      <c r="AA45" s="25" t="n">
        <v>-1033</v>
      </c>
      <c r="AB45" s="25" t="n">
        <v>1520</v>
      </c>
      <c r="AC45" s="25" t="n">
        <v>2392</v>
      </c>
      <c r="AD45" s="25" t="n">
        <v>3422</v>
      </c>
      <c r="AE45" s="25" t="n">
        <v>3117</v>
      </c>
      <c r="AF45" s="25" t="n">
        <v>2166</v>
      </c>
      <c r="AG45" s="25" t="n">
        <v>5719</v>
      </c>
      <c r="AH45" s="25" t="n">
        <v>7442</v>
      </c>
      <c r="AI45" s="25" t="n">
        <v>14723</v>
      </c>
      <c r="AJ45" s="25" t="n">
        <v>13138</v>
      </c>
      <c r="AK45" s="25" t="n">
        <v>15075</v>
      </c>
      <c r="AL45" s="25" t="n">
        <v>21897</v>
      </c>
      <c r="AM45" s="25" t="n">
        <v>30601</v>
      </c>
      <c r="AN45" s="25" t="n">
        <v>36460</v>
      </c>
      <c r="AO45" s="25" t="n">
        <v>40837</v>
      </c>
      <c r="AP45" s="25" t="n">
        <v>38805</v>
      </c>
    </row>
    <row r="46" customFormat="false" ht="15" hidden="false" customHeight="true" outlineLevel="0" collapsed="false">
      <c r="A46" s="23" t="s">
        <v>317</v>
      </c>
      <c r="B46" s="25" t="n">
        <v>31.4</v>
      </c>
      <c r="C46" s="25" t="n">
        <v>48.7</v>
      </c>
      <c r="D46" s="25" t="n">
        <v>117.5</v>
      </c>
      <c r="E46" s="25" t="n">
        <v>158.8</v>
      </c>
      <c r="F46" s="25" t="n">
        <v>186.7</v>
      </c>
      <c r="G46" s="25" t="n">
        <v>293.4</v>
      </c>
      <c r="H46" s="25" t="n">
        <v>446.9</v>
      </c>
      <c r="I46" s="25" t="n">
        <v>563</v>
      </c>
      <c r="J46" s="25" t="n">
        <v>913</v>
      </c>
      <c r="K46" s="25" t="n">
        <v>1752</v>
      </c>
      <c r="L46" s="25" t="n">
        <v>3060</v>
      </c>
      <c r="M46" s="25" t="n">
        <v>3610</v>
      </c>
      <c r="N46" s="25" t="n">
        <v>5730</v>
      </c>
      <c r="O46" s="25" t="n">
        <v>10187</v>
      </c>
      <c r="P46" s="25" t="n">
        <v>10782</v>
      </c>
      <c r="Q46" s="25" t="n">
        <v>11541</v>
      </c>
      <c r="R46" s="25" t="n">
        <v>15466</v>
      </c>
      <c r="S46" s="25" t="n">
        <v>16820</v>
      </c>
      <c r="T46" s="25" t="n">
        <v>19543</v>
      </c>
      <c r="U46" s="25" t="n">
        <v>22700</v>
      </c>
      <c r="V46" s="25" t="n">
        <v>29493</v>
      </c>
      <c r="W46" s="25" t="n">
        <v>32074</v>
      </c>
      <c r="X46" s="25" t="n">
        <v>36507</v>
      </c>
      <c r="Y46" s="25" t="n">
        <v>38330</v>
      </c>
      <c r="Z46" s="25" t="n">
        <v>39938</v>
      </c>
      <c r="AA46" s="25" t="n">
        <v>51621</v>
      </c>
      <c r="AB46" s="25" t="n">
        <v>54908</v>
      </c>
      <c r="AC46" s="25" t="n">
        <v>63487</v>
      </c>
      <c r="AD46" s="25" t="n">
        <v>82600</v>
      </c>
      <c r="AE46" s="25" t="n">
        <v>94389</v>
      </c>
      <c r="AF46" s="25" t="n">
        <v>121697</v>
      </c>
      <c r="AG46" s="25" t="n">
        <v>168692</v>
      </c>
      <c r="AH46" s="25" t="n">
        <v>176130</v>
      </c>
      <c r="AI46" s="25" t="n">
        <v>184226</v>
      </c>
      <c r="AJ46" s="25" t="n">
        <v>183007</v>
      </c>
      <c r="AK46" s="25" t="n">
        <v>191791</v>
      </c>
      <c r="AL46" s="25" t="n">
        <v>198298</v>
      </c>
      <c r="AM46" s="25" t="n">
        <v>205753</v>
      </c>
      <c r="AN46" s="25" t="n">
        <v>243686</v>
      </c>
      <c r="AO46" s="25" t="n">
        <v>275524</v>
      </c>
      <c r="AP46" s="25" t="n">
        <v>315989</v>
      </c>
    </row>
    <row r="47" customFormat="false" ht="15" hidden="false" customHeight="true" outlineLevel="0" collapsed="false">
      <c r="A47" s="26" t="s">
        <v>318</v>
      </c>
      <c r="B47" s="25" t="n">
        <v>29.5</v>
      </c>
      <c r="C47" s="25" t="n">
        <v>46.6</v>
      </c>
      <c r="D47" s="25" t="n">
        <v>117.6</v>
      </c>
      <c r="E47" s="25" t="n">
        <v>158.8</v>
      </c>
      <c r="F47" s="25" t="n">
        <v>186.8</v>
      </c>
      <c r="G47" s="25" t="n">
        <v>293.4</v>
      </c>
      <c r="H47" s="25" t="n">
        <v>446.9</v>
      </c>
      <c r="I47" s="25" t="n">
        <v>563</v>
      </c>
      <c r="J47" s="25" t="n">
        <v>913</v>
      </c>
      <c r="K47" s="25" t="n">
        <v>1347</v>
      </c>
      <c r="L47" s="25" t="n">
        <v>2425</v>
      </c>
      <c r="M47" s="25" t="n">
        <v>3610</v>
      </c>
      <c r="N47" s="25" t="n">
        <v>5730</v>
      </c>
      <c r="O47" s="25" t="n">
        <v>8802</v>
      </c>
      <c r="P47" s="25" t="n">
        <v>9755</v>
      </c>
      <c r="Q47" s="25" t="n">
        <v>9254</v>
      </c>
      <c r="R47" s="25" t="n">
        <v>12744</v>
      </c>
      <c r="S47" s="25" t="n">
        <v>13974</v>
      </c>
      <c r="T47" s="25" t="n">
        <v>14969</v>
      </c>
      <c r="U47" s="25" t="n">
        <v>16877</v>
      </c>
      <c r="V47" s="25" t="n">
        <v>22442</v>
      </c>
      <c r="W47" s="25" t="n">
        <v>23754</v>
      </c>
      <c r="X47" s="25" t="n">
        <v>29886</v>
      </c>
      <c r="Y47" s="25" t="n">
        <v>27034</v>
      </c>
      <c r="Z47" s="25" t="n">
        <v>26147</v>
      </c>
      <c r="AA47" s="25" t="n">
        <v>28774</v>
      </c>
      <c r="AB47" s="25" t="n">
        <v>32688</v>
      </c>
      <c r="AC47" s="25" t="n">
        <v>37417</v>
      </c>
      <c r="AD47" s="25" t="n">
        <v>45625</v>
      </c>
      <c r="AE47" s="25" t="n">
        <v>49647</v>
      </c>
      <c r="AF47" s="25" t="n">
        <v>59357</v>
      </c>
      <c r="AG47" s="25" t="n">
        <v>64527</v>
      </c>
      <c r="AH47" s="25" t="n">
        <v>58488</v>
      </c>
      <c r="AI47" s="25" t="n">
        <v>69420</v>
      </c>
      <c r="AJ47" s="25" t="n">
        <v>72310</v>
      </c>
      <c r="AK47" s="25" t="n">
        <v>88657</v>
      </c>
      <c r="AL47" s="25" t="n">
        <v>95082</v>
      </c>
      <c r="AM47" s="25" t="n">
        <v>104149</v>
      </c>
      <c r="AN47" s="25" t="n">
        <v>125286</v>
      </c>
      <c r="AO47" s="25" t="n">
        <v>141218</v>
      </c>
      <c r="AP47" s="25" t="n">
        <v>168825</v>
      </c>
    </row>
    <row r="48" customFormat="false" ht="15" hidden="false" customHeight="true" outlineLevel="0" collapsed="false">
      <c r="A48" s="26" t="s">
        <v>319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customFormat="false" ht="15" hidden="false" customHeight="true" outlineLevel="0" collapsed="false">
      <c r="A49" s="26" t="s">
        <v>320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customFormat="false" ht="15" hidden="false" customHeight="true" outlineLevel="0" collapsed="false">
      <c r="A50" s="26" t="s">
        <v>321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6" t="s">
        <v>322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6" t="s">
        <v>323</v>
      </c>
      <c r="X52" s="25"/>
      <c r="Y52" s="25"/>
      <c r="Z52" s="25"/>
      <c r="AA52" s="25"/>
    </row>
    <row r="53" customFormat="false" ht="15" hidden="false" customHeight="true" outlineLevel="0" collapsed="false">
      <c r="A53" s="26" t="s">
        <v>324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6" t="s">
        <v>325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customFormat="false" ht="15" hidden="false" customHeight="true" outlineLevel="0" collapsed="false">
      <c r="A55" s="26" t="s">
        <v>326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6" t="s">
        <v>327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6" t="s">
        <v>328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6" t="s">
        <v>329</v>
      </c>
      <c r="B58" s="25"/>
      <c r="C58" s="25" t="n">
        <v>5.1</v>
      </c>
      <c r="D58" s="25" t="n">
        <v>20.3</v>
      </c>
      <c r="E58" s="25" t="n">
        <v>25.4</v>
      </c>
      <c r="F58" s="25" t="n">
        <v>6.5</v>
      </c>
      <c r="G58" s="25" t="n">
        <v>19.5</v>
      </c>
      <c r="H58" s="25" t="n">
        <v>8.3</v>
      </c>
      <c r="I58" s="25"/>
      <c r="J58" s="25"/>
      <c r="K58" s="25"/>
      <c r="L58" s="25"/>
      <c r="M58" s="25"/>
      <c r="N58" s="25"/>
      <c r="O58" s="25"/>
      <c r="P58" s="25"/>
      <c r="Q58" s="25" t="n">
        <v>742</v>
      </c>
      <c r="R58" s="25" t="n">
        <v>1145</v>
      </c>
      <c r="S58" s="25" t="n">
        <v>1416</v>
      </c>
      <c r="T58" s="25" t="n">
        <v>1339</v>
      </c>
      <c r="U58" s="25" t="n">
        <v>1662</v>
      </c>
      <c r="V58" s="25" t="n">
        <v>3495</v>
      </c>
      <c r="W58" s="25" t="n">
        <v>2325</v>
      </c>
      <c r="X58" s="25" t="n">
        <v>8796</v>
      </c>
      <c r="Y58" s="25" t="n">
        <v>2000</v>
      </c>
      <c r="Z58" s="25" t="n">
        <v>1000</v>
      </c>
      <c r="AA58" s="25" t="n">
        <v>5363</v>
      </c>
      <c r="AB58" s="25" t="n">
        <v>1231</v>
      </c>
      <c r="AC58" s="25" t="n">
        <v>2999</v>
      </c>
      <c r="AD58" s="25" t="n">
        <v>2000</v>
      </c>
      <c r="AE58" s="25" t="n">
        <v>7484</v>
      </c>
      <c r="AF58" s="25" t="n">
        <v>12904</v>
      </c>
      <c r="AG58" s="25" t="n">
        <v>10121</v>
      </c>
      <c r="AH58" s="25" t="n">
        <v>3998</v>
      </c>
      <c r="AI58" s="25" t="n">
        <v>5516</v>
      </c>
      <c r="AJ58" s="25" t="n">
        <v>3749</v>
      </c>
      <c r="AK58" s="25" t="n">
        <v>8072</v>
      </c>
      <c r="AL58" s="25" t="n">
        <v>2749</v>
      </c>
      <c r="AM58" s="25" t="n">
        <v>5247</v>
      </c>
      <c r="AN58" s="25" t="n">
        <v>8942</v>
      </c>
      <c r="AO58" s="25" t="n">
        <v>2999</v>
      </c>
      <c r="AP58" s="25" t="n">
        <v>18905.3</v>
      </c>
    </row>
    <row r="59" customFormat="false" ht="15" hidden="false" customHeight="true" outlineLevel="0" collapsed="false">
      <c r="A59" s="26" t="s">
        <v>330</v>
      </c>
      <c r="B59" s="25"/>
      <c r="C59" s="25" t="n">
        <v>5.1</v>
      </c>
      <c r="D59" s="25" t="n">
        <v>20.3</v>
      </c>
      <c r="E59" s="25" t="n">
        <v>25.4</v>
      </c>
      <c r="F59" s="25" t="n">
        <v>6.5</v>
      </c>
      <c r="G59" s="25" t="n">
        <v>19.5</v>
      </c>
      <c r="H59" s="25" t="n">
        <v>8.3</v>
      </c>
      <c r="I59" s="25"/>
      <c r="J59" s="25"/>
      <c r="K59" s="25"/>
      <c r="L59" s="25"/>
      <c r="M59" s="25"/>
      <c r="N59" s="25"/>
      <c r="O59" s="25"/>
      <c r="P59" s="25"/>
      <c r="Q59" s="25" t="n">
        <v>742</v>
      </c>
      <c r="R59" s="25" t="n">
        <v>1145</v>
      </c>
      <c r="S59" s="25" t="n">
        <v>1416</v>
      </c>
      <c r="T59" s="25" t="n">
        <v>1339</v>
      </c>
      <c r="U59" s="25" t="n">
        <v>1662</v>
      </c>
      <c r="V59" s="25" t="n">
        <v>3495</v>
      </c>
      <c r="W59" s="25" t="n">
        <v>2325</v>
      </c>
      <c r="X59" s="25" t="n">
        <v>8796</v>
      </c>
      <c r="Y59" s="25" t="n">
        <v>2000</v>
      </c>
      <c r="Z59" s="25" t="n">
        <v>1000</v>
      </c>
      <c r="AA59" s="25" t="n">
        <v>5363</v>
      </c>
      <c r="AB59" s="25" t="n">
        <v>1231</v>
      </c>
      <c r="AC59" s="25" t="n">
        <v>2999</v>
      </c>
      <c r="AD59" s="25" t="n">
        <v>2000</v>
      </c>
      <c r="AE59" s="25" t="n">
        <v>7484</v>
      </c>
      <c r="AF59" s="25" t="n">
        <v>12904</v>
      </c>
      <c r="AG59" s="25" t="n">
        <v>10121</v>
      </c>
      <c r="AH59" s="25" t="n">
        <v>3998</v>
      </c>
      <c r="AI59" s="25" t="n">
        <v>5516</v>
      </c>
      <c r="AJ59" s="25" t="n">
        <v>3749</v>
      </c>
      <c r="AK59" s="25" t="n">
        <v>8072</v>
      </c>
      <c r="AL59" s="25" t="n">
        <v>2749</v>
      </c>
      <c r="AM59" s="25" t="n">
        <v>5247</v>
      </c>
      <c r="AN59" s="25" t="n">
        <v>8942</v>
      </c>
      <c r="AO59" s="25" t="n">
        <v>2999</v>
      </c>
      <c r="AP59" s="25" t="n">
        <v>18905.3</v>
      </c>
    </row>
    <row r="60" customFormat="false" ht="15" hidden="false" customHeight="true" outlineLevel="0" collapsed="false">
      <c r="A60" s="26" t="s">
        <v>331</v>
      </c>
      <c r="AL60" s="25"/>
      <c r="AM60" s="25"/>
      <c r="AN60" s="25"/>
    </row>
    <row r="61" customFormat="false" ht="15" hidden="false" customHeight="true" outlineLevel="0" collapsed="false">
      <c r="A61" s="26" t="s">
        <v>332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H61" s="25"/>
      <c r="AI61" s="25"/>
      <c r="AJ61" s="25"/>
      <c r="AK61" s="25"/>
      <c r="AL61" s="25"/>
      <c r="AM61" s="25"/>
      <c r="AN61" s="25"/>
      <c r="AO61" s="25"/>
    </row>
    <row r="62" customFormat="false" ht="15" hidden="false" customHeight="true" outlineLevel="0" collapsed="false">
      <c r="A62" s="26" t="s">
        <v>333</v>
      </c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</row>
    <row r="63" customFormat="false" ht="15" hidden="false" customHeight="true" outlineLevel="0" collapsed="false">
      <c r="A63" s="26" t="s">
        <v>334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 customFormat="false" ht="15" hidden="false" customHeight="true" outlineLevel="0" collapsed="false">
      <c r="A64" s="26" t="s">
        <v>335</v>
      </c>
      <c r="AH64" s="27" t="n">
        <v>5568</v>
      </c>
      <c r="AI64" s="27" t="n">
        <v>6188</v>
      </c>
      <c r="AJ64" s="25" t="n">
        <v>7671</v>
      </c>
      <c r="AK64" s="25" t="n">
        <v>9629</v>
      </c>
      <c r="AL64" s="27" t="n">
        <v>11489</v>
      </c>
      <c r="AM64" s="27" t="n">
        <v>12728</v>
      </c>
      <c r="AN64" s="27" t="n">
        <v>15497</v>
      </c>
      <c r="AO64" s="27" t="n">
        <v>17437</v>
      </c>
      <c r="AP64" s="27" t="n">
        <v>16532</v>
      </c>
    </row>
    <row r="65" customFormat="false" ht="15" hidden="false" customHeight="true" outlineLevel="0" collapsed="false">
      <c r="A65" s="26" t="s">
        <v>336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customFormat="false" ht="15" hidden="false" customHeight="true" outlineLevel="0" collapsed="false">
      <c r="A66" s="26" t="s">
        <v>337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customFormat="false" ht="15" hidden="false" customHeight="true" outlineLevel="0" collapsed="false">
      <c r="A67" s="26" t="s">
        <v>338</v>
      </c>
      <c r="B67" s="25" t="n">
        <v>29.5</v>
      </c>
      <c r="C67" s="25" t="n">
        <v>41.5</v>
      </c>
      <c r="D67" s="25" t="n">
        <v>97.3</v>
      </c>
      <c r="E67" s="25" t="n">
        <v>91.4</v>
      </c>
      <c r="F67" s="25" t="n">
        <v>129.3</v>
      </c>
      <c r="G67" s="25" t="n">
        <v>188</v>
      </c>
      <c r="H67" s="25" t="n">
        <v>251.1</v>
      </c>
      <c r="I67" s="25" t="n">
        <v>324</v>
      </c>
      <c r="J67" s="25" t="n">
        <v>589</v>
      </c>
      <c r="K67" s="25" t="n">
        <v>784</v>
      </c>
      <c r="L67" s="25" t="n">
        <v>1617</v>
      </c>
      <c r="M67" s="25" t="n">
        <v>2889</v>
      </c>
      <c r="N67" s="25" t="n">
        <v>4971</v>
      </c>
      <c r="O67" s="25" t="n">
        <v>7928</v>
      </c>
      <c r="P67" s="25" t="n">
        <v>3856</v>
      </c>
      <c r="Q67" s="25" t="n">
        <v>3671</v>
      </c>
      <c r="R67" s="25" t="n">
        <v>3594</v>
      </c>
      <c r="S67" s="25" t="n">
        <v>5176</v>
      </c>
      <c r="T67" s="25" t="n">
        <v>6738</v>
      </c>
      <c r="U67" s="25" t="n">
        <v>7289</v>
      </c>
      <c r="V67" s="25" t="n">
        <v>10395</v>
      </c>
      <c r="W67" s="25" t="n">
        <v>9728</v>
      </c>
      <c r="X67" s="25" t="n">
        <v>9207</v>
      </c>
      <c r="Y67" s="27" t="n">
        <v>8707</v>
      </c>
      <c r="Z67" s="25" t="n">
        <v>6396</v>
      </c>
      <c r="AA67" s="25" t="n">
        <v>3492</v>
      </c>
      <c r="AB67" s="25" t="n">
        <v>7840</v>
      </c>
      <c r="AC67" s="27" t="n">
        <v>8359</v>
      </c>
      <c r="AD67" s="27" t="n">
        <v>12261</v>
      </c>
      <c r="AE67" s="27" t="n">
        <v>11743</v>
      </c>
      <c r="AF67" s="27" t="n">
        <v>12087</v>
      </c>
      <c r="AG67" s="27" t="n">
        <v>12914</v>
      </c>
      <c r="AH67" s="27" t="n">
        <v>16968</v>
      </c>
      <c r="AI67" s="27" t="n">
        <v>21846</v>
      </c>
      <c r="AJ67" s="27" t="n">
        <v>20031</v>
      </c>
      <c r="AK67" s="27" t="n">
        <v>23897</v>
      </c>
      <c r="AL67" s="25" t="n">
        <v>27795</v>
      </c>
      <c r="AM67" s="25" t="n">
        <v>29906</v>
      </c>
      <c r="AN67" s="27" t="n">
        <v>25820</v>
      </c>
      <c r="AO67" s="27" t="n">
        <v>37344</v>
      </c>
      <c r="AP67" s="27" t="n">
        <v>34538.7</v>
      </c>
    </row>
    <row r="68" customFormat="false" ht="15" hidden="false" customHeight="true" outlineLevel="0" collapsed="false">
      <c r="A68" s="26" t="s">
        <v>339</v>
      </c>
      <c r="B68" s="25" t="n">
        <v>1.9</v>
      </c>
      <c r="C68" s="25" t="n">
        <v>2.1</v>
      </c>
      <c r="D68" s="25" t="n">
        <v>-0.1</v>
      </c>
      <c r="E68" s="25"/>
      <c r="F68" s="25" t="n">
        <v>-0.1</v>
      </c>
      <c r="G68" s="25"/>
      <c r="H68" s="25"/>
      <c r="I68" s="25"/>
      <c r="J68" s="25"/>
      <c r="K68" s="25" t="n">
        <v>405</v>
      </c>
      <c r="L68" s="25" t="n">
        <v>635</v>
      </c>
      <c r="M68" s="25"/>
      <c r="N68" s="25"/>
      <c r="O68" s="25" t="n">
        <v>1385</v>
      </c>
      <c r="P68" s="25" t="n">
        <v>1027</v>
      </c>
      <c r="Q68" s="25" t="n">
        <v>2287</v>
      </c>
      <c r="R68" s="25" t="n">
        <v>2722</v>
      </c>
      <c r="S68" s="25" t="n">
        <v>2846</v>
      </c>
      <c r="T68" s="25" t="n">
        <v>4574</v>
      </c>
      <c r="U68" s="25" t="n">
        <v>5823</v>
      </c>
      <c r="V68" s="25" t="n">
        <v>7051</v>
      </c>
      <c r="W68" s="25" t="n">
        <v>8320</v>
      </c>
      <c r="X68" s="25" t="n">
        <v>6621</v>
      </c>
      <c r="Y68" s="25" t="n">
        <v>11296</v>
      </c>
      <c r="Z68" s="25" t="n">
        <v>13791</v>
      </c>
      <c r="AA68" s="25" t="n">
        <v>22847</v>
      </c>
      <c r="AB68" s="25" t="n">
        <v>22220</v>
      </c>
      <c r="AC68" s="25" t="n">
        <v>26070</v>
      </c>
      <c r="AD68" s="25" t="n">
        <v>36975</v>
      </c>
      <c r="AE68" s="25" t="n">
        <v>44742</v>
      </c>
      <c r="AF68" s="25" t="n">
        <v>62340</v>
      </c>
      <c r="AG68" s="25" t="n">
        <v>104165</v>
      </c>
      <c r="AH68" s="25" t="n">
        <v>117642</v>
      </c>
      <c r="AI68" s="25" t="n">
        <v>114806</v>
      </c>
      <c r="AJ68" s="25" t="n">
        <v>110697</v>
      </c>
      <c r="AK68" s="25" t="n">
        <v>103134</v>
      </c>
      <c r="AL68" s="25" t="n">
        <v>103216</v>
      </c>
      <c r="AM68" s="25" t="n">
        <v>101604</v>
      </c>
      <c r="AN68" s="25" t="n">
        <v>118400</v>
      </c>
      <c r="AO68" s="25" t="n">
        <v>134306</v>
      </c>
      <c r="AP68" s="25" t="n">
        <v>147164</v>
      </c>
    </row>
    <row r="69" customFormat="false" ht="15" hidden="false" customHeight="true" outlineLevel="0" collapsed="false">
      <c r="A69" s="26" t="s">
        <v>340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 t="n">
        <v>3756</v>
      </c>
      <c r="Z69" s="25" t="n">
        <v>4939</v>
      </c>
      <c r="AA69" s="25" t="n">
        <v>11921</v>
      </c>
      <c r="AB69" s="25" t="n">
        <v>10713</v>
      </c>
      <c r="AC69" s="25" t="n">
        <v>12601</v>
      </c>
      <c r="AD69" s="25" t="n">
        <v>20645</v>
      </c>
      <c r="AE69" s="25" t="n">
        <v>27808</v>
      </c>
      <c r="AF69" s="25" t="n">
        <v>40783</v>
      </c>
      <c r="AG69" s="25" t="n">
        <v>76073</v>
      </c>
      <c r="AH69" s="25" t="n">
        <v>77810</v>
      </c>
      <c r="AI69" s="25" t="n">
        <v>72850</v>
      </c>
      <c r="AJ69" s="25" t="n">
        <v>67249</v>
      </c>
      <c r="AK69" s="25" t="n">
        <v>59703</v>
      </c>
      <c r="AL69" s="25" t="n">
        <v>58521</v>
      </c>
      <c r="AM69" s="25" t="n">
        <v>54718</v>
      </c>
      <c r="AN69" s="25" t="n">
        <v>58185</v>
      </c>
      <c r="AO69" s="25" t="n">
        <v>57589</v>
      </c>
      <c r="AP69" s="25"/>
    </row>
    <row r="70" customFormat="false" ht="15" hidden="false" customHeight="true" outlineLevel="0" collapsed="false">
      <c r="A70" s="26" t="s">
        <v>341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 t="n">
        <v>3756</v>
      </c>
      <c r="Z70" s="25" t="n">
        <v>4939</v>
      </c>
      <c r="AA70" s="25" t="n">
        <v>11921</v>
      </c>
      <c r="AB70" s="25" t="n">
        <v>10713</v>
      </c>
      <c r="AC70" s="25" t="n">
        <v>12601</v>
      </c>
      <c r="AD70" s="25" t="n">
        <v>20645</v>
      </c>
      <c r="AE70" s="25" t="n">
        <v>27808</v>
      </c>
      <c r="AF70" s="25" t="n">
        <v>40783</v>
      </c>
      <c r="AG70" s="25" t="n">
        <v>76073</v>
      </c>
      <c r="AH70" s="25" t="n">
        <v>72242</v>
      </c>
      <c r="AI70" s="25" t="n">
        <v>66662</v>
      </c>
      <c r="AJ70" s="25" t="n">
        <v>59578</v>
      </c>
      <c r="AK70" s="25" t="n">
        <v>50074</v>
      </c>
      <c r="AL70" s="25" t="n">
        <v>47032</v>
      </c>
      <c r="AM70" s="25" t="n">
        <v>41990</v>
      </c>
      <c r="AN70" s="25" t="n">
        <v>42688</v>
      </c>
      <c r="AO70" s="25" t="n">
        <v>40152</v>
      </c>
      <c r="AP70" s="25" t="n">
        <v>31067</v>
      </c>
    </row>
    <row r="71" customFormat="false" ht="15" hidden="false" customHeight="true" outlineLevel="0" collapsed="false">
      <c r="A71" s="26" t="s">
        <v>342</v>
      </c>
      <c r="AH71" s="27" t="n">
        <v>5568</v>
      </c>
      <c r="AI71" s="25" t="n">
        <v>6188</v>
      </c>
      <c r="AJ71" s="25" t="n">
        <v>7671</v>
      </c>
      <c r="AK71" s="25" t="n">
        <v>9629</v>
      </c>
      <c r="AL71" s="25" t="n">
        <v>11489</v>
      </c>
      <c r="AM71" s="25" t="n">
        <v>12728</v>
      </c>
      <c r="AN71" s="25" t="n">
        <v>15497</v>
      </c>
      <c r="AO71" s="25" t="n">
        <v>17437</v>
      </c>
      <c r="AP71" s="25" t="n">
        <v>16532</v>
      </c>
    </row>
    <row r="72" customFormat="false" ht="15" hidden="false" customHeight="true" outlineLevel="0" collapsed="false">
      <c r="A72" s="26" t="s">
        <v>343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 t="n">
        <v>1407</v>
      </c>
      <c r="AA72" s="25" t="n">
        <v>2854</v>
      </c>
      <c r="AB72" s="25" t="n">
        <v>3299</v>
      </c>
      <c r="AC72" s="25" t="n">
        <v>3469</v>
      </c>
      <c r="AD72" s="25" t="n">
        <v>4736</v>
      </c>
      <c r="AE72" s="25" t="n">
        <v>4930</v>
      </c>
      <c r="AF72" s="25" t="n">
        <v>7917</v>
      </c>
      <c r="AG72" s="25" t="n">
        <v>10908</v>
      </c>
      <c r="AH72" s="25" t="n">
        <v>541</v>
      </c>
      <c r="AI72" s="25" t="n">
        <v>233</v>
      </c>
      <c r="AJ72" s="25" t="n">
        <v>204</v>
      </c>
      <c r="AK72" s="25" t="n">
        <v>198</v>
      </c>
      <c r="AL72" s="25" t="n">
        <v>230</v>
      </c>
      <c r="AM72" s="25"/>
      <c r="AN72" s="25"/>
      <c r="AO72" s="25"/>
      <c r="AP72" s="25"/>
    </row>
    <row r="73" customFormat="false" ht="15" hidden="false" customHeight="true" outlineLevel="0" collapsed="false">
      <c r="A73" s="26" t="s">
        <v>344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customFormat="false" ht="15" hidden="false" customHeight="true" outlineLevel="0" collapsed="false">
      <c r="A74" s="26" t="s">
        <v>345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customFormat="false" ht="15" hidden="false" customHeight="true" outlineLevel="0" collapsed="false">
      <c r="A75" s="26" t="s">
        <v>346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customFormat="false" ht="15" hidden="false" customHeight="true" outlineLevel="0" collapsed="false">
      <c r="A76" s="26" t="s">
        <v>347</v>
      </c>
      <c r="M76" s="25"/>
      <c r="N76" s="25"/>
      <c r="O76" s="25"/>
      <c r="P76" s="25"/>
      <c r="Q76" s="25"/>
      <c r="R76" s="25"/>
    </row>
    <row r="77" customFormat="false" ht="15" hidden="false" customHeight="true" outlineLevel="0" collapsed="false">
      <c r="A77" s="26" t="s">
        <v>348</v>
      </c>
      <c r="B77" s="25"/>
      <c r="C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 t="n">
        <v>7445</v>
      </c>
      <c r="AA77" s="25" t="n">
        <v>8072</v>
      </c>
      <c r="AB77" s="25" t="n">
        <v>8208</v>
      </c>
      <c r="AC77" s="25" t="n">
        <v>10000</v>
      </c>
      <c r="AD77" s="25" t="n">
        <v>11594</v>
      </c>
      <c r="AE77" s="25" t="n">
        <v>13544</v>
      </c>
      <c r="AF77" s="25" t="n">
        <v>13640</v>
      </c>
      <c r="AG77" s="25" t="n">
        <v>17184</v>
      </c>
      <c r="AH77" s="25" t="n">
        <v>44859</v>
      </c>
      <c r="AI77" s="25" t="n">
        <v>47911</v>
      </c>
      <c r="AJ77" s="25" t="n">
        <v>50915</v>
      </c>
      <c r="AK77" s="25" t="n">
        <v>13427</v>
      </c>
      <c r="AL77" s="25" t="n">
        <v>15526</v>
      </c>
      <c r="AM77" s="25" t="n">
        <v>17981</v>
      </c>
      <c r="AN77" s="25" t="n">
        <v>27064</v>
      </c>
      <c r="AO77" s="25" t="n">
        <v>45186</v>
      </c>
      <c r="AP77" s="25" t="n">
        <v>65117</v>
      </c>
    </row>
    <row r="78" customFormat="false" ht="15" hidden="false" customHeight="true" outlineLevel="0" collapsed="false">
      <c r="A78" s="23" t="s">
        <v>349</v>
      </c>
      <c r="B78" s="25" t="n">
        <v>139.3</v>
      </c>
      <c r="C78" s="25" t="n">
        <v>239.1</v>
      </c>
      <c r="D78" s="25" t="n">
        <v>375.5</v>
      </c>
      <c r="E78" s="25" t="n">
        <v>561.8</v>
      </c>
      <c r="F78" s="25" t="n">
        <v>918.6</v>
      </c>
      <c r="G78" s="25" t="n">
        <v>1350.8</v>
      </c>
      <c r="H78" s="25" t="n">
        <v>2193</v>
      </c>
      <c r="I78" s="25" t="n">
        <v>3242</v>
      </c>
      <c r="J78" s="25" t="n">
        <v>4450</v>
      </c>
      <c r="K78" s="25" t="n">
        <v>5333</v>
      </c>
      <c r="L78" s="25" t="n">
        <v>6908</v>
      </c>
      <c r="M78" s="25" t="n">
        <v>10777</v>
      </c>
      <c r="N78" s="25" t="n">
        <v>16627</v>
      </c>
      <c r="O78" s="25" t="n">
        <v>28438</v>
      </c>
      <c r="P78" s="25" t="n">
        <v>41368</v>
      </c>
      <c r="Q78" s="25" t="n">
        <v>47289</v>
      </c>
      <c r="R78" s="25" t="n">
        <v>52180</v>
      </c>
      <c r="S78" s="25" t="n">
        <v>61020</v>
      </c>
      <c r="T78" s="25" t="n">
        <v>74825</v>
      </c>
      <c r="U78" s="25" t="n">
        <v>48115</v>
      </c>
      <c r="V78" s="25" t="n">
        <v>40104</v>
      </c>
      <c r="W78" s="25" t="n">
        <v>31097</v>
      </c>
      <c r="X78" s="25" t="n">
        <v>36286</v>
      </c>
      <c r="Y78" s="25" t="n">
        <v>39558</v>
      </c>
      <c r="Z78" s="25" t="n">
        <v>46175</v>
      </c>
      <c r="AA78" s="25" t="n">
        <v>57083</v>
      </c>
      <c r="AB78" s="25" t="n">
        <v>66363</v>
      </c>
      <c r="AC78" s="25" t="n">
        <v>78944</v>
      </c>
      <c r="AD78" s="25" t="n">
        <v>89784</v>
      </c>
      <c r="AE78" s="25" t="n">
        <v>80083</v>
      </c>
      <c r="AF78" s="25" t="n">
        <v>71997</v>
      </c>
      <c r="AG78" s="25" t="n">
        <v>72394</v>
      </c>
      <c r="AH78" s="25" t="n">
        <v>82718</v>
      </c>
      <c r="AI78" s="25" t="n">
        <v>102330</v>
      </c>
      <c r="AJ78" s="25" t="n">
        <v>118304</v>
      </c>
      <c r="AK78" s="25" t="n">
        <v>141988</v>
      </c>
      <c r="AL78" s="25" t="n">
        <v>166542</v>
      </c>
      <c r="AM78" s="25" t="n">
        <v>206223</v>
      </c>
      <c r="AN78" s="25" t="n">
        <v>268477</v>
      </c>
      <c r="AO78" s="25" t="n">
        <v>343479</v>
      </c>
      <c r="AP78" s="25" t="n">
        <v>442387</v>
      </c>
    </row>
    <row r="79" customFormat="false" ht="15" hidden="false" customHeight="true" outlineLevel="0" collapsed="false">
      <c r="A79" s="26" t="s">
        <v>350</v>
      </c>
      <c r="B79" s="25" t="n">
        <v>139.3</v>
      </c>
      <c r="C79" s="25" t="n">
        <v>239.1</v>
      </c>
      <c r="D79" s="25" t="n">
        <v>375.5</v>
      </c>
      <c r="E79" s="25" t="n">
        <v>561.8</v>
      </c>
      <c r="F79" s="25" t="n">
        <v>918.6</v>
      </c>
      <c r="G79" s="25" t="n">
        <v>1350.8</v>
      </c>
      <c r="H79" s="25" t="n">
        <v>2193</v>
      </c>
      <c r="I79" s="25" t="n">
        <v>3242</v>
      </c>
      <c r="J79" s="25" t="n">
        <v>4450</v>
      </c>
      <c r="K79" s="25" t="n">
        <v>5333</v>
      </c>
      <c r="L79" s="25" t="n">
        <v>6908</v>
      </c>
      <c r="M79" s="25" t="n">
        <v>10777</v>
      </c>
      <c r="N79" s="25" t="n">
        <v>16627</v>
      </c>
      <c r="O79" s="25" t="n">
        <v>28438</v>
      </c>
      <c r="P79" s="25" t="n">
        <v>41368</v>
      </c>
      <c r="Q79" s="25" t="n">
        <v>47289</v>
      </c>
      <c r="R79" s="25" t="n">
        <v>52180</v>
      </c>
      <c r="S79" s="25" t="n">
        <v>61020</v>
      </c>
      <c r="T79" s="25" t="n">
        <v>74825</v>
      </c>
      <c r="U79" s="25" t="n">
        <v>48115</v>
      </c>
      <c r="V79" s="25" t="n">
        <v>40104</v>
      </c>
      <c r="W79" s="25" t="n">
        <v>31097</v>
      </c>
      <c r="X79" s="25" t="n">
        <v>36286</v>
      </c>
      <c r="Y79" s="25" t="n">
        <v>39558</v>
      </c>
      <c r="Z79" s="25" t="n">
        <v>46175</v>
      </c>
      <c r="AA79" s="25" t="n">
        <v>57083</v>
      </c>
      <c r="AB79" s="25" t="n">
        <v>66363</v>
      </c>
      <c r="AC79" s="25" t="n">
        <v>78944</v>
      </c>
      <c r="AD79" s="25" t="n">
        <v>89784</v>
      </c>
      <c r="AE79" s="25" t="n">
        <v>80083</v>
      </c>
      <c r="AF79" s="25" t="n">
        <v>71997</v>
      </c>
      <c r="AG79" s="25" t="n">
        <v>72394</v>
      </c>
      <c r="AH79" s="25" t="n">
        <v>82718</v>
      </c>
      <c r="AI79" s="25" t="n">
        <v>102330</v>
      </c>
      <c r="AJ79" s="25" t="n">
        <v>118304</v>
      </c>
      <c r="AK79" s="25" t="n">
        <v>141988</v>
      </c>
      <c r="AL79" s="25" t="n">
        <v>166542</v>
      </c>
      <c r="AM79" s="25" t="n">
        <v>206223</v>
      </c>
      <c r="AN79" s="25" t="n">
        <v>268477</v>
      </c>
      <c r="AO79" s="25" t="n">
        <v>343479</v>
      </c>
      <c r="AP79" s="25" t="n">
        <v>442387</v>
      </c>
    </row>
    <row r="80" customFormat="false" ht="15" hidden="false" customHeight="true" outlineLevel="0" collapsed="false">
      <c r="A80" s="26" t="s">
        <v>351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 t="n">
        <v>78520</v>
      </c>
      <c r="AJ80" s="25" t="n">
        <v>80552</v>
      </c>
      <c r="AK80" s="25" t="n">
        <v>83111</v>
      </c>
      <c r="AL80" s="25" t="n">
        <v>86939</v>
      </c>
      <c r="AM80" s="25" t="n">
        <v>93718</v>
      </c>
      <c r="AN80" s="25" t="n">
        <v>100923</v>
      </c>
      <c r="AO80" s="25" t="n">
        <v>109095</v>
      </c>
      <c r="AP80" s="25" t="n">
        <v>117406</v>
      </c>
    </row>
    <row r="81" customFormat="false" ht="15" hidden="false" customHeight="true" outlineLevel="0" collapsed="false">
      <c r="A81" s="26" t="s">
        <v>352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Z81" s="27" t="n">
        <v>0</v>
      </c>
      <c r="AA81" s="27" t="n">
        <v>0</v>
      </c>
      <c r="AB81" s="27" t="n">
        <v>0</v>
      </c>
      <c r="AC81" s="27" t="n">
        <v>0</v>
      </c>
      <c r="AD81" s="27" t="n">
        <v>0</v>
      </c>
      <c r="AE81" s="27" t="n">
        <v>0</v>
      </c>
      <c r="AF81" s="27" t="n">
        <v>0</v>
      </c>
      <c r="AG81" s="27" t="n">
        <v>0</v>
      </c>
      <c r="AH81" s="27" t="n">
        <v>0</v>
      </c>
      <c r="AI81" s="25"/>
      <c r="AJ81" s="25"/>
      <c r="AK81" s="25"/>
      <c r="AL81" s="25"/>
      <c r="AM81" s="25"/>
      <c r="AN81" s="25"/>
      <c r="AO81" s="25"/>
      <c r="AP81" s="25"/>
    </row>
    <row r="82" customFormat="false" ht="15" hidden="false" customHeight="true" outlineLevel="0" collapsed="false">
      <c r="A82" s="26" t="s">
        <v>353</v>
      </c>
      <c r="J82" s="25"/>
      <c r="K82" s="25"/>
      <c r="L82" s="25"/>
      <c r="M82" s="25" t="n">
        <v>-980</v>
      </c>
      <c r="N82" s="25" t="n">
        <v>-980</v>
      </c>
      <c r="O82" s="25" t="n">
        <v>13844</v>
      </c>
      <c r="P82" s="25" t="n">
        <v>23195</v>
      </c>
      <c r="Q82" s="25" t="n">
        <v>28390</v>
      </c>
      <c r="R82" s="25" t="n">
        <v>31647</v>
      </c>
      <c r="S82" s="25" t="n">
        <v>35344</v>
      </c>
      <c r="T82" s="25" t="n">
        <v>56396</v>
      </c>
      <c r="U82" s="25" t="n">
        <v>60413</v>
      </c>
      <c r="V82" s="25" t="n">
        <v>59005</v>
      </c>
      <c r="W82" s="25" t="n">
        <v>60557</v>
      </c>
      <c r="X82" s="25" t="n">
        <v>62849</v>
      </c>
      <c r="Y82" s="25" t="n">
        <v>62382</v>
      </c>
      <c r="Z82" s="25" t="n">
        <v>62856</v>
      </c>
      <c r="AA82" s="25" t="n">
        <v>63415</v>
      </c>
      <c r="AB82" s="25" t="n">
        <v>65797</v>
      </c>
      <c r="AC82" s="25" t="n">
        <v>67306</v>
      </c>
      <c r="AD82" s="25" t="n">
        <v>68366</v>
      </c>
      <c r="AE82" s="25" t="n">
        <v>68465</v>
      </c>
      <c r="AF82" s="25" t="n">
        <v>68178</v>
      </c>
      <c r="AG82" s="25" t="n">
        <v>69315</v>
      </c>
      <c r="AH82" s="25" t="n">
        <v>71223</v>
      </c>
      <c r="AI82" s="25" t="n">
        <v>78520</v>
      </c>
      <c r="AJ82" s="25" t="n">
        <v>80552</v>
      </c>
      <c r="AK82" s="25" t="n">
        <v>83111</v>
      </c>
      <c r="AL82" s="25" t="n">
        <v>86939</v>
      </c>
      <c r="AM82" s="25" t="n">
        <v>93718</v>
      </c>
      <c r="AN82" s="25" t="n">
        <v>100923</v>
      </c>
      <c r="AO82" s="25" t="n">
        <v>109095</v>
      </c>
      <c r="AP82" s="25" t="n">
        <v>117406</v>
      </c>
    </row>
    <row r="83" customFormat="false" ht="15" hidden="false" customHeight="true" outlineLevel="0" collapsed="false">
      <c r="A83" s="26" t="s">
        <v>354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 t="n">
        <v>0</v>
      </c>
      <c r="AA83" s="25" t="n">
        <v>0</v>
      </c>
      <c r="AB83" s="25" t="n">
        <v>0</v>
      </c>
      <c r="AC83" s="25" t="n">
        <v>0</v>
      </c>
      <c r="AD83" s="25" t="n">
        <v>0</v>
      </c>
      <c r="AE83" s="25" t="n">
        <v>0</v>
      </c>
      <c r="AF83" s="25" t="n">
        <v>0</v>
      </c>
      <c r="AG83" s="25" t="n">
        <v>0</v>
      </c>
      <c r="AH83" s="25" t="n">
        <v>0</v>
      </c>
      <c r="AI83" s="25"/>
      <c r="AJ83" s="25"/>
      <c r="AK83" s="25"/>
      <c r="AL83" s="25"/>
      <c r="AM83" s="25"/>
      <c r="AN83" s="25"/>
      <c r="AO83" s="25"/>
      <c r="AP83" s="25"/>
    </row>
    <row r="84" customFormat="false" ht="15" hidden="false" customHeight="true" outlineLevel="0" collapsed="false">
      <c r="A84" s="26" t="s">
        <v>355</v>
      </c>
      <c r="B84" s="25" t="n">
        <v>89.2</v>
      </c>
      <c r="C84" s="25" t="n">
        <v>161.1</v>
      </c>
      <c r="D84" s="25" t="n">
        <v>285</v>
      </c>
      <c r="E84" s="25" t="n">
        <v>455.6</v>
      </c>
      <c r="F84" s="25" t="n">
        <v>688.9</v>
      </c>
      <c r="G84" s="25" t="n">
        <v>956.3</v>
      </c>
      <c r="H84" s="25" t="n">
        <v>1536.1</v>
      </c>
      <c r="I84" s="25" t="n">
        <v>2156</v>
      </c>
      <c r="J84" s="25" t="n">
        <v>2950</v>
      </c>
      <c r="K84" s="25" t="n">
        <v>3328</v>
      </c>
      <c r="L84" s="25" t="n">
        <v>3984</v>
      </c>
      <c r="M84" s="25" t="n">
        <v>5288</v>
      </c>
      <c r="N84" s="25" t="n">
        <v>7622</v>
      </c>
      <c r="O84" s="25" t="n">
        <v>13614</v>
      </c>
      <c r="P84" s="25" t="n">
        <v>18173</v>
      </c>
      <c r="Q84" s="25" t="n">
        <v>18899</v>
      </c>
      <c r="R84" s="25" t="n">
        <v>20533</v>
      </c>
      <c r="S84" s="25" t="n">
        <v>25676</v>
      </c>
      <c r="T84" s="25" t="n">
        <v>18429</v>
      </c>
      <c r="U84" s="25" t="n">
        <v>-13724</v>
      </c>
      <c r="V84" s="25" t="n">
        <v>-20130</v>
      </c>
      <c r="W84" s="25" t="n">
        <v>-31114</v>
      </c>
      <c r="X84" s="25" t="n">
        <v>-27703</v>
      </c>
      <c r="Y84" s="25" t="n">
        <v>-22824</v>
      </c>
      <c r="Z84" s="25" t="n">
        <v>-16681</v>
      </c>
      <c r="AA84" s="25" t="n">
        <v>-6332</v>
      </c>
      <c r="AB84" s="25" t="n">
        <v>566</v>
      </c>
      <c r="AC84" s="25" t="n">
        <v>9895</v>
      </c>
      <c r="AD84" s="25" t="n">
        <v>17710</v>
      </c>
      <c r="AE84" s="25" t="n">
        <v>9096</v>
      </c>
      <c r="AF84" s="25" t="n">
        <v>2282</v>
      </c>
      <c r="AG84" s="25" t="n">
        <v>2648</v>
      </c>
      <c r="AH84" s="25" t="n">
        <v>13682</v>
      </c>
      <c r="AI84" s="25" t="n">
        <v>24150</v>
      </c>
      <c r="AJ84" s="25" t="n">
        <v>34566</v>
      </c>
      <c r="AK84" s="25" t="n">
        <v>57055</v>
      </c>
      <c r="AL84" s="25" t="n">
        <v>84281</v>
      </c>
      <c r="AM84" s="25" t="n">
        <v>118848</v>
      </c>
      <c r="AN84" s="25" t="n">
        <v>173144</v>
      </c>
      <c r="AO84" s="25" t="n">
        <v>237731</v>
      </c>
      <c r="AP84" s="25" t="n">
        <v>328265</v>
      </c>
    </row>
    <row r="85" customFormat="false" ht="15" hidden="false" customHeight="true" outlineLevel="0" collapsed="false">
      <c r="A85" s="26" t="s">
        <v>356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customFormat="false" ht="15" hidden="false" customHeight="true" outlineLevel="0" collapsed="false">
      <c r="A86" s="26" t="s">
        <v>357</v>
      </c>
      <c r="B86" s="27" t="n">
        <v>-11</v>
      </c>
      <c r="C86" s="27" t="n">
        <v>-18.6</v>
      </c>
      <c r="D86" s="27" t="n">
        <v>-30.1</v>
      </c>
      <c r="E86" s="27" t="n">
        <v>-49.8</v>
      </c>
      <c r="F86" s="27" t="n">
        <v>-73.9</v>
      </c>
      <c r="G86" s="27" t="n">
        <v>-118.5</v>
      </c>
      <c r="H86" s="27" t="n">
        <v>-210.6</v>
      </c>
      <c r="I86" s="27" t="n">
        <v>-314</v>
      </c>
      <c r="J86" s="25" t="n">
        <v>-515</v>
      </c>
      <c r="K86" s="25" t="n">
        <v>-715</v>
      </c>
      <c r="L86" s="25" t="n">
        <v>-1020</v>
      </c>
      <c r="M86" s="25" t="n">
        <v>-1312</v>
      </c>
      <c r="N86" s="25" t="n">
        <v>-1547</v>
      </c>
      <c r="O86" s="25" t="n">
        <v>-1905</v>
      </c>
      <c r="P86" s="25" t="n">
        <v>-2411</v>
      </c>
      <c r="Q86" s="25" t="n">
        <v>-2966</v>
      </c>
      <c r="R86" s="25" t="n">
        <v>-3623</v>
      </c>
      <c r="S86" s="25" t="n">
        <v>-3855</v>
      </c>
      <c r="T86" s="25" t="n">
        <v>-4163</v>
      </c>
      <c r="U86" s="25" t="n">
        <v>1426</v>
      </c>
      <c r="V86" s="25" t="n">
        <v>1229</v>
      </c>
      <c r="W86" s="25" t="n">
        <v>1654</v>
      </c>
      <c r="X86" s="25" t="n">
        <v>1140</v>
      </c>
      <c r="Y86" s="25" t="n">
        <v>969</v>
      </c>
      <c r="Z86" s="25" t="n">
        <v>-8629</v>
      </c>
      <c r="AA86" s="25" t="n">
        <v>1863</v>
      </c>
      <c r="AB86" s="25" t="n">
        <v>1422</v>
      </c>
      <c r="AC86" s="25" t="n">
        <v>1743</v>
      </c>
      <c r="AD86" s="25" t="n">
        <v>3708</v>
      </c>
      <c r="AE86" s="25" t="n">
        <v>2522</v>
      </c>
      <c r="AF86" s="25" t="n">
        <v>1537</v>
      </c>
      <c r="AG86" s="25" t="n">
        <v>431</v>
      </c>
      <c r="AH86" s="25" t="n">
        <v>-2187</v>
      </c>
      <c r="AI86" s="25" t="n">
        <v>-340</v>
      </c>
      <c r="AJ86" s="25" t="n">
        <v>3186</v>
      </c>
      <c r="AK86" s="25" t="n">
        <v>1822</v>
      </c>
      <c r="AL86" s="25" t="n">
        <v>-4678</v>
      </c>
      <c r="AM86" s="25" t="n">
        <v>-6343</v>
      </c>
      <c r="AN86" s="25" t="n">
        <v>-5590</v>
      </c>
      <c r="AO86" s="25" t="n">
        <v>-3347</v>
      </c>
      <c r="AP86" s="25" t="n">
        <v>-3284</v>
      </c>
    </row>
    <row r="87" customFormat="false" ht="15" hidden="false" customHeight="true" outlineLevel="0" collapsed="false">
      <c r="A87" s="26" t="s">
        <v>358</v>
      </c>
      <c r="AL87" s="25"/>
      <c r="AM87" s="25"/>
      <c r="AN87" s="25"/>
      <c r="AO87" s="25"/>
      <c r="AP87" s="25"/>
    </row>
    <row r="88" customFormat="false" ht="15" hidden="false" customHeight="true" outlineLevel="0" collapsed="false">
      <c r="A88" s="26" t="s">
        <v>359</v>
      </c>
      <c r="AL88" s="25"/>
      <c r="AM88" s="25"/>
      <c r="AN88" s="25"/>
      <c r="AO88" s="25"/>
      <c r="AP88" s="25"/>
    </row>
    <row r="89" customFormat="false" ht="15" hidden="false" customHeight="true" outlineLevel="0" collapsed="false">
      <c r="A89" s="26" t="s">
        <v>360</v>
      </c>
      <c r="J89" s="25"/>
      <c r="K89" s="25"/>
      <c r="L89" s="25"/>
      <c r="M89" s="25"/>
      <c r="N89" s="25"/>
      <c r="W89" s="25"/>
      <c r="X89" s="25"/>
      <c r="AL89" s="25"/>
      <c r="AM89" s="25"/>
      <c r="AN89" s="25"/>
      <c r="AO89" s="25"/>
      <c r="AP89" s="25"/>
    </row>
    <row r="90" customFormat="false" ht="15" hidden="false" customHeight="true" outlineLevel="0" collapsed="false">
      <c r="A90" s="26" t="s">
        <v>361</v>
      </c>
      <c r="B90" s="27" t="n">
        <v>61.1</v>
      </c>
      <c r="C90" s="27" t="n">
        <v>96.6</v>
      </c>
      <c r="D90" s="27" t="n">
        <v>120.6</v>
      </c>
      <c r="E90" s="27" t="n">
        <v>156</v>
      </c>
      <c r="F90" s="27" t="n">
        <v>303.6</v>
      </c>
      <c r="G90" s="27" t="n">
        <v>513</v>
      </c>
      <c r="H90" s="27" t="n">
        <v>867.5</v>
      </c>
      <c r="I90" s="27" t="n">
        <v>1400</v>
      </c>
      <c r="J90" s="27" t="n">
        <v>2015</v>
      </c>
      <c r="K90" s="27" t="n">
        <v>2720</v>
      </c>
      <c r="L90" s="25" t="n">
        <v>3944</v>
      </c>
      <c r="M90" s="25" t="n">
        <v>5821</v>
      </c>
      <c r="N90" s="25" t="n">
        <v>9572</v>
      </c>
      <c r="O90" s="25" t="n">
        <v>1905</v>
      </c>
      <c r="P90" s="25" t="n">
        <v>2411</v>
      </c>
      <c r="Q90" s="25" t="n">
        <v>2966</v>
      </c>
      <c r="R90" s="25" t="n">
        <v>3623</v>
      </c>
      <c r="S90" s="25" t="n">
        <v>3855</v>
      </c>
      <c r="T90" s="27" t="n">
        <v>4163</v>
      </c>
      <c r="U90" s="25"/>
      <c r="V90" s="25"/>
      <c r="W90" s="25"/>
      <c r="X90" s="25"/>
      <c r="Y90" s="25" t="n">
        <v>-969</v>
      </c>
      <c r="Z90" s="25" t="n">
        <v>8629</v>
      </c>
      <c r="AA90" s="25" t="n">
        <v>-1863</v>
      </c>
      <c r="AB90" s="25" t="n">
        <v>-1422</v>
      </c>
      <c r="AC90" s="25" t="n">
        <v>1743</v>
      </c>
      <c r="AD90" s="25" t="n">
        <v>3708</v>
      </c>
      <c r="AE90" s="25" t="n">
        <v>2522</v>
      </c>
      <c r="AF90" s="25" t="n">
        <v>1537</v>
      </c>
      <c r="AG90" s="25" t="n">
        <v>431</v>
      </c>
      <c r="AH90" s="25" t="n">
        <v>-2187</v>
      </c>
      <c r="AI90" s="25" t="n">
        <v>-340</v>
      </c>
      <c r="AJ90" s="25" t="n">
        <v>3186</v>
      </c>
      <c r="AK90" s="25" t="n">
        <v>1822</v>
      </c>
      <c r="AL90" s="25" t="n">
        <v>-4678</v>
      </c>
      <c r="AM90" s="25" t="n">
        <v>-6343</v>
      </c>
      <c r="AN90" s="25" t="n">
        <v>-2965</v>
      </c>
      <c r="AO90" s="25" t="n">
        <v>-2296</v>
      </c>
      <c r="AP90" s="25"/>
    </row>
    <row r="91" customFormat="false" ht="15" hidden="false" customHeight="true" outlineLevel="0" collapsed="false">
      <c r="A91" s="26" t="s">
        <v>362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S91" s="25"/>
      <c r="T91" s="25"/>
      <c r="U91" s="25"/>
      <c r="V91" s="25"/>
    </row>
    <row r="92" customFormat="false" ht="15" hidden="false" customHeight="true" outlineLevel="0" collapsed="false">
      <c r="A92" s="26" t="s">
        <v>363</v>
      </c>
      <c r="K92" s="27" t="n">
        <v>125</v>
      </c>
      <c r="L92" s="27" t="n">
        <v>125</v>
      </c>
      <c r="M92" s="25"/>
      <c r="N92" s="25"/>
      <c r="O92" s="25"/>
      <c r="P92" s="25"/>
      <c r="Q92" s="25"/>
      <c r="R92" s="25"/>
      <c r="S92" s="27" t="n">
        <v>3892</v>
      </c>
      <c r="Y92" s="25"/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  <c r="AE92" s="25" t="n">
        <v>0</v>
      </c>
      <c r="AF92" s="25" t="n">
        <v>0</v>
      </c>
      <c r="AG92" s="25" t="n">
        <v>0</v>
      </c>
      <c r="AH92" s="25" t="n">
        <v>0</v>
      </c>
      <c r="AI92" s="25"/>
      <c r="AJ92" s="25"/>
      <c r="AK92" s="25"/>
      <c r="AL92" s="25"/>
      <c r="AM92" s="25"/>
      <c r="AN92" s="25"/>
      <c r="AO92" s="25"/>
      <c r="AP92" s="25"/>
    </row>
    <row r="93" customFormat="false" ht="15" hidden="false" customHeight="true" outlineLevel="0" collapsed="false">
      <c r="A93" s="23" t="s">
        <v>364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customFormat="false" ht="15" hidden="false" customHeight="true" outlineLevel="0" collapsed="false">
      <c r="A94" s="23" t="s">
        <v>365</v>
      </c>
      <c r="B94" s="25" t="n">
        <v>139.3</v>
      </c>
      <c r="C94" s="25" t="n">
        <v>239.1</v>
      </c>
      <c r="D94" s="25" t="n">
        <v>375.5</v>
      </c>
      <c r="E94" s="25" t="n">
        <v>561.8</v>
      </c>
      <c r="F94" s="25" t="n">
        <v>918.6</v>
      </c>
      <c r="G94" s="25" t="n">
        <v>1350.8</v>
      </c>
      <c r="H94" s="25" t="n">
        <v>2193</v>
      </c>
      <c r="I94" s="25" t="n">
        <v>3242</v>
      </c>
      <c r="J94" s="25" t="n">
        <v>4450</v>
      </c>
      <c r="K94" s="25" t="n">
        <v>5333</v>
      </c>
      <c r="L94" s="25" t="n">
        <v>6908</v>
      </c>
      <c r="M94" s="25" t="n">
        <v>10777</v>
      </c>
      <c r="N94" s="25" t="n">
        <v>16627</v>
      </c>
      <c r="O94" s="25" t="n">
        <v>28438</v>
      </c>
      <c r="P94" s="25" t="n">
        <v>41368</v>
      </c>
      <c r="Q94" s="25" t="n">
        <v>47289</v>
      </c>
      <c r="R94" s="25" t="n">
        <v>52180</v>
      </c>
      <c r="S94" s="25" t="n">
        <v>61020</v>
      </c>
      <c r="T94" s="25" t="n">
        <v>74825</v>
      </c>
      <c r="U94" s="25" t="n">
        <v>48115</v>
      </c>
      <c r="V94" s="25" t="n">
        <v>40104</v>
      </c>
      <c r="W94" s="25" t="n">
        <v>31097</v>
      </c>
      <c r="X94" s="25" t="n">
        <v>36286</v>
      </c>
      <c r="Y94" s="25" t="n">
        <v>39558</v>
      </c>
      <c r="Z94" s="25" t="n">
        <v>46175</v>
      </c>
      <c r="AA94" s="25" t="n">
        <v>57083</v>
      </c>
      <c r="AB94" s="25" t="n">
        <v>66363</v>
      </c>
      <c r="AC94" s="25" t="n">
        <v>78944</v>
      </c>
      <c r="AD94" s="25" t="n">
        <v>89784</v>
      </c>
      <c r="AE94" s="25" t="n">
        <v>80083</v>
      </c>
      <c r="AF94" s="25" t="n">
        <v>71997</v>
      </c>
      <c r="AG94" s="25" t="n">
        <v>72394</v>
      </c>
      <c r="AH94" s="25" t="n">
        <v>82718</v>
      </c>
      <c r="AI94" s="25" t="n">
        <v>102330</v>
      </c>
      <c r="AJ94" s="25" t="n">
        <v>118304</v>
      </c>
      <c r="AK94" s="25" t="n">
        <v>141988</v>
      </c>
      <c r="AL94" s="25" t="n">
        <v>166542</v>
      </c>
      <c r="AM94" s="25" t="n">
        <v>206223</v>
      </c>
      <c r="AN94" s="25" t="n">
        <v>268477</v>
      </c>
      <c r="AO94" s="25" t="n">
        <v>343479</v>
      </c>
      <c r="AP94" s="25" t="n">
        <v>442387</v>
      </c>
    </row>
    <row r="95" customFormat="false" ht="15" hidden="false" customHeight="true" outlineLevel="0" collapsed="false">
      <c r="A95" s="23" t="s">
        <v>366</v>
      </c>
      <c r="AH95" s="27" t="n">
        <v>5568</v>
      </c>
      <c r="AI95" s="25" t="n">
        <v>6188</v>
      </c>
      <c r="AJ95" s="25" t="n">
        <v>7671</v>
      </c>
      <c r="AK95" s="25" t="n">
        <v>9629</v>
      </c>
      <c r="AL95" s="25" t="n">
        <v>11489</v>
      </c>
      <c r="AM95" s="25" t="n">
        <v>12728</v>
      </c>
      <c r="AN95" s="25" t="n">
        <v>15497</v>
      </c>
      <c r="AO95" s="25" t="n">
        <v>17437</v>
      </c>
      <c r="AP95" s="25" t="n">
        <v>16532</v>
      </c>
    </row>
    <row r="96" customFormat="false" ht="15" hidden="false" customHeight="true" outlineLevel="0" collapsed="false">
      <c r="A96" s="23" t="s">
        <v>367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 t="n">
        <v>32623</v>
      </c>
      <c r="AA96" s="25" t="n">
        <v>43758</v>
      </c>
      <c r="AB96" s="25" t="n">
        <v>49741</v>
      </c>
      <c r="AC96" s="25" t="n">
        <v>61206</v>
      </c>
      <c r="AD96" s="25" t="n">
        <v>62676</v>
      </c>
      <c r="AE96" s="25" t="n">
        <v>58309</v>
      </c>
      <c r="AF96" s="25" t="n">
        <v>50392</v>
      </c>
      <c r="AG96" s="25" t="n">
        <v>27166</v>
      </c>
      <c r="AH96" s="25" t="n">
        <v>38982</v>
      </c>
      <c r="AI96" s="25" t="n">
        <v>52554</v>
      </c>
      <c r="AJ96" s="25" t="n">
        <v>67915</v>
      </c>
      <c r="AK96" s="25" t="n">
        <v>84477</v>
      </c>
      <c r="AL96" s="25" t="n">
        <v>87720</v>
      </c>
      <c r="AM96" s="25" t="n">
        <v>128971</v>
      </c>
      <c r="AN96" s="25"/>
      <c r="AO96" s="25"/>
      <c r="AP96" s="25"/>
    </row>
    <row r="97" customFormat="false" ht="15" hidden="false" customHeight="true" outlineLevel="0" collapsed="false">
      <c r="A97" s="23" t="s">
        <v>368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customFormat="false" ht="15" hidden="false" customHeight="true" outlineLevel="0" collapsed="false">
      <c r="A98" s="23" t="s">
        <v>369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 t="n">
        <v>158588</v>
      </c>
      <c r="AH98" s="25" t="n">
        <v>158958</v>
      </c>
      <c r="AI98" s="25" t="n">
        <v>174508</v>
      </c>
      <c r="AJ98" s="25" t="n">
        <v>181631</v>
      </c>
      <c r="AK98" s="25" t="n">
        <v>200134</v>
      </c>
      <c r="AL98" s="25" t="n">
        <v>216323</v>
      </c>
      <c r="AM98" s="25" t="n">
        <v>253460</v>
      </c>
      <c r="AN98" s="25" t="n">
        <v>320107</v>
      </c>
      <c r="AO98" s="25" t="n">
        <v>386630</v>
      </c>
      <c r="AP98" s="25" t="n">
        <v>482681</v>
      </c>
    </row>
    <row r="99" customFormat="false" ht="15" hidden="false" customHeight="true" outlineLevel="0" collapsed="false">
      <c r="A99" s="23" t="s">
        <v>370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 t="n">
        <v>32623</v>
      </c>
      <c r="AA99" s="25" t="n">
        <v>43758</v>
      </c>
      <c r="AB99" s="25" t="n">
        <v>49741</v>
      </c>
      <c r="AC99" s="25" t="n">
        <v>61206</v>
      </c>
      <c r="AD99" s="25" t="n">
        <v>62676</v>
      </c>
      <c r="AE99" s="25" t="n">
        <v>58309</v>
      </c>
      <c r="AF99" s="25" t="n">
        <v>50392</v>
      </c>
      <c r="AG99" s="25" t="n">
        <v>27166</v>
      </c>
      <c r="AH99" s="25" t="n">
        <v>38982</v>
      </c>
      <c r="AI99" s="25" t="n">
        <v>52554</v>
      </c>
      <c r="AJ99" s="25" t="n">
        <v>67915</v>
      </c>
      <c r="AK99" s="25" t="n">
        <v>84477</v>
      </c>
      <c r="AL99" s="25" t="n">
        <v>87720</v>
      </c>
      <c r="AM99" s="25" t="n">
        <v>128971</v>
      </c>
      <c r="AN99" s="25"/>
      <c r="AO99" s="25"/>
      <c r="AP99" s="25"/>
    </row>
    <row r="100" customFormat="false" ht="15" hidden="false" customHeight="true" outlineLevel="0" collapsed="false">
      <c r="A100" s="23" t="s">
        <v>371</v>
      </c>
      <c r="B100" s="25" t="n">
        <v>1.9</v>
      </c>
      <c r="C100" s="25" t="n">
        <v>7.1</v>
      </c>
      <c r="D100" s="25" t="n">
        <v>20.3</v>
      </c>
      <c r="E100" s="25" t="n">
        <v>25.4</v>
      </c>
      <c r="F100" s="25" t="n">
        <v>6.5</v>
      </c>
      <c r="G100" s="25" t="n">
        <v>19.5</v>
      </c>
      <c r="H100" s="25" t="n">
        <v>8.3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 t="n">
        <v>5756</v>
      </c>
      <c r="Z100" s="25" t="n">
        <v>5939</v>
      </c>
      <c r="AA100" s="25" t="n">
        <v>17284</v>
      </c>
      <c r="AB100" s="25" t="n">
        <v>11944</v>
      </c>
      <c r="AC100" s="25" t="n">
        <v>15600</v>
      </c>
      <c r="AD100" s="25" t="n">
        <v>22645</v>
      </c>
      <c r="AE100" s="25" t="n">
        <v>35292</v>
      </c>
      <c r="AF100" s="25" t="n">
        <v>53687</v>
      </c>
      <c r="AG100" s="25" t="n">
        <v>86194</v>
      </c>
      <c r="AH100" s="25" t="n">
        <v>81808</v>
      </c>
      <c r="AI100" s="25" t="n">
        <v>78366</v>
      </c>
      <c r="AJ100" s="25" t="n">
        <v>70998</v>
      </c>
      <c r="AK100" s="25" t="n">
        <v>67775</v>
      </c>
      <c r="AL100" s="25" t="n">
        <v>61270</v>
      </c>
      <c r="AM100" s="25" t="n">
        <v>59965</v>
      </c>
      <c r="AN100" s="25" t="n">
        <v>67127</v>
      </c>
      <c r="AO100" s="25" t="n">
        <v>60588</v>
      </c>
      <c r="AP100" s="25" t="n">
        <v>128808.3</v>
      </c>
    </row>
    <row r="101" customFormat="false" ht="15" hidden="false" customHeight="true" outlineLevel="0" collapsed="false">
      <c r="A101" s="23" t="s">
        <v>372</v>
      </c>
      <c r="B101" s="25" t="n">
        <v>-100.8</v>
      </c>
      <c r="C101" s="25" t="n">
        <v>-125.4</v>
      </c>
      <c r="D101" s="25" t="n">
        <v>-162.9</v>
      </c>
      <c r="E101" s="25" t="n">
        <v>-167</v>
      </c>
      <c r="F101" s="25" t="n">
        <v>-239.8</v>
      </c>
      <c r="G101" s="25" t="n">
        <v>-397.7</v>
      </c>
      <c r="H101" s="25" t="n">
        <v>-783.1</v>
      </c>
      <c r="I101" s="25" t="n">
        <v>-1013</v>
      </c>
      <c r="J101" s="25" t="n">
        <v>-1477</v>
      </c>
      <c r="K101" s="25" t="n">
        <v>-1962</v>
      </c>
      <c r="L101" s="25" t="n">
        <v>-2601</v>
      </c>
      <c r="M101" s="25" t="n">
        <v>-3706</v>
      </c>
      <c r="N101" s="25" t="n">
        <v>-3839</v>
      </c>
      <c r="O101" s="25" t="n">
        <v>-4975</v>
      </c>
      <c r="P101" s="25" t="n">
        <v>-4846</v>
      </c>
      <c r="Q101" s="25" t="n">
        <v>-3922</v>
      </c>
      <c r="R101" s="25" t="n">
        <v>-3016</v>
      </c>
      <c r="S101" s="25" t="n">
        <v>-6438</v>
      </c>
      <c r="T101" s="25" t="n">
        <v>-14304</v>
      </c>
      <c r="U101" s="25" t="n">
        <v>-4851</v>
      </c>
      <c r="V101" s="25" t="n">
        <v>-6714</v>
      </c>
      <c r="W101" s="25" t="n">
        <v>-6111</v>
      </c>
      <c r="X101" s="25" t="n">
        <v>-10339</v>
      </c>
      <c r="Y101" s="25" t="n">
        <v>-320</v>
      </c>
      <c r="Z101" s="25" t="n">
        <v>434</v>
      </c>
      <c r="AA101" s="25" t="n">
        <v>7674</v>
      </c>
      <c r="AB101" s="25" t="n">
        <v>5006</v>
      </c>
      <c r="AC101" s="25" t="n">
        <v>11796</v>
      </c>
      <c r="AD101" s="25" t="n">
        <v>13976</v>
      </c>
      <c r="AE101" s="25" t="n">
        <v>29697</v>
      </c>
      <c r="AF101" s="25" t="n">
        <v>47177</v>
      </c>
      <c r="AG101" s="25" t="n">
        <v>78531</v>
      </c>
      <c r="AH101" s="25" t="n">
        <v>69862</v>
      </c>
      <c r="AI101" s="25" t="n">
        <v>67010</v>
      </c>
      <c r="AJ101" s="25" t="n">
        <v>57422</v>
      </c>
      <c r="AK101" s="25" t="n">
        <v>53551</v>
      </c>
      <c r="AL101" s="25" t="n">
        <v>47339</v>
      </c>
      <c r="AM101" s="25" t="n">
        <v>25261</v>
      </c>
      <c r="AN101" s="25" t="n">
        <v>48812</v>
      </c>
      <c r="AO101" s="25" t="n">
        <v>30346</v>
      </c>
      <c r="AP101" s="25" t="n">
        <v>107873.3</v>
      </c>
    </row>
    <row r="102" customFormat="false" ht="15" hidden="false" customHeight="true" outlineLevel="0" collapsed="false">
      <c r="A102" s="23" t="s">
        <v>373</v>
      </c>
      <c r="B102" s="28" t="n">
        <v>7342.4</v>
      </c>
      <c r="C102" s="28" t="n">
        <v>7190</v>
      </c>
      <c r="D102" s="28" t="n">
        <v>6195</v>
      </c>
      <c r="E102" s="28" t="n">
        <v>6820</v>
      </c>
      <c r="F102" s="28" t="n">
        <v>7977.142857</v>
      </c>
      <c r="G102" s="28" t="n">
        <v>8412.727273</v>
      </c>
      <c r="H102" s="28" t="n">
        <v>8851.25</v>
      </c>
      <c r="I102" s="28" t="n">
        <v>9530</v>
      </c>
      <c r="J102" s="28" t="n">
        <v>9760</v>
      </c>
      <c r="K102" s="28" t="n">
        <v>10032</v>
      </c>
      <c r="L102" s="28" t="n">
        <v>10209.302326</v>
      </c>
      <c r="M102" s="28" t="n">
        <v>10421.212121</v>
      </c>
      <c r="N102" s="28" t="n">
        <v>10724</v>
      </c>
      <c r="O102" s="28" t="n">
        <v>10964</v>
      </c>
      <c r="P102" s="28" t="n">
        <v>11067.058824</v>
      </c>
      <c r="Q102" s="28" t="n">
        <v>11148</v>
      </c>
      <c r="R102" s="28" t="n">
        <v>11106</v>
      </c>
      <c r="S102" s="28" t="n">
        <v>10882</v>
      </c>
      <c r="T102" s="28" t="n">
        <v>10894</v>
      </c>
      <c r="U102" s="28" t="n">
        <v>10906</v>
      </c>
      <c r="V102" s="28" t="n">
        <v>10531</v>
      </c>
      <c r="W102" s="28" t="n">
        <v>9886</v>
      </c>
      <c r="X102" s="28" t="n">
        <v>9470</v>
      </c>
      <c r="Y102" s="28" t="n">
        <v>8996</v>
      </c>
      <c r="Z102" s="28" t="n">
        <v>8927</v>
      </c>
      <c r="AA102" s="28" t="n">
        <v>8593</v>
      </c>
      <c r="AB102" s="28" t="n">
        <v>8506</v>
      </c>
      <c r="AC102" s="28" t="n">
        <v>8470</v>
      </c>
      <c r="AD102" s="28" t="n">
        <v>8399</v>
      </c>
      <c r="AE102" s="28" t="n">
        <v>8254</v>
      </c>
      <c r="AF102" s="28" t="n">
        <v>8013</v>
      </c>
      <c r="AG102" s="28" t="n">
        <v>7832</v>
      </c>
      <c r="AH102" s="28" t="n">
        <v>7794</v>
      </c>
      <c r="AI102" s="28" t="n">
        <v>7753</v>
      </c>
      <c r="AJ102" s="28" t="n">
        <v>7683</v>
      </c>
      <c r="AK102" s="28" t="n">
        <v>7608</v>
      </c>
      <c r="AL102" s="28" t="n">
        <v>7540</v>
      </c>
      <c r="AM102" s="28" t="n">
        <v>7472</v>
      </c>
      <c r="AN102" s="28" t="n">
        <v>7469</v>
      </c>
      <c r="AO102" s="28" t="n">
        <v>7465</v>
      </c>
      <c r="AP102" s="28" t="n">
        <v>7453</v>
      </c>
    </row>
    <row r="103" customFormat="false" ht="15" hidden="false" customHeight="true" outlineLevel="0" collapsed="false">
      <c r="A103" s="23" t="s">
        <v>374</v>
      </c>
      <c r="B103" s="28" t="n">
        <v>7342.4</v>
      </c>
      <c r="C103" s="28" t="n">
        <v>7190</v>
      </c>
      <c r="D103" s="28" t="n">
        <v>6195</v>
      </c>
      <c r="E103" s="28" t="n">
        <v>6820</v>
      </c>
      <c r="F103" s="28" t="n">
        <v>7977.142857</v>
      </c>
      <c r="G103" s="28" t="n">
        <v>8412.727273</v>
      </c>
      <c r="H103" s="28" t="n">
        <v>8851.25</v>
      </c>
      <c r="I103" s="28" t="n">
        <v>9530</v>
      </c>
      <c r="J103" s="28" t="n">
        <v>9760</v>
      </c>
      <c r="K103" s="28" t="n">
        <v>10032</v>
      </c>
      <c r="L103" s="28" t="n">
        <v>10209.302326</v>
      </c>
      <c r="M103" s="28" t="n">
        <v>10421.212121</v>
      </c>
      <c r="N103" s="28" t="n">
        <v>10724</v>
      </c>
      <c r="O103" s="28" t="n">
        <v>10964</v>
      </c>
      <c r="P103" s="28" t="n">
        <v>11067.058824</v>
      </c>
      <c r="Q103" s="28" t="n">
        <v>11148</v>
      </c>
      <c r="R103" s="28" t="n">
        <v>11106</v>
      </c>
      <c r="S103" s="28" t="n">
        <v>10882</v>
      </c>
      <c r="T103" s="28" t="n">
        <v>10894</v>
      </c>
      <c r="U103" s="28" t="n">
        <v>10906</v>
      </c>
      <c r="V103" s="28" t="n">
        <v>10531</v>
      </c>
      <c r="W103" s="28" t="n">
        <v>9886</v>
      </c>
      <c r="X103" s="28" t="n">
        <v>9470</v>
      </c>
      <c r="Y103" s="28" t="n">
        <v>8996</v>
      </c>
      <c r="Z103" s="28" t="n">
        <v>8927</v>
      </c>
      <c r="AA103" s="28" t="n">
        <v>8593</v>
      </c>
      <c r="AB103" s="28" t="n">
        <v>8506</v>
      </c>
      <c r="AC103" s="28" t="n">
        <v>8470</v>
      </c>
      <c r="AD103" s="28" t="n">
        <v>8399</v>
      </c>
      <c r="AE103" s="28" t="n">
        <v>8254</v>
      </c>
      <c r="AF103" s="28" t="n">
        <v>8013</v>
      </c>
      <c r="AG103" s="28" t="n">
        <v>7832</v>
      </c>
      <c r="AH103" s="28" t="n">
        <v>7794</v>
      </c>
      <c r="AI103" s="28" t="n">
        <v>7753</v>
      </c>
      <c r="AJ103" s="28" t="n">
        <v>7683</v>
      </c>
      <c r="AK103" s="28" t="n">
        <v>7608</v>
      </c>
      <c r="AL103" s="28" t="n">
        <v>7540</v>
      </c>
      <c r="AM103" s="28" t="n">
        <v>7472</v>
      </c>
      <c r="AN103" s="28" t="n">
        <v>7469</v>
      </c>
      <c r="AO103" s="28" t="n">
        <v>7465</v>
      </c>
      <c r="AP103" s="28" t="n">
        <v>7453</v>
      </c>
    </row>
    <row r="104" customFormat="false" ht="15" hidden="false" customHeight="true" outlineLevel="0" collapsed="false">
      <c r="A104" s="23" t="s">
        <v>375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AI104" s="28"/>
      <c r="AJ104" s="28"/>
      <c r="AK104" s="28"/>
      <c r="AL104" s="28"/>
      <c r="AM104" s="28"/>
      <c r="AN104" s="28"/>
      <c r="AO104" s="28"/>
      <c r="AP104" s="28"/>
    </row>
    <row r="105" customFormat="false" ht="15" hidden="false" customHeight="true" outlineLevel="0" collapsed="false">
      <c r="A105" s="23" t="s">
        <v>376</v>
      </c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8" min="2" style="1" width="12"/>
  </cols>
  <sheetData>
    <row r="1" customFormat="false" ht="15" hidden="false" customHeight="true" outlineLevel="0" collapsed="false">
      <c r="A1" s="2" t="s">
        <v>377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180</v>
      </c>
      <c r="C3" s="24" t="s">
        <v>181</v>
      </c>
      <c r="D3" s="24" t="s">
        <v>182</v>
      </c>
      <c r="E3" s="24" t="s">
        <v>183</v>
      </c>
      <c r="F3" s="24" t="s">
        <v>184</v>
      </c>
      <c r="G3" s="24" t="s">
        <v>185</v>
      </c>
      <c r="H3" s="24" t="s">
        <v>186</v>
      </c>
      <c r="I3" s="24" t="s">
        <v>187</v>
      </c>
      <c r="J3" s="24" t="s">
        <v>188</v>
      </c>
      <c r="K3" s="24" t="s">
        <v>189</v>
      </c>
      <c r="L3" s="24" t="s">
        <v>190</v>
      </c>
      <c r="M3" s="24" t="s">
        <v>191</v>
      </c>
      <c r="N3" s="24" t="s">
        <v>192</v>
      </c>
      <c r="O3" s="24" t="s">
        <v>193</v>
      </c>
      <c r="P3" s="24" t="s">
        <v>194</v>
      </c>
      <c r="Q3" s="24" t="s">
        <v>195</v>
      </c>
      <c r="R3" s="24" t="s">
        <v>196</v>
      </c>
      <c r="S3" s="24" t="s">
        <v>197</v>
      </c>
      <c r="T3" s="24" t="s">
        <v>198</v>
      </c>
      <c r="U3" s="24" t="s">
        <v>199</v>
      </c>
      <c r="V3" s="24" t="s">
        <v>200</v>
      </c>
      <c r="W3" s="24" t="s">
        <v>201</v>
      </c>
      <c r="X3" s="24" t="s">
        <v>202</v>
      </c>
      <c r="Y3" s="24" t="s">
        <v>203</v>
      </c>
      <c r="Z3" s="24" t="s">
        <v>204</v>
      </c>
      <c r="AA3" s="24" t="s">
        <v>205</v>
      </c>
      <c r="AB3" s="24" t="s">
        <v>206</v>
      </c>
      <c r="AC3" s="24" t="s">
        <v>207</v>
      </c>
      <c r="AD3" s="24" t="s">
        <v>208</v>
      </c>
      <c r="AE3" s="24" t="s">
        <v>209</v>
      </c>
      <c r="AF3" s="24" t="s">
        <v>210</v>
      </c>
      <c r="AG3" s="24" t="s">
        <v>211</v>
      </c>
      <c r="AH3" s="24" t="s">
        <v>212</v>
      </c>
      <c r="AI3" s="24" t="s">
        <v>213</v>
      </c>
      <c r="AJ3" s="24" t="s">
        <v>214</v>
      </c>
      <c r="AK3" s="24" t="s">
        <v>215</v>
      </c>
      <c r="AL3" s="24" t="s">
        <v>216</v>
      </c>
    </row>
    <row r="4" customFormat="false" ht="15" hidden="false" customHeight="true" outlineLevel="0" collapsed="false">
      <c r="A4" s="23" t="s">
        <v>378</v>
      </c>
      <c r="B4" s="25" t="n">
        <v>278.3</v>
      </c>
      <c r="C4" s="25" t="n">
        <v>557.9</v>
      </c>
      <c r="D4" s="25" t="n">
        <v>907</v>
      </c>
      <c r="E4" s="25" t="n">
        <v>1074</v>
      </c>
      <c r="F4" s="25" t="n">
        <v>1593</v>
      </c>
      <c r="G4" s="25" t="n">
        <v>1990</v>
      </c>
      <c r="H4" s="25" t="n">
        <v>3719</v>
      </c>
      <c r="I4" s="25" t="n">
        <v>4689</v>
      </c>
      <c r="J4" s="25" t="n">
        <v>8433</v>
      </c>
      <c r="K4" s="25" t="n">
        <v>13137</v>
      </c>
      <c r="L4" s="25" t="n">
        <v>11426</v>
      </c>
      <c r="M4" s="25" t="n">
        <v>13422</v>
      </c>
      <c r="N4" s="25" t="n">
        <v>14509</v>
      </c>
      <c r="O4" s="25" t="n">
        <v>15797</v>
      </c>
      <c r="P4" s="25" t="n">
        <v>14626</v>
      </c>
      <c r="Q4" s="25" t="n">
        <v>16605</v>
      </c>
      <c r="R4" s="25" t="n">
        <v>14404</v>
      </c>
      <c r="S4" s="25" t="n">
        <v>17796</v>
      </c>
      <c r="T4" s="25" t="n">
        <v>21612</v>
      </c>
      <c r="U4" s="25" t="n">
        <v>19037</v>
      </c>
      <c r="V4" s="25" t="n">
        <v>24073</v>
      </c>
      <c r="W4" s="25" t="n">
        <v>26994</v>
      </c>
      <c r="X4" s="25" t="n">
        <v>31626</v>
      </c>
      <c r="Y4" s="25" t="n">
        <v>28833</v>
      </c>
      <c r="Z4" s="25" t="n">
        <v>32502</v>
      </c>
      <c r="AA4" s="25" t="n">
        <v>29668</v>
      </c>
      <c r="AB4" s="25" t="n">
        <v>33325</v>
      </c>
      <c r="AC4" s="25" t="n">
        <v>39507</v>
      </c>
      <c r="AD4" s="25" t="n">
        <v>43884</v>
      </c>
      <c r="AE4" s="25" t="n">
        <v>52185</v>
      </c>
      <c r="AF4" s="25" t="n">
        <v>60675</v>
      </c>
      <c r="AG4" s="25" t="n">
        <v>76740</v>
      </c>
      <c r="AH4" s="25" t="n">
        <v>89035</v>
      </c>
      <c r="AI4" s="25" t="n">
        <v>87582</v>
      </c>
      <c r="AJ4" s="25" t="n">
        <v>118548</v>
      </c>
      <c r="AK4" s="25" t="n">
        <v>136162</v>
      </c>
      <c r="AL4" s="25" t="n">
        <v>182935</v>
      </c>
    </row>
    <row r="5" customFormat="false" ht="15" hidden="false" customHeight="true" outlineLevel="0" collapsed="false">
      <c r="A5" s="26" t="s">
        <v>379</v>
      </c>
      <c r="B5" s="25" t="n">
        <v>278.3</v>
      </c>
      <c r="C5" s="25" t="n">
        <v>557.9</v>
      </c>
      <c r="D5" s="25" t="n">
        <v>907</v>
      </c>
      <c r="E5" s="25" t="n">
        <v>1074</v>
      </c>
      <c r="F5" s="25" t="n">
        <v>1593</v>
      </c>
      <c r="G5" s="25" t="n">
        <v>1990</v>
      </c>
      <c r="H5" s="25" t="n">
        <v>3719</v>
      </c>
      <c r="I5" s="25" t="n">
        <v>4689</v>
      </c>
      <c r="J5" s="25" t="n">
        <v>8433</v>
      </c>
      <c r="K5" s="25" t="n">
        <v>13137</v>
      </c>
      <c r="L5" s="25" t="n">
        <v>11426</v>
      </c>
      <c r="M5" s="25" t="n">
        <v>13422</v>
      </c>
      <c r="N5" s="25" t="n">
        <v>14509</v>
      </c>
      <c r="O5" s="25" t="n">
        <v>15797</v>
      </c>
      <c r="P5" s="25" t="n">
        <v>14626</v>
      </c>
      <c r="Q5" s="25" t="n">
        <v>16605</v>
      </c>
      <c r="R5" s="25" t="n">
        <v>14404</v>
      </c>
      <c r="S5" s="25" t="n">
        <v>17796</v>
      </c>
      <c r="T5" s="25" t="n">
        <v>21612</v>
      </c>
      <c r="U5" s="25" t="n">
        <v>19037</v>
      </c>
      <c r="V5" s="25" t="n">
        <v>24073</v>
      </c>
      <c r="W5" s="25" t="n">
        <v>26994</v>
      </c>
      <c r="X5" s="25" t="n">
        <v>31626</v>
      </c>
      <c r="Y5" s="25" t="n">
        <v>28833</v>
      </c>
      <c r="Z5" s="25" t="n">
        <v>32502</v>
      </c>
      <c r="AA5" s="25" t="n">
        <v>29668</v>
      </c>
      <c r="AB5" s="25" t="n">
        <v>33325</v>
      </c>
      <c r="AC5" s="25" t="n">
        <v>39507</v>
      </c>
      <c r="AD5" s="25" t="n">
        <v>43884</v>
      </c>
      <c r="AE5" s="25" t="n">
        <v>52185</v>
      </c>
      <c r="AF5" s="25" t="n">
        <v>60675</v>
      </c>
      <c r="AG5" s="25" t="n">
        <v>76740</v>
      </c>
      <c r="AH5" s="25" t="n">
        <v>89035</v>
      </c>
      <c r="AI5" s="25" t="n">
        <v>87582</v>
      </c>
      <c r="AJ5" s="25" t="n">
        <v>118548</v>
      </c>
      <c r="AK5" s="25" t="n">
        <v>136162</v>
      </c>
      <c r="AL5" s="25" t="n">
        <v>182935</v>
      </c>
    </row>
    <row r="6" customFormat="false" ht="15" hidden="false" customHeight="true" outlineLevel="0" collapsed="false">
      <c r="A6" s="26" t="s">
        <v>380</v>
      </c>
      <c r="B6" s="25" t="n">
        <v>279.2</v>
      </c>
      <c r="C6" s="25" t="n">
        <v>462.7</v>
      </c>
      <c r="D6" s="25" t="n">
        <v>708.1</v>
      </c>
      <c r="E6" s="25" t="n">
        <v>953</v>
      </c>
      <c r="F6" s="25" t="n">
        <v>1146</v>
      </c>
      <c r="G6" s="25" t="n">
        <v>1453</v>
      </c>
      <c r="H6" s="25" t="n">
        <v>2195</v>
      </c>
      <c r="I6" s="25" t="n">
        <v>3454</v>
      </c>
      <c r="J6" s="25" t="n">
        <v>4490</v>
      </c>
      <c r="K6" s="25" t="n">
        <v>7785</v>
      </c>
      <c r="L6" s="25" t="n">
        <v>9421</v>
      </c>
      <c r="M6" s="25" t="n">
        <v>7346</v>
      </c>
      <c r="N6" s="25" t="n">
        <v>7829</v>
      </c>
      <c r="O6" s="25" t="n">
        <v>7531</v>
      </c>
      <c r="P6" s="25" t="n">
        <v>8168</v>
      </c>
      <c r="Q6" s="25" t="n">
        <v>12254</v>
      </c>
      <c r="R6" s="25" t="n">
        <v>12599</v>
      </c>
      <c r="S6" s="25" t="n">
        <v>14065</v>
      </c>
      <c r="T6" s="25" t="n">
        <v>17681</v>
      </c>
      <c r="U6" s="25" t="n">
        <v>14569</v>
      </c>
      <c r="V6" s="25" t="n">
        <v>18760</v>
      </c>
      <c r="W6" s="25" t="n">
        <v>23150</v>
      </c>
      <c r="X6" s="25" t="n">
        <v>16978</v>
      </c>
      <c r="Y6" s="25" t="n">
        <v>21863</v>
      </c>
      <c r="Z6" s="25" t="n">
        <v>22074</v>
      </c>
      <c r="AA6" s="25" t="n">
        <v>12193</v>
      </c>
      <c r="AB6" s="25" t="n">
        <v>20539</v>
      </c>
      <c r="AC6" s="25" t="n">
        <v>25489</v>
      </c>
      <c r="AD6" s="25" t="n">
        <v>16571</v>
      </c>
      <c r="AE6" s="25" t="n">
        <v>39240</v>
      </c>
      <c r="AF6" s="25" t="n">
        <v>44281</v>
      </c>
      <c r="AG6" s="25" t="n">
        <v>61271</v>
      </c>
      <c r="AH6" s="25" t="n">
        <v>72738</v>
      </c>
      <c r="AI6" s="25" t="n">
        <v>72361</v>
      </c>
      <c r="AJ6" s="25" t="n">
        <v>88136</v>
      </c>
      <c r="AK6" s="25" t="n">
        <v>101832</v>
      </c>
      <c r="AL6" s="25" t="n">
        <v>133749</v>
      </c>
    </row>
    <row r="7" customFormat="false" ht="15" hidden="false" customHeight="true" outlineLevel="0" collapsed="false">
      <c r="A7" s="26" t="s">
        <v>381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customFormat="false" ht="15" hidden="false" customHeight="true" outlineLevel="0" collapsed="false">
      <c r="A8" s="26" t="s">
        <v>382</v>
      </c>
      <c r="J8" s="25"/>
      <c r="L8" s="25"/>
      <c r="O8" s="25"/>
      <c r="P8" s="25"/>
      <c r="Q8" s="25"/>
      <c r="R8" s="25"/>
      <c r="S8" s="25"/>
      <c r="U8" s="25"/>
      <c r="W8" s="25"/>
    </row>
    <row r="9" customFormat="false" ht="15" hidden="false" customHeight="true" outlineLevel="0" collapsed="false">
      <c r="A9" s="26" t="s">
        <v>383</v>
      </c>
      <c r="R9" s="25"/>
      <c r="S9" s="25"/>
      <c r="T9" s="25"/>
      <c r="U9" s="25"/>
      <c r="Y9" s="25"/>
      <c r="Z9" s="25"/>
      <c r="AA9" s="25"/>
      <c r="AB9" s="25"/>
    </row>
    <row r="10" customFormat="false" ht="15" hidden="false" customHeight="true" outlineLevel="0" collapsed="false">
      <c r="A10" s="26" t="s">
        <v>384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customFormat="false" ht="15" hidden="false" customHeight="true" outlineLevel="0" collapsed="false">
      <c r="A11" s="26" t="s">
        <v>385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customFormat="false" ht="15" hidden="false" customHeight="true" outlineLevel="0" collapsed="false">
      <c r="A12" s="26" t="s">
        <v>386</v>
      </c>
      <c r="E12" s="25"/>
      <c r="F12" s="25"/>
      <c r="G12" s="25"/>
      <c r="H12" s="25"/>
      <c r="I12" s="25"/>
      <c r="N12" s="25"/>
      <c r="O12" s="25"/>
      <c r="P12" s="25"/>
      <c r="Q12" s="25"/>
      <c r="R12" s="25"/>
      <c r="S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customFormat="false" ht="15" hidden="false" customHeight="true" outlineLevel="0" collapsed="false">
      <c r="A13" s="26" t="s">
        <v>387</v>
      </c>
      <c r="B13" s="25" t="n">
        <v>46.3</v>
      </c>
      <c r="C13" s="25" t="n">
        <v>75.8</v>
      </c>
      <c r="D13" s="25" t="n">
        <v>112.3</v>
      </c>
      <c r="E13" s="25" t="n">
        <v>151</v>
      </c>
      <c r="F13" s="25" t="n">
        <v>237</v>
      </c>
      <c r="G13" s="25" t="n">
        <v>269</v>
      </c>
      <c r="H13" s="25" t="n">
        <v>480</v>
      </c>
      <c r="I13" s="25" t="n">
        <v>557</v>
      </c>
      <c r="J13" s="25" t="n">
        <v>1024</v>
      </c>
      <c r="K13" s="25" t="n">
        <v>1010</v>
      </c>
      <c r="L13" s="25" t="n">
        <v>748</v>
      </c>
      <c r="M13" s="25" t="n">
        <v>1536</v>
      </c>
      <c r="N13" s="25" t="n">
        <v>1084</v>
      </c>
      <c r="O13" s="25" t="n">
        <v>1439</v>
      </c>
      <c r="P13" s="25" t="n">
        <v>1186</v>
      </c>
      <c r="Q13" s="25" t="n">
        <v>855</v>
      </c>
      <c r="R13" s="25" t="n">
        <v>903</v>
      </c>
      <c r="S13" s="25" t="n">
        <v>1440</v>
      </c>
      <c r="T13" s="25" t="n">
        <v>2056</v>
      </c>
      <c r="U13" s="25" t="n">
        <v>2562</v>
      </c>
      <c r="V13" s="25" t="n">
        <v>2673</v>
      </c>
      <c r="W13" s="25" t="n">
        <v>2766</v>
      </c>
      <c r="X13" s="25" t="n">
        <v>2967</v>
      </c>
      <c r="Y13" s="25" t="n">
        <v>3755</v>
      </c>
      <c r="Z13" s="25" t="n">
        <v>5212</v>
      </c>
      <c r="AA13" s="25" t="n">
        <v>5957</v>
      </c>
      <c r="AB13" s="25" t="n">
        <v>6622</v>
      </c>
      <c r="AC13" s="25" t="n">
        <v>8778</v>
      </c>
      <c r="AD13" s="25" t="n">
        <v>10261</v>
      </c>
      <c r="AE13" s="25" t="n">
        <v>11682</v>
      </c>
      <c r="AF13" s="25" t="n">
        <v>12796</v>
      </c>
      <c r="AG13" s="25" t="n">
        <v>11686</v>
      </c>
      <c r="AH13" s="25" t="n">
        <v>14460</v>
      </c>
      <c r="AI13" s="25" t="n">
        <v>13861</v>
      </c>
      <c r="AJ13" s="25" t="n">
        <v>22287</v>
      </c>
      <c r="AK13" s="25" t="n">
        <v>34153</v>
      </c>
      <c r="AL13" s="25" t="n">
        <v>38534</v>
      </c>
    </row>
    <row r="14" customFormat="false" ht="15" hidden="false" customHeight="true" outlineLevel="0" collapsed="false">
      <c r="A14" s="26" t="s">
        <v>388</v>
      </c>
      <c r="B14" s="25" t="n">
        <v>46.3</v>
      </c>
      <c r="C14" s="25" t="n">
        <v>75.8</v>
      </c>
      <c r="D14" s="25" t="n">
        <v>112.3</v>
      </c>
      <c r="E14" s="25" t="n">
        <v>151</v>
      </c>
      <c r="F14" s="25" t="n">
        <v>237</v>
      </c>
      <c r="G14" s="25" t="n">
        <v>269</v>
      </c>
      <c r="H14" s="25" t="n">
        <v>480</v>
      </c>
      <c r="I14" s="25" t="n">
        <v>557</v>
      </c>
      <c r="J14" s="25" t="n">
        <v>1024</v>
      </c>
      <c r="K14" s="25" t="n">
        <v>1010</v>
      </c>
      <c r="L14" s="25" t="n">
        <v>748</v>
      </c>
      <c r="M14" s="25" t="n">
        <v>1536</v>
      </c>
      <c r="N14" s="25" t="n">
        <v>1084</v>
      </c>
      <c r="O14" s="25" t="n">
        <v>1439</v>
      </c>
      <c r="P14" s="25" t="n">
        <v>1186</v>
      </c>
      <c r="Q14" s="25" t="n">
        <v>855</v>
      </c>
      <c r="R14" s="25" t="n">
        <v>903</v>
      </c>
      <c r="S14" s="25" t="n">
        <v>1440</v>
      </c>
      <c r="T14" s="25" t="n">
        <v>2056</v>
      </c>
      <c r="U14" s="25" t="n">
        <v>2562</v>
      </c>
      <c r="V14" s="25" t="n">
        <v>2673</v>
      </c>
      <c r="W14" s="25" t="n">
        <v>2766</v>
      </c>
      <c r="X14" s="25" t="n">
        <v>2967</v>
      </c>
      <c r="Y14" s="25" t="n">
        <v>3755</v>
      </c>
      <c r="Z14" s="25" t="n">
        <v>5212</v>
      </c>
      <c r="AA14" s="25" t="n">
        <v>5957</v>
      </c>
      <c r="AB14" s="25" t="n">
        <v>6622</v>
      </c>
      <c r="AC14" s="25" t="n">
        <v>8778</v>
      </c>
      <c r="AD14" s="25" t="n">
        <v>10261</v>
      </c>
      <c r="AE14" s="25" t="n">
        <v>11682</v>
      </c>
      <c r="AF14" s="25" t="n">
        <v>12796</v>
      </c>
      <c r="AG14" s="25" t="n">
        <v>11686</v>
      </c>
      <c r="AH14" s="25" t="n">
        <v>14460</v>
      </c>
      <c r="AI14" s="25" t="n">
        <v>13861</v>
      </c>
      <c r="AJ14" s="25" t="n">
        <v>22287</v>
      </c>
      <c r="AK14" s="25" t="n">
        <v>34153</v>
      </c>
      <c r="AL14" s="25" t="n">
        <v>38534</v>
      </c>
    </row>
    <row r="15" customFormat="false" ht="15" hidden="false" customHeight="true" outlineLevel="0" collapsed="false">
      <c r="A15" s="26" t="s">
        <v>389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customFormat="false" ht="15" hidden="false" customHeight="true" outlineLevel="0" collapsed="false">
      <c r="A16" s="26" t="s">
        <v>390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customFormat="false" ht="15" hidden="false" customHeight="true" outlineLevel="0" collapsed="false">
      <c r="A17" s="26" t="s">
        <v>391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customFormat="false" ht="15" hidden="false" customHeight="true" outlineLevel="0" collapsed="false">
      <c r="A18" s="26" t="s">
        <v>392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customFormat="false" ht="15" hidden="false" customHeight="true" outlineLevel="0" collapsed="false">
      <c r="A19" s="26" t="s">
        <v>393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customFormat="false" ht="15" hidden="false" customHeight="true" outlineLevel="0" collapsed="false">
      <c r="A20" s="26" t="s">
        <v>394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customFormat="false" ht="15" hidden="false" customHeight="true" outlineLevel="0" collapsed="false">
      <c r="A21" s="26" t="s">
        <v>395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customFormat="false" ht="15" hidden="false" customHeight="true" outlineLevel="0" collapsed="false">
      <c r="A22" s="26" t="s">
        <v>396</v>
      </c>
      <c r="T22" s="25"/>
      <c r="U22" s="25"/>
      <c r="V22" s="25"/>
    </row>
    <row r="23" customFormat="false" ht="15" hidden="false" customHeight="true" outlineLevel="0" collapsed="false">
      <c r="A23" s="26" t="s">
        <v>397</v>
      </c>
      <c r="P23" s="25"/>
      <c r="Q23" s="25"/>
      <c r="R23" s="25"/>
      <c r="S23" s="25"/>
      <c r="T23" s="25"/>
      <c r="U23" s="25"/>
    </row>
    <row r="24" customFormat="false" ht="15" hidden="false" customHeight="true" outlineLevel="0" collapsed="false">
      <c r="A24" s="26" t="s">
        <v>398</v>
      </c>
      <c r="B24" s="25"/>
      <c r="C24" s="25" t="n">
        <v>0.1</v>
      </c>
      <c r="D24" s="25"/>
      <c r="E24" s="25"/>
      <c r="F24" s="25"/>
      <c r="G24" s="25"/>
      <c r="H24" s="25"/>
      <c r="I24" s="25"/>
      <c r="J24" s="25" t="n">
        <v>296</v>
      </c>
      <c r="K24" s="25" t="n">
        <v>2947</v>
      </c>
      <c r="L24" s="25" t="n">
        <v>3803</v>
      </c>
      <c r="M24" s="25" t="n">
        <v>4662</v>
      </c>
      <c r="N24" s="25" t="n">
        <v>4020</v>
      </c>
      <c r="O24" s="25" t="n">
        <v>7587</v>
      </c>
      <c r="P24" s="25" t="n">
        <v>5431</v>
      </c>
      <c r="Q24" s="25" t="n">
        <v>3501</v>
      </c>
      <c r="R24" s="25" t="n">
        <v>1365</v>
      </c>
      <c r="S24" s="25" t="n">
        <v>1281</v>
      </c>
      <c r="T24" s="25" t="n">
        <v>-22636</v>
      </c>
      <c r="U24" s="25" t="n">
        <v>-386</v>
      </c>
      <c r="V24" s="25" t="n">
        <v>-29066</v>
      </c>
      <c r="W24" s="25" t="n">
        <v>-29314</v>
      </c>
      <c r="X24" s="25" t="n">
        <v>-27447</v>
      </c>
      <c r="Y24" s="25" t="n">
        <v>-42050</v>
      </c>
      <c r="Z24" s="25" t="n">
        <v>-41848</v>
      </c>
      <c r="AA24" s="25" t="n">
        <v>-37865</v>
      </c>
      <c r="AB24" s="25" t="n">
        <v>407</v>
      </c>
      <c r="AC24" s="25" t="n">
        <v>-2073</v>
      </c>
      <c r="AD24" s="25" t="n">
        <v>-2212</v>
      </c>
      <c r="AE24" s="25" t="n">
        <v>-792</v>
      </c>
      <c r="AF24" s="25" t="n">
        <v>-219</v>
      </c>
      <c r="AG24" s="25" t="n">
        <v>-1249</v>
      </c>
      <c r="AH24" s="25" t="n">
        <v>-409</v>
      </c>
      <c r="AI24" s="25" t="n">
        <v>196</v>
      </c>
      <c r="AJ24" s="25" t="n">
        <v>305</v>
      </c>
      <c r="AK24" s="25" t="n">
        <v>609</v>
      </c>
      <c r="AL24" s="25" t="n">
        <v>-11047</v>
      </c>
    </row>
    <row r="25" customFormat="false" ht="15" hidden="false" customHeight="true" outlineLevel="0" collapsed="false">
      <c r="A25" s="26" t="s">
        <v>399</v>
      </c>
      <c r="B25" s="25" t="n">
        <v>-47.2</v>
      </c>
      <c r="C25" s="25" t="n">
        <v>19.3</v>
      </c>
      <c r="D25" s="25" t="n">
        <v>86.6</v>
      </c>
      <c r="E25" s="25" t="n">
        <v>-30</v>
      </c>
      <c r="F25" s="25" t="n">
        <v>210</v>
      </c>
      <c r="G25" s="25" t="n">
        <v>268</v>
      </c>
      <c r="H25" s="25" t="n">
        <v>1044</v>
      </c>
      <c r="I25" s="25" t="n">
        <v>678</v>
      </c>
      <c r="J25" s="25" t="n">
        <v>2623</v>
      </c>
      <c r="K25" s="25" t="n">
        <v>1479</v>
      </c>
      <c r="L25" s="25" t="n">
        <v>-2623</v>
      </c>
      <c r="M25" s="25" t="n">
        <v>298</v>
      </c>
      <c r="N25" s="25" t="n">
        <v>1992</v>
      </c>
      <c r="O25" s="25" t="n">
        <v>634</v>
      </c>
      <c r="P25" s="25" t="n">
        <v>1320</v>
      </c>
      <c r="Q25" s="25" t="n">
        <v>174</v>
      </c>
      <c r="R25" s="25" t="n">
        <v>-2397</v>
      </c>
      <c r="S25" s="25" t="n">
        <v>-961</v>
      </c>
      <c r="T25" s="25" t="n">
        <v>22097</v>
      </c>
      <c r="U25" s="25" t="n">
        <v>-178</v>
      </c>
      <c r="V25" s="25" t="n">
        <v>30035</v>
      </c>
      <c r="W25" s="25" t="n">
        <v>28224</v>
      </c>
      <c r="X25" s="25" t="n">
        <v>35930</v>
      </c>
      <c r="Y25" s="25" t="n">
        <v>42878</v>
      </c>
      <c r="Z25" s="25" t="n">
        <v>44949</v>
      </c>
      <c r="AA25" s="25" t="n">
        <v>46585</v>
      </c>
      <c r="AB25" s="25" t="n">
        <v>610</v>
      </c>
      <c r="AC25" s="25" t="n">
        <v>4876</v>
      </c>
      <c r="AD25" s="25" t="n">
        <v>20467</v>
      </c>
      <c r="AE25" s="25" t="n">
        <v>3866</v>
      </c>
      <c r="AF25" s="25" t="n">
        <v>2148</v>
      </c>
      <c r="AG25" s="25" t="n">
        <v>-936</v>
      </c>
      <c r="AH25" s="25" t="n">
        <v>446</v>
      </c>
      <c r="AI25" s="25" t="n">
        <v>-2388</v>
      </c>
      <c r="AJ25" s="25" t="n">
        <v>1824</v>
      </c>
      <c r="AK25" s="25" t="n">
        <v>-5350</v>
      </c>
      <c r="AL25" s="25" t="n">
        <v>-4895</v>
      </c>
    </row>
    <row r="26" customFormat="false" ht="15" hidden="false" customHeight="true" outlineLevel="0" collapsed="false">
      <c r="A26" s="26" t="s">
        <v>400</v>
      </c>
      <c r="B26" s="25" t="n">
        <v>-62.2</v>
      </c>
      <c r="C26" s="25" t="n">
        <v>-64.9</v>
      </c>
      <c r="D26" s="25" t="n">
        <v>-33.4</v>
      </c>
      <c r="E26" s="25" t="n">
        <v>-121</v>
      </c>
      <c r="F26" s="25" t="n">
        <v>-146</v>
      </c>
      <c r="G26" s="25" t="n">
        <v>-91</v>
      </c>
      <c r="H26" s="25" t="n">
        <v>-71</v>
      </c>
      <c r="I26" s="25" t="n">
        <v>-336</v>
      </c>
      <c r="J26" s="25" t="n">
        <v>-520</v>
      </c>
      <c r="K26" s="25" t="n">
        <v>-687</v>
      </c>
      <c r="L26" s="25" t="n">
        <v>-944</v>
      </c>
      <c r="M26" s="25" t="n">
        <v>-418</v>
      </c>
      <c r="N26" s="25" t="n">
        <v>-1623</v>
      </c>
      <c r="O26" s="25" t="n">
        <v>187</v>
      </c>
      <c r="P26" s="25" t="n">
        <v>-687</v>
      </c>
      <c r="Q26" s="25" t="n">
        <v>-1243</v>
      </c>
      <c r="R26" s="25" t="n">
        <v>-2071</v>
      </c>
      <c r="S26" s="25" t="n">
        <v>-1764</v>
      </c>
      <c r="T26" s="25" t="n">
        <v>-1569</v>
      </c>
      <c r="U26" s="25" t="n">
        <v>2215</v>
      </c>
      <c r="V26" s="25" t="n">
        <v>-2238</v>
      </c>
      <c r="W26" s="25" t="n">
        <v>-1451</v>
      </c>
      <c r="X26" s="25" t="n">
        <v>-1156</v>
      </c>
      <c r="Y26" s="25" t="n">
        <v>-1807</v>
      </c>
      <c r="Z26" s="25" t="n">
        <v>-1120</v>
      </c>
      <c r="AA26" s="25" t="n">
        <v>1456</v>
      </c>
      <c r="AB26" s="25" t="n">
        <v>562</v>
      </c>
      <c r="AC26" s="25" t="n">
        <v>-1216</v>
      </c>
      <c r="AD26" s="25" t="n">
        <v>-3862</v>
      </c>
      <c r="AE26" s="25" t="n">
        <v>-2812</v>
      </c>
      <c r="AF26" s="25" t="n">
        <v>-2577</v>
      </c>
      <c r="AG26" s="25" t="n">
        <v>-6481</v>
      </c>
      <c r="AH26" s="25" t="n">
        <v>-6834</v>
      </c>
      <c r="AI26" s="25" t="n">
        <v>-4087</v>
      </c>
      <c r="AJ26" s="25" t="n">
        <v>-7191</v>
      </c>
      <c r="AK26" s="25" t="n">
        <v>-10581</v>
      </c>
      <c r="AL26" s="25" t="n">
        <v>-12737</v>
      </c>
    </row>
    <row r="27" customFormat="false" ht="15" hidden="false" customHeight="true" outlineLevel="0" collapsed="false">
      <c r="A27" s="26" t="s">
        <v>401</v>
      </c>
      <c r="B27" s="27" t="n">
        <v>-62.2</v>
      </c>
      <c r="C27" s="27" t="n">
        <v>-64.9</v>
      </c>
      <c r="D27" s="27" t="n">
        <v>-33.4</v>
      </c>
      <c r="E27" s="25" t="n">
        <v>-121</v>
      </c>
      <c r="F27" s="25" t="n">
        <v>-146</v>
      </c>
      <c r="G27" s="25" t="n">
        <v>-91</v>
      </c>
      <c r="H27" s="25" t="n">
        <v>-71</v>
      </c>
      <c r="I27" s="25" t="n">
        <v>-336</v>
      </c>
      <c r="J27" s="25" t="n">
        <v>-520</v>
      </c>
      <c r="K27" s="25" t="n">
        <v>-687</v>
      </c>
      <c r="L27" s="25" t="n">
        <v>-944</v>
      </c>
      <c r="M27" s="25" t="n">
        <v>-418</v>
      </c>
      <c r="N27" s="25" t="n">
        <v>-1623</v>
      </c>
      <c r="O27" s="25" t="n">
        <v>187</v>
      </c>
      <c r="P27" s="25" t="n">
        <v>-687</v>
      </c>
      <c r="Q27" s="25" t="n">
        <v>-1243</v>
      </c>
      <c r="R27" s="25" t="n">
        <v>-2071</v>
      </c>
      <c r="S27" s="25" t="n">
        <v>-1764</v>
      </c>
      <c r="T27" s="25" t="n">
        <v>-1569</v>
      </c>
      <c r="U27" s="25" t="n">
        <v>2215</v>
      </c>
      <c r="V27" s="25" t="n">
        <v>-2238</v>
      </c>
      <c r="W27" s="25" t="n">
        <v>-1451</v>
      </c>
      <c r="X27" s="25" t="n">
        <v>-1156</v>
      </c>
      <c r="Y27" s="25" t="n">
        <v>-1807</v>
      </c>
      <c r="Z27" s="25" t="n">
        <v>-1120</v>
      </c>
      <c r="AA27" s="25" t="n">
        <v>1456</v>
      </c>
      <c r="AB27" s="25" t="n">
        <v>562</v>
      </c>
      <c r="AC27" s="25" t="n">
        <v>-1216</v>
      </c>
      <c r="AD27" s="25" t="n">
        <v>-3862</v>
      </c>
      <c r="AE27" s="25" t="n">
        <v>-2812</v>
      </c>
      <c r="AF27" s="25" t="n">
        <v>-2577</v>
      </c>
      <c r="AG27" s="25" t="n">
        <v>-6481</v>
      </c>
      <c r="AH27" s="25" t="n">
        <v>-6834</v>
      </c>
      <c r="AI27" s="25" t="n">
        <v>-4087</v>
      </c>
      <c r="AJ27" s="25" t="n">
        <v>-7191</v>
      </c>
      <c r="AK27" s="25" t="n">
        <v>-10581</v>
      </c>
      <c r="AL27" s="25" t="n">
        <v>-12737</v>
      </c>
    </row>
    <row r="28" customFormat="false" ht="15" hidden="false" customHeight="true" outlineLevel="0" collapsed="false">
      <c r="A28" s="26" t="s">
        <v>402</v>
      </c>
      <c r="B28" s="27" t="n">
        <v>-15.6</v>
      </c>
      <c r="C28" s="27" t="n">
        <v>8.1</v>
      </c>
      <c r="D28" s="27" t="n">
        <v>-40</v>
      </c>
      <c r="E28" s="27" t="n">
        <v>-51</v>
      </c>
      <c r="F28" s="27" t="n">
        <v>23</v>
      </c>
      <c r="G28" s="27" t="n">
        <v>15</v>
      </c>
      <c r="V28" s="27" t="n">
        <v>0</v>
      </c>
      <c r="W28" s="27" t="n">
        <v>-561</v>
      </c>
      <c r="X28" s="27" t="n">
        <v>184</v>
      </c>
      <c r="Y28" s="27" t="n">
        <v>-802</v>
      </c>
      <c r="Z28" s="27" t="n">
        <v>-161</v>
      </c>
      <c r="AA28" s="27" t="n">
        <v>-272</v>
      </c>
      <c r="AB28" s="27" t="n">
        <v>600</v>
      </c>
      <c r="AC28" s="27" t="n">
        <v>50</v>
      </c>
      <c r="AD28" s="27" t="n">
        <v>-465</v>
      </c>
      <c r="AE28" s="27" t="n">
        <v>597</v>
      </c>
      <c r="AF28" s="27" t="n">
        <v>168</v>
      </c>
      <c r="AG28" s="27" t="n">
        <v>-737</v>
      </c>
      <c r="AH28" s="27" t="n">
        <v>-1123</v>
      </c>
      <c r="AI28" s="25" t="n">
        <v>1242</v>
      </c>
      <c r="AJ28" s="25" t="n">
        <v>1284</v>
      </c>
      <c r="AK28" s="25" t="n">
        <v>309</v>
      </c>
      <c r="AL28" s="25" t="n">
        <v>-461</v>
      </c>
    </row>
    <row r="29" customFormat="false" ht="15" hidden="false" customHeight="true" outlineLevel="0" collapsed="false">
      <c r="A29" s="26" t="s">
        <v>403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 t="n">
        <v>31433</v>
      </c>
      <c r="X29" s="25" t="n">
        <v>36657</v>
      </c>
      <c r="Y29" s="25" t="n">
        <v>46094</v>
      </c>
      <c r="Z29" s="25" t="n">
        <v>46887</v>
      </c>
      <c r="AA29" s="25" t="n">
        <v>44993</v>
      </c>
      <c r="AB29" s="25" t="n">
        <v>56134</v>
      </c>
      <c r="AC29" s="25" t="n">
        <v>69711</v>
      </c>
      <c r="AD29" s="25" t="n">
        <v>20109</v>
      </c>
      <c r="AE29" s="25" t="n">
        <v>5171</v>
      </c>
      <c r="AF29" s="25" t="n">
        <v>2081</v>
      </c>
      <c r="AG29" s="25" t="n">
        <v>7431</v>
      </c>
      <c r="AH29" s="25" t="n">
        <v>8052</v>
      </c>
      <c r="AI29" s="25"/>
      <c r="AJ29" s="25"/>
      <c r="AK29" s="25"/>
      <c r="AL29" s="25"/>
    </row>
    <row r="30" customFormat="false" ht="15" hidden="false" customHeight="true" outlineLevel="0" collapsed="false">
      <c r="A30" s="26" t="s">
        <v>404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customFormat="false" ht="15" hidden="false" customHeight="true" outlineLevel="0" collapsed="false">
      <c r="A31" s="26" t="s">
        <v>405</v>
      </c>
      <c r="B31" s="25"/>
      <c r="C31" s="25"/>
      <c r="D31" s="25"/>
      <c r="E31" s="25"/>
      <c r="F31" s="25"/>
      <c r="G31" s="25"/>
      <c r="M31" s="25"/>
      <c r="R31" s="25"/>
      <c r="W31" s="27" t="n">
        <v>31433</v>
      </c>
      <c r="X31" s="27" t="n">
        <v>36657</v>
      </c>
      <c r="Y31" s="27" t="n">
        <v>46094</v>
      </c>
      <c r="Z31" s="27" t="n">
        <v>46887</v>
      </c>
      <c r="AA31" s="27" t="n">
        <v>44993</v>
      </c>
      <c r="AB31" s="27" t="n">
        <v>56134</v>
      </c>
      <c r="AC31" s="27" t="n">
        <v>69711</v>
      </c>
      <c r="AD31" s="27" t="n">
        <v>20109</v>
      </c>
      <c r="AE31" s="27" t="n">
        <v>5171</v>
      </c>
      <c r="AF31" s="27" t="n">
        <v>2081</v>
      </c>
      <c r="AG31" s="27" t="n">
        <v>7431</v>
      </c>
      <c r="AH31" s="27" t="n">
        <v>8052</v>
      </c>
    </row>
    <row r="32" customFormat="false" ht="15" hidden="false" customHeight="true" outlineLevel="0" collapsed="false">
      <c r="A32" s="26" t="s">
        <v>406</v>
      </c>
      <c r="T32" s="25"/>
      <c r="U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customFormat="false" ht="15" hidden="false" customHeight="true" outlineLevel="0" collapsed="false">
      <c r="A33" s="26" t="s">
        <v>407</v>
      </c>
      <c r="O33" s="25"/>
      <c r="P33" s="25"/>
      <c r="Q33" s="25"/>
      <c r="R33" s="25"/>
      <c r="AG33" s="25"/>
      <c r="AH33" s="25"/>
      <c r="AI33" s="25"/>
      <c r="AJ33" s="25"/>
      <c r="AK33" s="25"/>
    </row>
    <row r="34" customFormat="false" ht="15" hidden="false" customHeight="true" outlineLevel="0" collapsed="false">
      <c r="A34" s="23" t="s">
        <v>408</v>
      </c>
      <c r="B34" s="25" t="n">
        <v>-270.7</v>
      </c>
      <c r="C34" s="25" t="n">
        <v>-380.7</v>
      </c>
      <c r="D34" s="25" t="n">
        <v>-641.6</v>
      </c>
      <c r="E34" s="25" t="n">
        <v>-976</v>
      </c>
      <c r="F34" s="25" t="n">
        <v>-1202</v>
      </c>
      <c r="G34" s="25" t="n">
        <v>-1376</v>
      </c>
      <c r="H34" s="25" t="n">
        <v>-2670</v>
      </c>
      <c r="I34" s="25" t="n">
        <v>-3089</v>
      </c>
      <c r="J34" s="25" t="n">
        <v>-7272</v>
      </c>
      <c r="K34" s="25" t="n">
        <v>-11191</v>
      </c>
      <c r="L34" s="25" t="n">
        <v>-11927</v>
      </c>
      <c r="M34" s="25" t="n">
        <v>-8734</v>
      </c>
      <c r="N34" s="25" t="n">
        <v>-10845</v>
      </c>
      <c r="O34" s="25" t="n">
        <v>-7213</v>
      </c>
      <c r="P34" s="25" t="n">
        <v>-2745</v>
      </c>
      <c r="Q34" s="25" t="n">
        <v>15027</v>
      </c>
      <c r="R34" s="25" t="n">
        <v>8003</v>
      </c>
      <c r="S34" s="25" t="n">
        <v>6089</v>
      </c>
      <c r="T34" s="25" t="n">
        <v>-4587</v>
      </c>
      <c r="U34" s="25" t="n">
        <v>-15770</v>
      </c>
      <c r="V34" s="25" t="n">
        <v>-11314</v>
      </c>
      <c r="W34" s="25" t="n">
        <v>-14616</v>
      </c>
      <c r="X34" s="25" t="n">
        <v>-24786</v>
      </c>
      <c r="Y34" s="25" t="n">
        <v>-23811</v>
      </c>
      <c r="Z34" s="25" t="n">
        <v>-18833</v>
      </c>
      <c r="AA34" s="25" t="n">
        <v>-23001</v>
      </c>
      <c r="AB34" s="25" t="n">
        <v>-23950</v>
      </c>
      <c r="AC34" s="25" t="n">
        <v>-46781</v>
      </c>
      <c r="AD34" s="25" t="n">
        <v>-6061</v>
      </c>
      <c r="AE34" s="25" t="n">
        <v>-15773</v>
      </c>
      <c r="AF34" s="25" t="n">
        <v>-12223</v>
      </c>
      <c r="AG34" s="25" t="n">
        <v>-27577</v>
      </c>
      <c r="AH34" s="25" t="n">
        <v>-30311</v>
      </c>
      <c r="AI34" s="25" t="n">
        <v>-22680</v>
      </c>
      <c r="AJ34" s="25" t="n">
        <v>-96970</v>
      </c>
      <c r="AK34" s="25" t="n">
        <v>-72599</v>
      </c>
      <c r="AL34" s="25" t="n">
        <v>-139500</v>
      </c>
    </row>
    <row r="35" customFormat="false" ht="15" hidden="false" customHeight="true" outlineLevel="0" collapsed="false">
      <c r="A35" s="26" t="s">
        <v>409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customFormat="false" ht="15" hidden="false" customHeight="true" outlineLevel="0" collapsed="false">
      <c r="A36" s="26" t="s">
        <v>410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E36" s="25"/>
      <c r="AF36" s="25"/>
      <c r="AG36" s="25"/>
      <c r="AH36" s="25"/>
      <c r="AI36" s="25"/>
      <c r="AJ36" s="25"/>
      <c r="AK36" s="25"/>
      <c r="AL36" s="25"/>
    </row>
    <row r="37" customFormat="false" ht="15" hidden="false" customHeight="true" outlineLevel="0" collapsed="false">
      <c r="A37" s="26" t="s">
        <v>411</v>
      </c>
      <c r="B37" s="25" t="n">
        <v>158.1</v>
      </c>
      <c r="C37" s="25" t="n">
        <v>264.4</v>
      </c>
      <c r="D37" s="25" t="n">
        <v>316.6</v>
      </c>
      <c r="E37" s="25" t="n">
        <v>236</v>
      </c>
      <c r="F37" s="25" t="n">
        <v>278</v>
      </c>
      <c r="G37" s="25" t="n">
        <v>495</v>
      </c>
      <c r="H37" s="25" t="n">
        <v>494</v>
      </c>
      <c r="I37" s="25" t="n">
        <v>499</v>
      </c>
      <c r="J37" s="25" t="n">
        <v>656</v>
      </c>
      <c r="K37" s="25" t="n">
        <v>583</v>
      </c>
      <c r="L37" s="25" t="n">
        <v>879</v>
      </c>
      <c r="M37" s="25" t="n">
        <v>1103</v>
      </c>
      <c r="N37" s="25" t="n">
        <v>770</v>
      </c>
      <c r="O37" s="25" t="n">
        <v>891</v>
      </c>
      <c r="P37" s="25" t="n">
        <v>1109</v>
      </c>
      <c r="Q37" s="25" t="n">
        <v>812</v>
      </c>
      <c r="R37" s="25" t="n">
        <v>1578</v>
      </c>
      <c r="S37" s="25" t="n">
        <v>2264</v>
      </c>
      <c r="T37" s="25" t="n">
        <v>3182</v>
      </c>
      <c r="U37" s="27" t="n">
        <v>3119</v>
      </c>
      <c r="V37" s="25" t="n">
        <v>1977</v>
      </c>
      <c r="W37" s="25" t="n">
        <v>2355</v>
      </c>
      <c r="X37" s="27" t="n">
        <v>2305</v>
      </c>
      <c r="Y37" s="27" t="n">
        <v>4257</v>
      </c>
      <c r="Z37" s="27" t="n">
        <v>5485</v>
      </c>
      <c r="AA37" s="25" t="n">
        <v>5944</v>
      </c>
      <c r="AB37" s="25" t="n">
        <v>8343</v>
      </c>
      <c r="AC37" s="25" t="n">
        <v>8129</v>
      </c>
      <c r="AD37" s="25" t="n">
        <v>11632</v>
      </c>
      <c r="AE37" s="25" t="n">
        <v>13925</v>
      </c>
      <c r="AF37" s="25" t="n">
        <v>15441</v>
      </c>
      <c r="AG37" s="25" t="n">
        <v>20622</v>
      </c>
      <c r="AH37" s="27" t="n">
        <v>23886</v>
      </c>
      <c r="AI37" s="27" t="n">
        <v>28107</v>
      </c>
      <c r="AJ37" s="27" t="n">
        <v>44477</v>
      </c>
      <c r="AK37" s="27" t="n">
        <v>64551</v>
      </c>
      <c r="AL37" s="27" t="n">
        <v>115948</v>
      </c>
    </row>
    <row r="38" customFormat="false" ht="15" hidden="false" customHeight="true" outlineLevel="0" collapsed="false">
      <c r="A38" s="26" t="s">
        <v>412</v>
      </c>
      <c r="B38" s="25" t="n">
        <v>158.1</v>
      </c>
      <c r="C38" s="25" t="n">
        <v>264.4</v>
      </c>
      <c r="D38" s="25" t="n">
        <v>316.6</v>
      </c>
      <c r="E38" s="25" t="n">
        <v>236</v>
      </c>
      <c r="F38" s="25" t="n">
        <v>278</v>
      </c>
      <c r="G38" s="25" t="n">
        <v>495</v>
      </c>
      <c r="H38" s="25" t="n">
        <v>494</v>
      </c>
      <c r="I38" s="25" t="n">
        <v>499</v>
      </c>
      <c r="J38" s="25" t="n">
        <v>656</v>
      </c>
      <c r="K38" s="25" t="n">
        <v>583</v>
      </c>
      <c r="L38" s="25" t="n">
        <v>879</v>
      </c>
      <c r="M38" s="25" t="n">
        <v>1103</v>
      </c>
      <c r="N38" s="25" t="n">
        <v>770</v>
      </c>
      <c r="O38" s="25" t="n">
        <v>891</v>
      </c>
      <c r="P38" s="25" t="n">
        <v>1109</v>
      </c>
      <c r="Q38" s="25" t="n">
        <v>812</v>
      </c>
      <c r="R38" s="25" t="n">
        <v>1578</v>
      </c>
      <c r="S38" s="25" t="n">
        <v>2264</v>
      </c>
      <c r="T38" s="25" t="n">
        <v>3182</v>
      </c>
      <c r="U38" s="27" t="n">
        <v>3119</v>
      </c>
      <c r="V38" s="27" t="n">
        <v>1977</v>
      </c>
      <c r="W38" s="27" t="n">
        <v>2355</v>
      </c>
      <c r="X38" s="27" t="n">
        <v>2305</v>
      </c>
      <c r="Y38" s="27" t="n">
        <v>4257</v>
      </c>
      <c r="Z38" s="27" t="n">
        <v>5485</v>
      </c>
      <c r="AA38" s="25" t="n">
        <v>5944</v>
      </c>
      <c r="AB38" s="25" t="n">
        <v>8343</v>
      </c>
      <c r="AC38" s="25" t="n">
        <v>8129</v>
      </c>
      <c r="AD38" s="25" t="n">
        <v>11632</v>
      </c>
      <c r="AE38" s="25" t="n">
        <v>13925</v>
      </c>
      <c r="AF38" s="25" t="n">
        <v>15441</v>
      </c>
      <c r="AG38" s="25" t="n">
        <v>20622</v>
      </c>
      <c r="AH38" s="27" t="n">
        <v>23886</v>
      </c>
      <c r="AI38" s="27" t="n">
        <v>28107</v>
      </c>
      <c r="AJ38" s="27" t="n">
        <v>44477</v>
      </c>
      <c r="AK38" s="27" t="n">
        <v>64551</v>
      </c>
      <c r="AL38" s="27" t="n">
        <v>115948</v>
      </c>
    </row>
    <row r="39" customFormat="false" ht="15" hidden="false" customHeight="true" outlineLevel="0" collapsed="false">
      <c r="A39" s="26" t="s">
        <v>413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V39" s="25"/>
      <c r="W39" s="25"/>
    </row>
    <row r="40" customFormat="false" ht="15" hidden="false" customHeight="true" outlineLevel="0" collapsed="false">
      <c r="A40" s="26" t="s">
        <v>414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customFormat="false" ht="15" hidden="false" customHeight="true" outlineLevel="0" collapsed="false">
      <c r="A41" s="26" t="s">
        <v>415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customFormat="false" ht="15" hidden="false" customHeight="true" outlineLevel="0" collapsed="false">
      <c r="A42" s="26" t="s">
        <v>416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customFormat="false" ht="15" hidden="false" customHeight="true" outlineLevel="0" collapsed="false">
      <c r="A43" s="26" t="s">
        <v>417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 t="n">
        <v>-9092</v>
      </c>
      <c r="W43" s="25" t="n">
        <v>-12190</v>
      </c>
      <c r="X43" s="25" t="n">
        <v>-11975</v>
      </c>
      <c r="Y43" s="25" t="n">
        <v>-17802</v>
      </c>
      <c r="Z43" s="25" t="n">
        <v>-7324</v>
      </c>
      <c r="AA43" s="25" t="n">
        <v>-12868</v>
      </c>
      <c r="AB43" s="25" t="n">
        <v>-14417</v>
      </c>
      <c r="AC43" s="25" t="n">
        <v>-12511</v>
      </c>
      <c r="AD43" s="25" t="n">
        <v>6557</v>
      </c>
      <c r="AE43" s="25" t="n">
        <v>-37654</v>
      </c>
      <c r="AF43" s="25" t="n">
        <v>-10741</v>
      </c>
      <c r="AG43" s="25" t="n">
        <v>2876</v>
      </c>
      <c r="AH43" s="25" t="n">
        <v>18438</v>
      </c>
      <c r="AI43" s="25" t="n">
        <v>10213</v>
      </c>
      <c r="AJ43" s="25" t="n">
        <v>17937</v>
      </c>
      <c r="AK43" s="25" t="n">
        <v>-4387</v>
      </c>
      <c r="AL43" s="25" t="n">
        <v>-1948</v>
      </c>
    </row>
    <row r="44" customFormat="false" ht="15" hidden="false" customHeight="true" outlineLevel="0" collapsed="false">
      <c r="A44" s="26" t="s">
        <v>418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W44" s="25"/>
      <c r="AE44" s="25"/>
    </row>
    <row r="45" customFormat="false" ht="15" hidden="false" customHeight="true" outlineLevel="0" collapsed="false">
      <c r="A45" s="26" t="s">
        <v>419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AC45" s="25"/>
      <c r="AD45" s="25"/>
    </row>
    <row r="46" customFormat="false" ht="15" hidden="false" customHeight="true" outlineLevel="0" collapsed="false">
      <c r="A46" s="26" t="s">
        <v>420</v>
      </c>
      <c r="AF46" s="25"/>
      <c r="AG46" s="25"/>
      <c r="AH46" s="25"/>
      <c r="AI46" s="25"/>
      <c r="AJ46" s="25"/>
      <c r="AK46" s="25"/>
      <c r="AL46" s="25"/>
    </row>
    <row r="47" customFormat="false" ht="15" hidden="false" customHeight="true" outlineLevel="0" collapsed="false">
      <c r="A47" s="26" t="s">
        <v>421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customFormat="false" ht="15" hidden="false" customHeight="true" outlineLevel="0" collapsed="false">
      <c r="A48" s="26" t="s">
        <v>422</v>
      </c>
      <c r="B48" s="25" t="n">
        <v>-18.1</v>
      </c>
      <c r="C48" s="25" t="n">
        <v>-39.7</v>
      </c>
      <c r="D48" s="25" t="n">
        <v>-40.7</v>
      </c>
      <c r="E48" s="25" t="n">
        <v>-17</v>
      </c>
      <c r="F48" s="25" t="n">
        <v>-64</v>
      </c>
      <c r="G48" s="25" t="n">
        <v>-230</v>
      </c>
      <c r="H48" s="25" t="n">
        <v>-625</v>
      </c>
      <c r="I48" s="25" t="n">
        <v>-1669</v>
      </c>
      <c r="J48" s="25" t="n">
        <v>-1598</v>
      </c>
      <c r="K48" s="25" t="n">
        <v>79</v>
      </c>
      <c r="L48" s="25"/>
      <c r="M48" s="25"/>
      <c r="N48" s="25"/>
      <c r="O48" s="25"/>
      <c r="P48" s="25"/>
      <c r="Q48" s="25"/>
      <c r="R48" s="25" t="n">
        <v>3117</v>
      </c>
      <c r="S48" s="25" t="n">
        <v>-376</v>
      </c>
      <c r="T48" s="25" t="n">
        <v>-127</v>
      </c>
      <c r="U48" s="25" t="n">
        <v>-930</v>
      </c>
      <c r="V48" s="25" t="n">
        <v>-1502</v>
      </c>
      <c r="W48" s="25" t="n">
        <v>-71</v>
      </c>
      <c r="X48" s="25" t="n">
        <v>-394</v>
      </c>
      <c r="Y48" s="25" t="n">
        <v>-168</v>
      </c>
      <c r="Z48" s="25" t="n">
        <v>-87</v>
      </c>
      <c r="AA48" s="25" t="n">
        <v>-466</v>
      </c>
      <c r="AB48" s="25" t="n">
        <v>203</v>
      </c>
      <c r="AC48" s="25" t="n">
        <v>-197</v>
      </c>
      <c r="AD48" s="25" t="n">
        <v>-98</v>
      </c>
      <c r="AE48" s="25" t="n">
        <v>540</v>
      </c>
      <c r="AF48" s="25" t="n">
        <v>13959</v>
      </c>
      <c r="AG48" s="25" t="n">
        <v>-922</v>
      </c>
      <c r="AH48" s="25" t="n">
        <v>-2825</v>
      </c>
      <c r="AI48" s="25" t="n">
        <v>-3116</v>
      </c>
      <c r="AJ48" s="25" t="n">
        <v>-1298</v>
      </c>
      <c r="AK48" s="25" t="n">
        <v>2317</v>
      </c>
      <c r="AL48" s="25" t="n">
        <v>-19861</v>
      </c>
    </row>
    <row r="49" customFormat="false" ht="15" hidden="false" customHeight="true" outlineLevel="0" collapsed="false">
      <c r="A49" s="26" t="s">
        <v>423</v>
      </c>
      <c r="AG49" s="25"/>
      <c r="AH49" s="25"/>
      <c r="AI49" s="25"/>
      <c r="AJ49" s="25"/>
      <c r="AK49" s="25"/>
    </row>
    <row r="50" customFormat="false" ht="15" hidden="false" customHeight="true" outlineLevel="0" collapsed="false">
      <c r="A50" s="23" t="s">
        <v>424</v>
      </c>
      <c r="B50" s="25" t="n">
        <v>43.5</v>
      </c>
      <c r="C50" s="25" t="n">
        <v>-4.3</v>
      </c>
      <c r="D50" s="25" t="n">
        <v>119</v>
      </c>
      <c r="E50" s="25" t="n">
        <v>186</v>
      </c>
      <c r="F50" s="25" t="n">
        <v>83</v>
      </c>
      <c r="G50" s="25" t="n">
        <v>-138</v>
      </c>
      <c r="H50" s="25" t="n">
        <v>-405</v>
      </c>
      <c r="I50" s="25" t="n">
        <v>-501</v>
      </c>
      <c r="J50" s="25" t="n">
        <v>-999</v>
      </c>
      <c r="K50" s="25" t="n">
        <v>-862</v>
      </c>
      <c r="L50" s="25" t="n">
        <v>-2192</v>
      </c>
      <c r="M50" s="25" t="n">
        <v>-5586</v>
      </c>
      <c r="N50" s="25" t="n">
        <v>-4572</v>
      </c>
      <c r="O50" s="25" t="n">
        <v>-5223</v>
      </c>
      <c r="P50" s="25" t="n">
        <v>-2364</v>
      </c>
      <c r="Q50" s="25" t="n">
        <v>-41078</v>
      </c>
      <c r="R50" s="25" t="n">
        <v>-20562</v>
      </c>
      <c r="S50" s="25" t="n">
        <v>-24544</v>
      </c>
      <c r="T50" s="25" t="n">
        <v>-12934</v>
      </c>
      <c r="U50" s="25" t="n">
        <v>-7463</v>
      </c>
      <c r="V50" s="25" t="n">
        <v>-13291</v>
      </c>
      <c r="W50" s="25" t="n">
        <v>-8376</v>
      </c>
      <c r="X50" s="25" t="n">
        <v>-9408</v>
      </c>
      <c r="Y50" s="25" t="n">
        <v>-8148</v>
      </c>
      <c r="Z50" s="25" t="n">
        <v>-8665</v>
      </c>
      <c r="AA50" s="25" t="n">
        <v>-9668</v>
      </c>
      <c r="AB50" s="25" t="n">
        <v>-8393</v>
      </c>
      <c r="AC50" s="25" t="n">
        <v>8408</v>
      </c>
      <c r="AD50" s="25" t="n">
        <v>-33590</v>
      </c>
      <c r="AE50" s="25" t="n">
        <v>-36887</v>
      </c>
      <c r="AF50" s="25" t="n">
        <v>-46031</v>
      </c>
      <c r="AG50" s="25" t="n">
        <v>-48486</v>
      </c>
      <c r="AH50" s="25" t="n">
        <v>-58876</v>
      </c>
      <c r="AI50" s="25" t="n">
        <v>-43935</v>
      </c>
      <c r="AJ50" s="25" t="n">
        <v>-37757</v>
      </c>
      <c r="AK50" s="25" t="n">
        <v>-51699</v>
      </c>
      <c r="AL50" s="25" t="n">
        <v>-52546</v>
      </c>
    </row>
    <row r="51" customFormat="false" ht="15" hidden="false" customHeight="true" outlineLevel="0" collapsed="false">
      <c r="A51" s="26" t="s">
        <v>425</v>
      </c>
      <c r="B51" s="25" t="n">
        <v>43.5</v>
      </c>
      <c r="C51" s="25" t="n">
        <v>-4.3</v>
      </c>
      <c r="D51" s="25" t="n">
        <v>119</v>
      </c>
      <c r="E51" s="25" t="n">
        <v>186</v>
      </c>
      <c r="F51" s="25" t="n">
        <v>83</v>
      </c>
      <c r="G51" s="25" t="n">
        <v>-138</v>
      </c>
      <c r="H51" s="25" t="n">
        <v>-405</v>
      </c>
      <c r="I51" s="25" t="n">
        <v>-501</v>
      </c>
      <c r="J51" s="25" t="n">
        <v>-999</v>
      </c>
      <c r="K51" s="25" t="n">
        <v>-862</v>
      </c>
      <c r="L51" s="25" t="n">
        <v>-2192</v>
      </c>
      <c r="M51" s="25" t="n">
        <v>-5586</v>
      </c>
      <c r="N51" s="25" t="n">
        <v>-4572</v>
      </c>
      <c r="O51" s="25" t="n">
        <v>-5223</v>
      </c>
      <c r="P51" s="25" t="n">
        <v>-2364</v>
      </c>
      <c r="Q51" s="25" t="n">
        <v>-41078</v>
      </c>
      <c r="R51" s="25" t="n">
        <v>-20562</v>
      </c>
      <c r="S51" s="25" t="n">
        <v>-24544</v>
      </c>
      <c r="T51" s="25" t="n">
        <v>-12934</v>
      </c>
      <c r="U51" s="25" t="n">
        <v>-7463</v>
      </c>
      <c r="V51" s="25" t="n">
        <v>-13291</v>
      </c>
      <c r="W51" s="25" t="n">
        <v>-8376</v>
      </c>
      <c r="X51" s="25" t="n">
        <v>-9408</v>
      </c>
      <c r="Y51" s="25" t="n">
        <v>-8148</v>
      </c>
      <c r="Z51" s="25" t="n">
        <v>-8665</v>
      </c>
      <c r="AA51" s="25" t="n">
        <v>-9668</v>
      </c>
      <c r="AB51" s="25" t="n">
        <v>-8393</v>
      </c>
      <c r="AC51" s="25" t="n">
        <v>8408</v>
      </c>
      <c r="AD51" s="25" t="n">
        <v>-33590</v>
      </c>
      <c r="AE51" s="25" t="n">
        <v>-36887</v>
      </c>
      <c r="AF51" s="25" t="n">
        <v>-46031</v>
      </c>
      <c r="AG51" s="25" t="n">
        <v>-48486</v>
      </c>
      <c r="AH51" s="25" t="n">
        <v>-58876</v>
      </c>
      <c r="AI51" s="25" t="n">
        <v>-43935</v>
      </c>
      <c r="AJ51" s="25" t="n">
        <v>-37757</v>
      </c>
      <c r="AK51" s="25" t="n">
        <v>-51699</v>
      </c>
      <c r="AL51" s="25" t="n">
        <v>-52546</v>
      </c>
    </row>
    <row r="52" customFormat="false" ht="15" hidden="false" customHeight="true" outlineLevel="0" collapsed="false">
      <c r="A52" s="26" t="s">
        <v>426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 t="n">
        <v>-991</v>
      </c>
      <c r="W52" s="25" t="n">
        <v>-186</v>
      </c>
      <c r="X52" s="25"/>
      <c r="Y52" s="25" t="n">
        <v>3537</v>
      </c>
      <c r="Z52" s="25" t="n">
        <v>6962</v>
      </c>
      <c r="AA52" s="25" t="n">
        <v>13661</v>
      </c>
      <c r="AB52" s="25" t="n">
        <v>18283</v>
      </c>
      <c r="AC52" s="25" t="n">
        <v>31459</v>
      </c>
      <c r="AD52" s="25" t="n">
        <v>-10201</v>
      </c>
      <c r="AE52" s="25" t="n">
        <v>-4000</v>
      </c>
      <c r="AF52" s="25" t="n">
        <v>-8935</v>
      </c>
      <c r="AG52" s="25" t="n">
        <v>-3750</v>
      </c>
      <c r="AH52" s="25" t="n">
        <v>-9023</v>
      </c>
      <c r="AI52" s="25" t="n">
        <v>-2750</v>
      </c>
      <c r="AJ52" s="25" t="n">
        <v>-4675</v>
      </c>
      <c r="AK52" s="25" t="n">
        <v>-3216</v>
      </c>
      <c r="AL52" s="25" t="n">
        <v>-3000</v>
      </c>
    </row>
    <row r="53" customFormat="false" ht="15" hidden="false" customHeight="true" outlineLevel="0" collapsed="false">
      <c r="A53" s="26" t="s">
        <v>427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customFormat="false" ht="15" hidden="false" customHeight="true" outlineLevel="0" collapsed="false">
      <c r="A54" s="26" t="s">
        <v>428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customFormat="false" ht="15" hidden="false" customHeight="true" outlineLevel="0" collapsed="false">
      <c r="A55" s="26" t="s">
        <v>429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customFormat="false" ht="15" hidden="false" customHeight="true" outlineLevel="0" collapsed="false">
      <c r="A56" s="26" t="s">
        <v>430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customFormat="false" ht="15" hidden="false" customHeight="true" outlineLevel="0" collapsed="false">
      <c r="A57" s="26" t="s">
        <v>431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S57" s="25"/>
      <c r="U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customFormat="false" ht="15" hidden="false" customHeight="true" outlineLevel="0" collapsed="false">
      <c r="A58" s="26" t="s">
        <v>432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V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customFormat="false" ht="15" hidden="false" customHeight="true" outlineLevel="0" collapsed="false">
      <c r="A59" s="26" t="s">
        <v>433</v>
      </c>
      <c r="B59" s="25" t="n">
        <v>-46.7</v>
      </c>
      <c r="C59" s="25" t="n">
        <v>-197</v>
      </c>
      <c r="D59" s="25" t="n">
        <v>-135</v>
      </c>
      <c r="E59" s="25" t="n">
        <v>-250</v>
      </c>
      <c r="F59" s="25" t="n">
        <v>-348</v>
      </c>
      <c r="G59" s="25" t="n">
        <v>-649</v>
      </c>
      <c r="H59" s="25" t="n">
        <v>-1261</v>
      </c>
      <c r="I59" s="25" t="n">
        <v>-3101</v>
      </c>
      <c r="J59" s="25" t="n">
        <v>-2468</v>
      </c>
      <c r="K59" s="25" t="n">
        <v>-2950</v>
      </c>
      <c r="L59" s="25" t="n">
        <v>-4896</v>
      </c>
      <c r="M59" s="25" t="n">
        <v>-7441</v>
      </c>
      <c r="N59" s="25" t="n">
        <v>-6069</v>
      </c>
      <c r="O59" s="25" t="n">
        <v>-6486</v>
      </c>
      <c r="P59" s="25" t="n">
        <v>-3383</v>
      </c>
      <c r="Q59" s="25" t="n">
        <v>-8057</v>
      </c>
      <c r="R59" s="25" t="n">
        <v>-19207</v>
      </c>
      <c r="S59" s="25" t="n">
        <v>-27575</v>
      </c>
      <c r="T59" s="25" t="n">
        <v>-12533</v>
      </c>
      <c r="U59" s="25" t="n">
        <v>-9353</v>
      </c>
      <c r="V59" s="25" t="n">
        <v>-11269</v>
      </c>
      <c r="W59" s="25" t="n">
        <v>-11555</v>
      </c>
      <c r="X59" s="25" t="n">
        <v>-5029</v>
      </c>
      <c r="Y59" s="25" t="n">
        <v>-5360</v>
      </c>
      <c r="Z59" s="25" t="n">
        <v>-7316</v>
      </c>
      <c r="AA59" s="25" t="n">
        <v>-14443</v>
      </c>
      <c r="AB59" s="25" t="n">
        <v>-15969</v>
      </c>
      <c r="AC59" s="25" t="n">
        <v>-11788</v>
      </c>
      <c r="AD59" s="25" t="n">
        <v>-10721</v>
      </c>
      <c r="AE59" s="25" t="n">
        <v>-19543</v>
      </c>
      <c r="AF59" s="25" t="n">
        <v>-22968</v>
      </c>
      <c r="AG59" s="25" t="n">
        <v>-27385</v>
      </c>
      <c r="AH59" s="25" t="n">
        <v>-32696</v>
      </c>
      <c r="AI59" s="25" t="n">
        <v>-22245</v>
      </c>
      <c r="AJ59" s="25" t="n">
        <v>-17254</v>
      </c>
      <c r="AK59" s="25" t="n">
        <v>-18420</v>
      </c>
      <c r="AL59" s="25" t="n">
        <v>-22271</v>
      </c>
    </row>
    <row r="60" customFormat="false" ht="15" hidden="false" customHeight="true" outlineLevel="0" collapsed="false">
      <c r="A60" s="26" t="s">
        <v>434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 t="n">
        <v>1142</v>
      </c>
      <c r="AF60" s="25" t="n">
        <v>1343</v>
      </c>
      <c r="AG60" s="25" t="n">
        <v>1693</v>
      </c>
      <c r="AH60" s="25" t="n">
        <v>1841</v>
      </c>
      <c r="AI60" s="25" t="n">
        <v>1866</v>
      </c>
      <c r="AJ60" s="25" t="n">
        <v>2002</v>
      </c>
      <c r="AK60" s="25" t="n">
        <v>2056</v>
      </c>
      <c r="AL60" s="25" t="n">
        <v>2009</v>
      </c>
    </row>
    <row r="61" customFormat="false" ht="15" hidden="false" customHeight="true" outlineLevel="0" collapsed="false">
      <c r="A61" s="26" t="s">
        <v>435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customFormat="false" ht="15" hidden="false" customHeight="true" outlineLevel="0" collapsed="false">
      <c r="A62" s="26" t="s">
        <v>436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customFormat="false" ht="15" hidden="false" customHeight="true" outlineLevel="0" collapsed="false">
      <c r="A63" s="26" t="s">
        <v>437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AD63" s="25"/>
      <c r="AE63" s="25"/>
      <c r="AF63" s="25"/>
      <c r="AG63" s="25"/>
      <c r="AH63" s="25"/>
      <c r="AI63" s="25"/>
    </row>
    <row r="64" customFormat="false" ht="15" hidden="false" customHeight="true" outlineLevel="0" collapsed="false">
      <c r="A64" s="26" t="s">
        <v>438</v>
      </c>
      <c r="L64" s="25"/>
      <c r="M64" s="25"/>
      <c r="N64" s="25"/>
      <c r="O64" s="25"/>
      <c r="P64" s="25"/>
      <c r="Q64" s="25"/>
      <c r="R64" s="25"/>
      <c r="S64" s="25"/>
      <c r="T64" s="25"/>
      <c r="AE64" s="25"/>
      <c r="AF64" s="25"/>
      <c r="AG64" s="25"/>
      <c r="AH64" s="25"/>
      <c r="AI64" s="25"/>
      <c r="AJ64" s="25"/>
      <c r="AK64" s="25"/>
      <c r="AL64" s="25"/>
    </row>
    <row r="65" customFormat="false" ht="15" hidden="false" customHeight="true" outlineLevel="0" collapsed="false">
      <c r="A65" s="26" t="s">
        <v>439</v>
      </c>
      <c r="B65" s="25"/>
      <c r="C65" s="25"/>
      <c r="D65" s="25"/>
      <c r="E65" s="25"/>
      <c r="F65" s="25"/>
      <c r="G65" s="25"/>
      <c r="H65" s="25"/>
      <c r="I65" s="25" t="n">
        <v>15</v>
      </c>
      <c r="J65" s="25" t="n">
        <v>28</v>
      </c>
      <c r="K65" s="25" t="n">
        <v>28</v>
      </c>
      <c r="L65" s="25" t="n">
        <v>13</v>
      </c>
      <c r="M65" s="25"/>
      <c r="N65" s="25"/>
      <c r="O65" s="25" t="n">
        <v>857</v>
      </c>
      <c r="P65" s="25" t="n">
        <v>1729</v>
      </c>
      <c r="Q65" s="25" t="n">
        <v>36112</v>
      </c>
      <c r="R65" s="25" t="n">
        <v>3545</v>
      </c>
      <c r="S65" s="25" t="n">
        <v>3805</v>
      </c>
      <c r="T65" s="25" t="n">
        <v>4015</v>
      </c>
      <c r="U65" s="25" t="n">
        <v>4468</v>
      </c>
      <c r="V65" s="25" t="n">
        <v>4578</v>
      </c>
      <c r="W65" s="25" t="n">
        <v>5180</v>
      </c>
      <c r="X65" s="25" t="n">
        <v>6385</v>
      </c>
      <c r="Y65" s="25" t="n">
        <v>7455</v>
      </c>
      <c r="Z65" s="25" t="n">
        <v>8879</v>
      </c>
      <c r="AA65" s="25" t="n">
        <v>9882</v>
      </c>
      <c r="AB65" s="25" t="n">
        <v>11006</v>
      </c>
      <c r="AC65" s="25" t="n">
        <v>11845</v>
      </c>
      <c r="AD65" s="25" t="n">
        <v>12699</v>
      </c>
      <c r="AE65" s="25" t="n">
        <v>13811</v>
      </c>
      <c r="AF65" s="25" t="n">
        <v>15137</v>
      </c>
      <c r="AG65" s="25" t="n">
        <v>16521</v>
      </c>
      <c r="AH65" s="25" t="n">
        <v>18135</v>
      </c>
      <c r="AI65" s="25" t="n">
        <v>19800</v>
      </c>
      <c r="AJ65" s="25" t="n">
        <v>21771</v>
      </c>
      <c r="AK65" s="25" t="n">
        <v>24082</v>
      </c>
      <c r="AL65" s="25" t="n">
        <v>26445</v>
      </c>
    </row>
    <row r="66" customFormat="false" ht="15" hidden="false" customHeight="true" outlineLevel="0" collapsed="false">
      <c r="A66" s="26" t="s">
        <v>440</v>
      </c>
      <c r="E66" s="25"/>
      <c r="F66" s="25"/>
      <c r="G66" s="25"/>
      <c r="H66" s="25"/>
      <c r="I66" s="25" t="n">
        <v>-15</v>
      </c>
      <c r="J66" s="25" t="n">
        <v>-28</v>
      </c>
      <c r="K66" s="25" t="n">
        <v>-28</v>
      </c>
      <c r="L66" s="25" t="n">
        <v>-13</v>
      </c>
      <c r="M66" s="25"/>
      <c r="N66" s="25"/>
      <c r="O66" s="25" t="n">
        <v>-857</v>
      </c>
      <c r="P66" s="25" t="n">
        <v>-1729</v>
      </c>
      <c r="Q66" s="25" t="n">
        <v>-36112</v>
      </c>
      <c r="R66" s="25" t="n">
        <v>-3545</v>
      </c>
      <c r="S66" s="25" t="n">
        <v>-3805</v>
      </c>
      <c r="T66" s="25" t="n">
        <v>-4015</v>
      </c>
      <c r="U66" s="25" t="n">
        <v>-4468</v>
      </c>
      <c r="V66" s="25" t="n">
        <v>-4578</v>
      </c>
      <c r="W66" s="25" t="n">
        <v>-5180</v>
      </c>
      <c r="X66" s="25" t="n">
        <v>-6385</v>
      </c>
      <c r="Y66" s="25" t="n">
        <v>-7455</v>
      </c>
      <c r="Z66" s="25" t="n">
        <v>-8879</v>
      </c>
      <c r="AA66" s="25" t="n">
        <v>-9882</v>
      </c>
      <c r="AB66" s="25" t="n">
        <v>-11006</v>
      </c>
      <c r="AC66" s="25" t="n">
        <v>-11845</v>
      </c>
      <c r="AD66" s="25" t="n">
        <v>-12699</v>
      </c>
      <c r="AE66" s="25" t="n">
        <v>-13811</v>
      </c>
      <c r="AF66" s="25" t="n">
        <v>-15137</v>
      </c>
      <c r="AG66" s="25" t="n">
        <v>-16521</v>
      </c>
      <c r="AH66" s="25" t="n">
        <v>-18135</v>
      </c>
      <c r="AI66" s="25" t="n">
        <v>-19800</v>
      </c>
      <c r="AJ66" s="25" t="n">
        <v>-21771</v>
      </c>
      <c r="AK66" s="25" t="n">
        <v>-24082</v>
      </c>
      <c r="AL66" s="27" t="n">
        <v>-26445</v>
      </c>
    </row>
    <row r="67" customFormat="false" ht="15" hidden="false" customHeight="true" outlineLevel="0" collapsed="false">
      <c r="A67" s="26" t="s">
        <v>441</v>
      </c>
      <c r="AE67" s="25"/>
      <c r="AF67" s="25"/>
      <c r="AG67" s="25"/>
    </row>
    <row r="68" customFormat="false" ht="15" hidden="false" customHeight="true" outlineLevel="0" collapsed="false">
      <c r="A68" s="26" t="s">
        <v>442</v>
      </c>
      <c r="B68" s="27" t="n">
        <v>-270.7</v>
      </c>
      <c r="C68" s="27" t="n">
        <v>0.1</v>
      </c>
      <c r="D68" s="27" t="n">
        <v>-641.6</v>
      </c>
      <c r="E68" s="25" t="n">
        <v>-976</v>
      </c>
      <c r="F68" s="25" t="n">
        <v>-1202</v>
      </c>
      <c r="G68" s="27" t="n">
        <v>179</v>
      </c>
      <c r="H68" s="25" t="n">
        <v>352</v>
      </c>
      <c r="I68" s="25" t="n">
        <v>796</v>
      </c>
      <c r="J68" s="25" t="n">
        <v>1553</v>
      </c>
      <c r="K68" s="25" t="n">
        <v>3107</v>
      </c>
      <c r="L68" s="25" t="n">
        <v>-11927</v>
      </c>
      <c r="M68" s="25" t="n">
        <v>235</v>
      </c>
      <c r="N68" s="25" t="n">
        <v>-10845</v>
      </c>
      <c r="O68" s="25" t="n">
        <v>-7213</v>
      </c>
      <c r="P68" s="25" t="n">
        <v>-2745</v>
      </c>
      <c r="Q68" s="25" t="n">
        <v>-18</v>
      </c>
      <c r="R68" s="25" t="n">
        <v>89</v>
      </c>
      <c r="S68" s="25" t="n">
        <v>54</v>
      </c>
      <c r="T68" s="25" t="n">
        <v>120</v>
      </c>
      <c r="U68" s="25" t="n">
        <v>33</v>
      </c>
      <c r="V68" s="25" t="n">
        <v>55</v>
      </c>
      <c r="W68" s="25" t="n">
        <v>-23</v>
      </c>
      <c r="X68" s="25" t="n">
        <v>93</v>
      </c>
      <c r="Y68" s="25" t="n">
        <v>199</v>
      </c>
      <c r="Z68" s="25" t="n">
        <v>-39</v>
      </c>
      <c r="AA68" s="25" t="n">
        <v>362</v>
      </c>
      <c r="AB68" s="25" t="n">
        <v>-369</v>
      </c>
      <c r="AC68" s="25" t="n">
        <v>-190</v>
      </c>
      <c r="AD68" s="25" t="n">
        <v>-971</v>
      </c>
      <c r="AE68" s="25" t="n">
        <v>-675</v>
      </c>
      <c r="AF68" s="25" t="n">
        <v>-3751</v>
      </c>
      <c r="AG68" s="25" t="n">
        <v>-2523</v>
      </c>
      <c r="AH68" s="25" t="n">
        <v>-863</v>
      </c>
      <c r="AI68" s="25" t="n">
        <v>-1006</v>
      </c>
      <c r="AJ68" s="25" t="n">
        <v>-1309</v>
      </c>
      <c r="AK68" s="25" t="n">
        <v>-2291</v>
      </c>
      <c r="AL68" s="25" t="n">
        <v>-2839</v>
      </c>
    </row>
    <row r="69" customFormat="false" ht="15" hidden="false" customHeight="true" outlineLevel="0" collapsed="false">
      <c r="A69" s="26" t="s">
        <v>443</v>
      </c>
      <c r="AG69" s="25"/>
      <c r="AH69" s="25"/>
      <c r="AI69" s="25"/>
      <c r="AJ69" s="25"/>
      <c r="AK69" s="25"/>
    </row>
    <row r="70" customFormat="false" ht="15" hidden="false" customHeight="true" outlineLevel="0" collapsed="false">
      <c r="A70" s="23" t="s">
        <v>444</v>
      </c>
      <c r="B70" s="25" t="n">
        <v>246.3</v>
      </c>
      <c r="C70" s="25" t="n">
        <v>417.2</v>
      </c>
      <c r="D70" s="25" t="n">
        <v>791.5</v>
      </c>
      <c r="E70" s="25" t="n">
        <v>1013</v>
      </c>
      <c r="F70" s="25" t="n">
        <v>1477</v>
      </c>
      <c r="G70" s="25" t="n">
        <v>1962</v>
      </c>
      <c r="H70" s="25" t="n">
        <v>2601</v>
      </c>
      <c r="I70" s="25" t="n">
        <v>3706</v>
      </c>
      <c r="J70" s="25" t="n">
        <v>3839</v>
      </c>
      <c r="K70" s="25" t="n">
        <v>4975</v>
      </c>
      <c r="L70" s="25" t="n">
        <v>4846</v>
      </c>
      <c r="M70" s="25" t="n">
        <v>3922</v>
      </c>
      <c r="N70" s="25" t="n">
        <v>3016</v>
      </c>
      <c r="O70" s="25" t="n">
        <v>6438</v>
      </c>
      <c r="P70" s="25" t="n">
        <v>15982</v>
      </c>
      <c r="Q70" s="25" t="n">
        <v>4851</v>
      </c>
      <c r="R70" s="25" t="n">
        <v>6714</v>
      </c>
      <c r="S70" s="25" t="n">
        <v>6111</v>
      </c>
      <c r="T70" s="25" t="n">
        <v>10339</v>
      </c>
      <c r="U70" s="25" t="n">
        <v>6076</v>
      </c>
      <c r="V70" s="25" t="n">
        <v>5505</v>
      </c>
      <c r="W70" s="25" t="n">
        <v>9610</v>
      </c>
      <c r="X70" s="25" t="n">
        <v>6938</v>
      </c>
      <c r="Y70" s="25" t="n">
        <v>3804</v>
      </c>
      <c r="Z70" s="25" t="n">
        <v>8669</v>
      </c>
      <c r="AA70" s="25" t="n">
        <v>5595</v>
      </c>
      <c r="AB70" s="25" t="n">
        <v>6510</v>
      </c>
      <c r="AC70" s="25" t="n">
        <v>7663</v>
      </c>
      <c r="AD70" s="25" t="n">
        <v>11946</v>
      </c>
      <c r="AE70" s="25" t="n">
        <v>11356</v>
      </c>
      <c r="AF70" s="25" t="n">
        <v>13576</v>
      </c>
      <c r="AG70" s="25" t="n">
        <v>14224</v>
      </c>
      <c r="AH70" s="25" t="n">
        <v>13931</v>
      </c>
      <c r="AI70" s="25" t="n">
        <v>34704</v>
      </c>
      <c r="AJ70" s="25" t="n">
        <v>18315</v>
      </c>
      <c r="AK70" s="25" t="n">
        <v>30242</v>
      </c>
      <c r="AL70" s="25" t="n">
        <v>20935</v>
      </c>
    </row>
    <row r="71" customFormat="false" ht="15" hidden="false" customHeight="true" outlineLevel="0" collapsed="false">
      <c r="A71" s="26" t="s">
        <v>445</v>
      </c>
      <c r="B71" s="25" t="n">
        <v>53.9</v>
      </c>
      <c r="C71" s="25" t="n">
        <v>170.9</v>
      </c>
      <c r="D71" s="25" t="n">
        <v>374.3</v>
      </c>
      <c r="E71" s="25" t="n">
        <v>222</v>
      </c>
      <c r="F71" s="25" t="n">
        <v>464</v>
      </c>
      <c r="G71" s="25" t="n">
        <v>485</v>
      </c>
      <c r="H71" s="25" t="n">
        <v>639</v>
      </c>
      <c r="I71" s="25" t="n">
        <v>1105</v>
      </c>
      <c r="J71" s="25" t="n">
        <v>133</v>
      </c>
      <c r="K71" s="25" t="n">
        <v>1136</v>
      </c>
      <c r="L71" s="25" t="n">
        <v>-129</v>
      </c>
      <c r="M71" s="25" t="n">
        <v>-924</v>
      </c>
      <c r="N71" s="25" t="n">
        <v>-906</v>
      </c>
      <c r="O71" s="25" t="n">
        <v>3422</v>
      </c>
      <c r="P71" s="25" t="n">
        <v>9544</v>
      </c>
      <c r="Q71" s="25" t="n">
        <v>-9453</v>
      </c>
      <c r="R71" s="25" t="n">
        <v>1863</v>
      </c>
      <c r="S71" s="25" t="n">
        <v>-603</v>
      </c>
      <c r="T71" s="25" t="n">
        <v>4228</v>
      </c>
      <c r="U71" s="25" t="n">
        <v>-4263</v>
      </c>
      <c r="V71" s="25" t="n">
        <v>-571</v>
      </c>
      <c r="W71" s="25" t="n">
        <v>4105</v>
      </c>
      <c r="X71" s="25" t="n">
        <v>-2672</v>
      </c>
      <c r="Y71" s="25" t="n">
        <v>-3134</v>
      </c>
      <c r="Z71" s="25" t="n">
        <v>4865</v>
      </c>
      <c r="AA71" s="25" t="n">
        <v>-3074</v>
      </c>
      <c r="AB71" s="25" t="n">
        <v>915</v>
      </c>
      <c r="AC71" s="25" t="n">
        <v>1153</v>
      </c>
      <c r="AD71" s="25" t="n">
        <v>4283</v>
      </c>
      <c r="AE71" s="25" t="n">
        <v>-590</v>
      </c>
      <c r="AF71" s="25" t="n">
        <v>2220</v>
      </c>
      <c r="AG71" s="25" t="n">
        <v>648</v>
      </c>
      <c r="AH71" s="25" t="n">
        <v>-293</v>
      </c>
      <c r="AI71" s="25" t="n">
        <v>20773</v>
      </c>
      <c r="AJ71" s="25" t="n">
        <v>-16389</v>
      </c>
      <c r="AK71" s="25" t="n">
        <v>11927</v>
      </c>
      <c r="AL71" s="25" t="n">
        <v>-9307</v>
      </c>
    </row>
    <row r="72" customFormat="false" ht="15" hidden="false" customHeight="true" outlineLevel="0" collapsed="false">
      <c r="A72" s="26" t="s">
        <v>446</v>
      </c>
      <c r="B72" s="25" t="n">
        <v>192.4</v>
      </c>
      <c r="C72" s="25" t="n">
        <v>246.3</v>
      </c>
      <c r="D72" s="25" t="n">
        <v>417.2</v>
      </c>
      <c r="E72" s="25" t="n">
        <v>791</v>
      </c>
      <c r="F72" s="25" t="n">
        <v>1013</v>
      </c>
      <c r="G72" s="25" t="n">
        <v>1477</v>
      </c>
      <c r="H72" s="25" t="n">
        <v>1962</v>
      </c>
      <c r="I72" s="25" t="n">
        <v>2601</v>
      </c>
      <c r="J72" s="25" t="n">
        <v>3706</v>
      </c>
      <c r="K72" s="25" t="n">
        <v>3839</v>
      </c>
      <c r="L72" s="25" t="n">
        <v>4975</v>
      </c>
      <c r="M72" s="25" t="n">
        <v>4846</v>
      </c>
      <c r="N72" s="25" t="n">
        <v>3922</v>
      </c>
      <c r="O72" s="25" t="n">
        <v>3016</v>
      </c>
      <c r="P72" s="25" t="n">
        <v>6438</v>
      </c>
      <c r="Q72" s="25" t="n">
        <v>14304</v>
      </c>
      <c r="R72" s="25" t="n">
        <v>4851</v>
      </c>
      <c r="S72" s="25" t="n">
        <v>6714</v>
      </c>
      <c r="T72" s="25" t="n">
        <v>6111</v>
      </c>
      <c r="U72" s="25" t="n">
        <v>10339</v>
      </c>
      <c r="V72" s="25" t="n">
        <v>6076</v>
      </c>
      <c r="W72" s="25" t="n">
        <v>5505</v>
      </c>
      <c r="X72" s="25" t="n">
        <v>9610</v>
      </c>
      <c r="Y72" s="25" t="n">
        <v>6938</v>
      </c>
      <c r="Z72" s="25" t="n">
        <v>3804</v>
      </c>
      <c r="AA72" s="25" t="n">
        <v>8669</v>
      </c>
      <c r="AB72" s="25" t="n">
        <v>5595</v>
      </c>
      <c r="AC72" s="25" t="n">
        <v>6510</v>
      </c>
      <c r="AD72" s="25" t="n">
        <v>7663</v>
      </c>
      <c r="AE72" s="25" t="n">
        <v>11946</v>
      </c>
      <c r="AF72" s="25" t="n">
        <v>11356</v>
      </c>
      <c r="AG72" s="25" t="n">
        <v>13576</v>
      </c>
      <c r="AH72" s="25" t="n">
        <v>14224</v>
      </c>
      <c r="AI72" s="25" t="n">
        <v>13931</v>
      </c>
      <c r="AJ72" s="25" t="n">
        <v>34704</v>
      </c>
      <c r="AK72" s="25" t="n">
        <v>18315</v>
      </c>
      <c r="AL72" s="25" t="n">
        <v>30242</v>
      </c>
    </row>
    <row r="73" customFormat="false" ht="15" hidden="false" customHeight="true" outlineLevel="0" collapsed="false">
      <c r="A73" s="26" t="s">
        <v>447</v>
      </c>
      <c r="B73" s="25"/>
      <c r="C73" s="25"/>
      <c r="D73" s="25"/>
      <c r="E73" s="25"/>
      <c r="F73" s="25"/>
      <c r="G73" s="25"/>
      <c r="H73" s="25"/>
      <c r="O73" s="25"/>
      <c r="P73" s="25"/>
      <c r="Q73" s="25"/>
      <c r="R73" s="25"/>
      <c r="S73" s="25"/>
      <c r="T73" s="25"/>
    </row>
    <row r="74" customFormat="false" ht="15" hidden="false" customHeight="true" outlineLevel="0" collapsed="false">
      <c r="A74" s="23" t="s">
        <v>448</v>
      </c>
      <c r="W74" s="25"/>
      <c r="X74" s="25"/>
      <c r="Y74" s="25"/>
      <c r="Z74" s="25"/>
      <c r="AA74" s="25"/>
      <c r="AB74" s="25"/>
      <c r="AC74" s="25"/>
      <c r="AD74" s="25"/>
      <c r="AF74" s="25"/>
      <c r="AG74" s="25"/>
      <c r="AH74" s="25"/>
      <c r="AI74" s="25"/>
      <c r="AJ74" s="25"/>
      <c r="AK74" s="25"/>
    </row>
    <row r="75" customFormat="false" ht="15" hidden="false" customHeight="true" outlineLevel="0" collapsed="false">
      <c r="A75" s="23" t="s">
        <v>449</v>
      </c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customFormat="false" ht="15" hidden="false" customHeight="true" outlineLevel="0" collapsed="false">
      <c r="A76" s="23" t="s">
        <v>450</v>
      </c>
      <c r="B76" s="25" t="n">
        <v>-158.1</v>
      </c>
      <c r="C76" s="25" t="n">
        <v>-264.4</v>
      </c>
      <c r="D76" s="25" t="n">
        <v>-316.6</v>
      </c>
      <c r="E76" s="25" t="n">
        <v>-236</v>
      </c>
      <c r="F76" s="25" t="n">
        <v>-278</v>
      </c>
      <c r="G76" s="25" t="n">
        <v>-495</v>
      </c>
      <c r="H76" s="25" t="n">
        <v>-494</v>
      </c>
      <c r="I76" s="25" t="n">
        <v>-499</v>
      </c>
      <c r="J76" s="25" t="n">
        <v>-656</v>
      </c>
      <c r="K76" s="25" t="n">
        <v>-583</v>
      </c>
      <c r="L76" s="25" t="n">
        <v>-879</v>
      </c>
      <c r="M76" s="25" t="n">
        <v>-1103</v>
      </c>
      <c r="N76" s="25" t="n">
        <v>-770</v>
      </c>
      <c r="O76" s="25" t="n">
        <v>-891</v>
      </c>
      <c r="P76" s="25" t="n">
        <v>-1109</v>
      </c>
      <c r="Q76" s="25" t="n">
        <v>-812</v>
      </c>
      <c r="R76" s="25" t="n">
        <v>-1578</v>
      </c>
      <c r="S76" s="25" t="n">
        <v>-2264</v>
      </c>
      <c r="T76" s="25" t="n">
        <v>-3182</v>
      </c>
      <c r="U76" s="25" t="n">
        <v>-3119</v>
      </c>
      <c r="V76" s="25" t="n">
        <v>-1977</v>
      </c>
      <c r="W76" s="25" t="n">
        <v>-2355</v>
      </c>
      <c r="X76" s="25" t="n">
        <v>-2305</v>
      </c>
      <c r="Y76" s="25" t="n">
        <v>-4257</v>
      </c>
      <c r="Z76" s="25" t="n">
        <v>-5485</v>
      </c>
      <c r="AA76" s="25" t="n">
        <v>-5944</v>
      </c>
      <c r="AB76" s="25" t="n">
        <v>-8343</v>
      </c>
      <c r="AC76" s="25" t="n">
        <v>-8129</v>
      </c>
      <c r="AD76" s="25" t="n">
        <v>-11632</v>
      </c>
      <c r="AE76" s="25" t="n">
        <v>-13925</v>
      </c>
      <c r="AF76" s="25" t="n">
        <v>-15441</v>
      </c>
      <c r="AG76" s="25" t="n">
        <v>-20622</v>
      </c>
      <c r="AH76" s="25" t="n">
        <v>-23886</v>
      </c>
      <c r="AI76" s="25" t="n">
        <v>-28107</v>
      </c>
      <c r="AJ76" s="25" t="n">
        <v>-44477</v>
      </c>
      <c r="AK76" s="25" t="n">
        <v>-64551</v>
      </c>
      <c r="AL76" s="25" t="n">
        <v>-115948</v>
      </c>
    </row>
    <row r="77" customFormat="false" ht="15" hidden="false" customHeight="true" outlineLevel="0" collapsed="false">
      <c r="A77" s="23" t="s">
        <v>451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 t="n">
        <v>1142</v>
      </c>
      <c r="AF77" s="25" t="n">
        <v>1343</v>
      </c>
      <c r="AG77" s="25" t="n">
        <v>1693</v>
      </c>
      <c r="AH77" s="25" t="n">
        <v>1841</v>
      </c>
      <c r="AI77" s="25" t="n">
        <v>1866</v>
      </c>
      <c r="AJ77" s="25" t="n">
        <v>2002</v>
      </c>
      <c r="AK77" s="25" t="n">
        <v>2056</v>
      </c>
      <c r="AL77" s="25" t="n">
        <v>2009</v>
      </c>
    </row>
    <row r="78" customFormat="false" ht="15" hidden="false" customHeight="true" outlineLevel="0" collapsed="false">
      <c r="A78" s="23" t="s">
        <v>452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 t="n">
        <v>-991</v>
      </c>
      <c r="W78" s="25" t="n">
        <v>-186</v>
      </c>
      <c r="X78" s="25"/>
      <c r="Y78" s="25" t="n">
        <v>3537</v>
      </c>
      <c r="Z78" s="25" t="n">
        <v>6962</v>
      </c>
      <c r="AA78" s="25" t="n">
        <v>13661</v>
      </c>
      <c r="AB78" s="25" t="n">
        <v>18283</v>
      </c>
      <c r="AC78" s="25" t="n">
        <v>31459</v>
      </c>
      <c r="AD78" s="25" t="n">
        <v>-10201</v>
      </c>
      <c r="AE78" s="25" t="n">
        <v>-4000</v>
      </c>
      <c r="AF78" s="25" t="n">
        <v>-8935</v>
      </c>
      <c r="AG78" s="25" t="n">
        <v>-3750</v>
      </c>
      <c r="AH78" s="25" t="n">
        <v>-9023</v>
      </c>
      <c r="AI78" s="25" t="n">
        <v>-2750</v>
      </c>
      <c r="AJ78" s="25" t="n">
        <v>-4675</v>
      </c>
      <c r="AK78" s="25" t="n">
        <v>-3216</v>
      </c>
      <c r="AL78" s="25" t="n">
        <v>-3000</v>
      </c>
    </row>
    <row r="79" customFormat="false" ht="15" hidden="false" customHeight="true" outlineLevel="0" collapsed="false">
      <c r="A79" s="23" t="s">
        <v>453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customFormat="false" ht="15" hidden="false" customHeight="true" outlineLevel="0" collapsed="false">
      <c r="A80" s="23" t="s">
        <v>454</v>
      </c>
      <c r="B80" s="25" t="n">
        <v>-46.7</v>
      </c>
      <c r="C80" s="25" t="n">
        <v>-197</v>
      </c>
      <c r="D80" s="25" t="n">
        <v>-135</v>
      </c>
      <c r="E80" s="25" t="n">
        <v>-250</v>
      </c>
      <c r="F80" s="25" t="n">
        <v>-348</v>
      </c>
      <c r="G80" s="25" t="n">
        <v>-649</v>
      </c>
      <c r="H80" s="25" t="n">
        <v>-1261</v>
      </c>
      <c r="I80" s="25" t="n">
        <v>-3101</v>
      </c>
      <c r="J80" s="25" t="n">
        <v>-2468</v>
      </c>
      <c r="K80" s="25" t="n">
        <v>-2950</v>
      </c>
      <c r="L80" s="25" t="n">
        <v>-4896</v>
      </c>
      <c r="M80" s="25" t="n">
        <v>-7441</v>
      </c>
      <c r="N80" s="25" t="n">
        <v>-6069</v>
      </c>
      <c r="O80" s="25" t="n">
        <v>-6486</v>
      </c>
      <c r="P80" s="25" t="n">
        <v>-3383</v>
      </c>
      <c r="Q80" s="25" t="n">
        <v>-8057</v>
      </c>
      <c r="R80" s="25" t="n">
        <v>-19207</v>
      </c>
      <c r="S80" s="25" t="n">
        <v>-27575</v>
      </c>
      <c r="T80" s="25" t="n">
        <v>-12533</v>
      </c>
      <c r="U80" s="25" t="n">
        <v>-9353</v>
      </c>
      <c r="V80" s="25" t="n">
        <v>-11269</v>
      </c>
      <c r="W80" s="25" t="n">
        <v>-11555</v>
      </c>
      <c r="X80" s="25" t="n">
        <v>-5029</v>
      </c>
      <c r="Y80" s="25" t="n">
        <v>-5360</v>
      </c>
      <c r="Z80" s="25" t="n">
        <v>-7316</v>
      </c>
      <c r="AA80" s="25" t="n">
        <v>-14443</v>
      </c>
      <c r="AB80" s="25" t="n">
        <v>-15969</v>
      </c>
      <c r="AC80" s="25" t="n">
        <v>-11788</v>
      </c>
      <c r="AD80" s="25" t="n">
        <v>-10721</v>
      </c>
      <c r="AE80" s="25" t="n">
        <v>-19543</v>
      </c>
      <c r="AF80" s="25" t="n">
        <v>-22968</v>
      </c>
      <c r="AG80" s="25" t="n">
        <v>-27385</v>
      </c>
      <c r="AH80" s="25" t="n">
        <v>-32696</v>
      </c>
      <c r="AI80" s="25" t="n">
        <v>-22245</v>
      </c>
      <c r="AJ80" s="25" t="n">
        <v>-17254</v>
      </c>
      <c r="AK80" s="25" t="n">
        <v>-18420</v>
      </c>
      <c r="AL80" s="25" t="n">
        <v>-22271</v>
      </c>
    </row>
    <row r="81" customFormat="false" ht="15" hidden="false" customHeight="true" outlineLevel="0" collapsed="false">
      <c r="A81" s="23" t="s">
        <v>455</v>
      </c>
      <c r="B81" s="25" t="n">
        <v>120.2</v>
      </c>
      <c r="C81" s="25" t="n">
        <v>293.5</v>
      </c>
      <c r="D81" s="25" t="n">
        <v>590.4</v>
      </c>
      <c r="E81" s="25" t="n">
        <v>838</v>
      </c>
      <c r="F81" s="25" t="n">
        <v>1315</v>
      </c>
      <c r="G81" s="25" t="n">
        <v>1495</v>
      </c>
      <c r="H81" s="25" t="n">
        <v>3225</v>
      </c>
      <c r="I81" s="25" t="n">
        <v>4190</v>
      </c>
      <c r="J81" s="25" t="n">
        <v>7587</v>
      </c>
      <c r="K81" s="25" t="n">
        <v>12554</v>
      </c>
      <c r="L81" s="25" t="n">
        <v>10547</v>
      </c>
      <c r="M81" s="25" t="n">
        <v>12319</v>
      </c>
      <c r="N81" s="25" t="n">
        <v>13739</v>
      </c>
      <c r="O81" s="25" t="n">
        <v>14906</v>
      </c>
      <c r="P81" s="25" t="n">
        <v>13517</v>
      </c>
      <c r="Q81" s="25" t="n">
        <v>15793</v>
      </c>
      <c r="R81" s="25" t="n">
        <v>12826</v>
      </c>
      <c r="S81" s="25" t="n">
        <v>15532</v>
      </c>
      <c r="T81" s="25" t="n">
        <v>18430</v>
      </c>
      <c r="U81" s="25" t="n">
        <v>15918</v>
      </c>
      <c r="V81" s="25" t="n">
        <v>22096</v>
      </c>
      <c r="W81" s="25" t="n">
        <v>24639</v>
      </c>
      <c r="X81" s="25" t="n">
        <v>29321</v>
      </c>
      <c r="Y81" s="25" t="n">
        <v>24576</v>
      </c>
      <c r="Z81" s="25" t="n">
        <v>27017</v>
      </c>
      <c r="AA81" s="25" t="n">
        <v>23724</v>
      </c>
      <c r="AB81" s="25" t="n">
        <v>24982</v>
      </c>
      <c r="AC81" s="25" t="n">
        <v>31378</v>
      </c>
      <c r="AD81" s="25" t="n">
        <v>32252</v>
      </c>
      <c r="AE81" s="25" t="n">
        <v>38260</v>
      </c>
      <c r="AF81" s="25" t="n">
        <v>45234</v>
      </c>
      <c r="AG81" s="25" t="n">
        <v>56118</v>
      </c>
      <c r="AH81" s="25" t="n">
        <v>65149</v>
      </c>
      <c r="AI81" s="25" t="n">
        <v>59475</v>
      </c>
      <c r="AJ81" s="25" t="n">
        <v>74071</v>
      </c>
      <c r="AK81" s="25" t="n">
        <v>71611</v>
      </c>
      <c r="AL81" s="25" t="n">
        <v>66987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2" min="2" style="1" width="8"/>
  </cols>
  <sheetData>
    <row r="1" customFormat="false" ht="15" hidden="false" customHeight="true" outlineLevel="0" collapsed="false">
      <c r="A1" s="2" t="s">
        <v>456</v>
      </c>
    </row>
    <row r="2" customFormat="false" ht="15" hidden="false" customHeight="true" outlineLevel="0" collapsed="false">
      <c r="A2" s="3" t="s">
        <v>457</v>
      </c>
    </row>
    <row r="4" customFormat="false" ht="15" hidden="false" customHeight="true" outlineLevel="0" collapsed="false">
      <c r="A4" s="4" t="s">
        <v>458</v>
      </c>
      <c r="AR4" s="7" t="s">
        <v>459</v>
      </c>
    </row>
    <row r="5" customFormat="false" ht="15" hidden="false" customHeight="true" outlineLevel="0" collapsed="false">
      <c r="A5" s="26" t="s">
        <v>460</v>
      </c>
      <c r="B5" s="31" t="n">
        <v>335.123</v>
      </c>
      <c r="D5" s="7" t="s">
        <v>461</v>
      </c>
    </row>
    <row r="7" customFormat="false" ht="15" hidden="false" customHeight="true" outlineLevel="0" collapsed="false">
      <c r="A7" s="23" t="s">
        <v>462</v>
      </c>
      <c r="B7" s="24" t="s">
        <v>463</v>
      </c>
      <c r="C7" s="24" t="s">
        <v>176</v>
      </c>
      <c r="D7" s="24" t="s">
        <v>177</v>
      </c>
      <c r="E7" s="24" t="s">
        <v>178</v>
      </c>
      <c r="F7" s="24" t="s">
        <v>179</v>
      </c>
      <c r="G7" s="24" t="s">
        <v>180</v>
      </c>
      <c r="H7" s="24" t="s">
        <v>181</v>
      </c>
      <c r="I7" s="24" t="s">
        <v>182</v>
      </c>
      <c r="J7" s="24" t="s">
        <v>183</v>
      </c>
      <c r="K7" s="24" t="s">
        <v>184</v>
      </c>
      <c r="L7" s="24" t="s">
        <v>185</v>
      </c>
      <c r="M7" s="24" t="s">
        <v>186</v>
      </c>
      <c r="N7" s="24" t="s">
        <v>187</v>
      </c>
      <c r="O7" s="24" t="s">
        <v>188</v>
      </c>
      <c r="P7" s="24" t="s">
        <v>189</v>
      </c>
      <c r="Q7" s="24" t="s">
        <v>190</v>
      </c>
      <c r="R7" s="24" t="s">
        <v>191</v>
      </c>
      <c r="S7" s="24" t="s">
        <v>192</v>
      </c>
      <c r="T7" s="24" t="s">
        <v>193</v>
      </c>
      <c r="U7" s="24" t="s">
        <v>194</v>
      </c>
      <c r="V7" s="24" t="s">
        <v>195</v>
      </c>
      <c r="W7" s="24" t="s">
        <v>196</v>
      </c>
      <c r="X7" s="24" t="s">
        <v>197</v>
      </c>
      <c r="Y7" s="24" t="s">
        <v>198</v>
      </c>
      <c r="Z7" s="24" t="s">
        <v>199</v>
      </c>
      <c r="AA7" s="24" t="s">
        <v>200</v>
      </c>
      <c r="AB7" s="24" t="s">
        <v>201</v>
      </c>
      <c r="AC7" s="24" t="s">
        <v>202</v>
      </c>
      <c r="AD7" s="24" t="s">
        <v>203</v>
      </c>
      <c r="AE7" s="24" t="s">
        <v>204</v>
      </c>
      <c r="AF7" s="24" t="s">
        <v>205</v>
      </c>
      <c r="AG7" s="24" t="s">
        <v>206</v>
      </c>
      <c r="AH7" s="24" t="s">
        <v>207</v>
      </c>
      <c r="AI7" s="24" t="s">
        <v>208</v>
      </c>
      <c r="AJ7" s="24" t="s">
        <v>209</v>
      </c>
      <c r="AK7" s="24" t="s">
        <v>210</v>
      </c>
      <c r="AL7" s="24" t="s">
        <v>211</v>
      </c>
      <c r="AM7" s="24" t="s">
        <v>212</v>
      </c>
      <c r="AN7" s="24" t="s">
        <v>213</v>
      </c>
      <c r="AO7" s="24" t="s">
        <v>214</v>
      </c>
      <c r="AP7" s="24" t="s">
        <v>215</v>
      </c>
      <c r="AQ7" s="1" t="s">
        <v>216</v>
      </c>
    </row>
    <row r="8" customFormat="false" ht="15" hidden="false" customHeight="true" outlineLevel="0" collapsed="false">
      <c r="A8" s="26" t="s">
        <v>464</v>
      </c>
      <c r="B8" s="31" t="n">
        <v>107.6</v>
      </c>
      <c r="C8" s="31" t="n">
        <v>109.6</v>
      </c>
      <c r="D8" s="31" t="n">
        <v>113.6</v>
      </c>
      <c r="E8" s="31" t="n">
        <v>118.3</v>
      </c>
      <c r="F8" s="31" t="n">
        <v>124</v>
      </c>
      <c r="G8" s="31" t="n">
        <v>130.7</v>
      </c>
      <c r="H8" s="31" t="n">
        <v>136.2</v>
      </c>
      <c r="I8" s="31" t="n">
        <v>140.3</v>
      </c>
      <c r="J8" s="31" t="n">
        <v>144.5</v>
      </c>
      <c r="K8" s="31" t="n">
        <v>148.2</v>
      </c>
      <c r="L8" s="31" t="n">
        <v>152.4</v>
      </c>
      <c r="M8" s="31" t="n">
        <v>156.9</v>
      </c>
      <c r="N8" s="31" t="n">
        <v>160.5</v>
      </c>
      <c r="O8" s="31" t="n">
        <v>163</v>
      </c>
      <c r="P8" s="31" t="n">
        <v>166.6</v>
      </c>
      <c r="Q8" s="31" t="n">
        <v>172.2</v>
      </c>
      <c r="R8" s="31" t="n">
        <v>177.1</v>
      </c>
      <c r="S8" s="31" t="n">
        <v>179.9</v>
      </c>
      <c r="T8" s="31" t="n">
        <v>184</v>
      </c>
      <c r="U8" s="31" t="n">
        <v>188.9</v>
      </c>
      <c r="V8" s="31" t="n">
        <v>195.3</v>
      </c>
      <c r="W8" s="31" t="n">
        <v>201.6</v>
      </c>
      <c r="X8" s="31" t="n">
        <v>207.342</v>
      </c>
      <c r="Y8" s="31" t="n">
        <v>215.303</v>
      </c>
      <c r="Z8" s="31" t="n">
        <v>214.537</v>
      </c>
      <c r="AA8" s="31" t="n">
        <v>218.056</v>
      </c>
      <c r="AB8" s="31" t="n">
        <v>224.939</v>
      </c>
      <c r="AC8" s="31" t="n">
        <v>229.594</v>
      </c>
      <c r="AD8" s="31" t="n">
        <v>232.957</v>
      </c>
      <c r="AE8" s="31" t="n">
        <v>236.736</v>
      </c>
      <c r="AF8" s="31" t="n">
        <v>237.017</v>
      </c>
      <c r="AG8" s="31" t="n">
        <v>240.007</v>
      </c>
      <c r="AH8" s="31" t="n">
        <v>245.12</v>
      </c>
      <c r="AI8" s="31" t="n">
        <v>251.107</v>
      </c>
      <c r="AJ8" s="31" t="n">
        <v>255.657</v>
      </c>
      <c r="AK8" s="31" t="n">
        <v>258.811</v>
      </c>
      <c r="AL8" s="31" t="n">
        <v>270.97</v>
      </c>
      <c r="AM8" s="31" t="n">
        <v>292.655</v>
      </c>
      <c r="AN8" s="31" t="n">
        <v>304.702</v>
      </c>
      <c r="AO8" s="31" t="n">
        <v>313.689</v>
      </c>
      <c r="AP8" s="31" t="n">
        <v>321.943</v>
      </c>
      <c r="AQ8" s="1" t="n">
        <v>331.180429</v>
      </c>
    </row>
    <row r="9" customFormat="false" ht="15" hidden="false" customHeight="true" outlineLevel="0" collapsed="false">
      <c r="A9" s="26" t="s">
        <v>465</v>
      </c>
      <c r="B9" s="32" t="n">
        <f aca="false">md_cpi_base/B8</f>
        <v>3.11452602230483</v>
      </c>
      <c r="C9" s="32" t="n">
        <f aca="false">md_cpi_base/C8</f>
        <v>3.05769160583942</v>
      </c>
      <c r="D9" s="32" t="n">
        <f aca="false">md_cpi_base/D8</f>
        <v>2.9500264084507</v>
      </c>
      <c r="E9" s="32" t="n">
        <f aca="false">md_cpi_base/E8</f>
        <v>2.83282333051564</v>
      </c>
      <c r="F9" s="32" t="n">
        <f aca="false">md_cpi_base/F8</f>
        <v>2.70260483870968</v>
      </c>
      <c r="G9" s="32" t="n">
        <f aca="false">md_cpi_base/G8</f>
        <v>2.56406273909717</v>
      </c>
      <c r="H9" s="32" t="n">
        <f aca="false">md_cpi_base/H8</f>
        <v>2.46052129221733</v>
      </c>
      <c r="I9" s="32" t="n">
        <f aca="false">md_cpi_base/I8</f>
        <v>2.38861724875267</v>
      </c>
      <c r="J9" s="32" t="n">
        <f aca="false">md_cpi_base/J8</f>
        <v>2.31919031141869</v>
      </c>
      <c r="K9" s="32" t="n">
        <f aca="false">md_cpi_base/K8</f>
        <v>2.26128879892038</v>
      </c>
      <c r="L9" s="32" t="n">
        <f aca="false">md_cpi_base/L8</f>
        <v>2.19896981627297</v>
      </c>
      <c r="M9" s="32" t="n">
        <f aca="false">md_cpi_base/M8</f>
        <v>2.13590184831103</v>
      </c>
      <c r="N9" s="32" t="n">
        <f aca="false">md_cpi_base/N8</f>
        <v>2.0879937694704</v>
      </c>
      <c r="O9" s="32" t="n">
        <f aca="false">md_cpi_base/O8</f>
        <v>2.05596932515337</v>
      </c>
      <c r="P9" s="32" t="n">
        <f aca="false">md_cpi_base/P8</f>
        <v>2.01154261704682</v>
      </c>
      <c r="Q9" s="32" t="n">
        <f aca="false">md_cpi_base/Q8</f>
        <v>1.94612659698026</v>
      </c>
      <c r="R9" s="32" t="n">
        <f aca="false">md_cpi_base/R8</f>
        <v>1.89228119706381</v>
      </c>
      <c r="S9" s="32" t="n">
        <f aca="false">md_cpi_base/S8</f>
        <v>1.86282934963869</v>
      </c>
      <c r="T9" s="32" t="n">
        <f aca="false">md_cpi_base/T8</f>
        <v>1.82132065217391</v>
      </c>
      <c r="U9" s="32" t="n">
        <f aca="false">md_cpi_base/U8</f>
        <v>1.77407623080995</v>
      </c>
      <c r="V9" s="32" t="n">
        <f aca="false">md_cpi_base/V8</f>
        <v>1.71593958013313</v>
      </c>
      <c r="W9" s="32" t="n">
        <f aca="false">md_cpi_base/W8</f>
        <v>1.66231646825397</v>
      </c>
      <c r="X9" s="32" t="n">
        <f aca="false">md_cpi_base/X8</f>
        <v>1.61628131299978</v>
      </c>
      <c r="Y9" s="32" t="n">
        <f aca="false">md_cpi_base/Y8</f>
        <v>1.55651802343674</v>
      </c>
      <c r="Z9" s="32" t="n">
        <f aca="false">md_cpi_base/Z8</f>
        <v>1.56207553941744</v>
      </c>
      <c r="AA9" s="32" t="n">
        <f aca="false">md_cpi_base/AA8</f>
        <v>1.53686667645009</v>
      </c>
      <c r="AB9" s="32" t="n">
        <f aca="false">md_cpi_base/AB8</f>
        <v>1.48983946758899</v>
      </c>
      <c r="AC9" s="32" t="n">
        <f aca="false">md_cpi_base/AC8</f>
        <v>1.45963309145709</v>
      </c>
      <c r="AD9" s="32" t="n">
        <f aca="false">md_cpi_base/AD8</f>
        <v>1.43856162296046</v>
      </c>
      <c r="AE9" s="32" t="n">
        <f aca="false">md_cpi_base/AE8</f>
        <v>1.4155979656664</v>
      </c>
      <c r="AF9" s="32" t="n">
        <f aca="false">md_cpi_base/AF8</f>
        <v>1.41391967664767</v>
      </c>
      <c r="AG9" s="32" t="n">
        <f aca="false">md_cpi_base/AG8</f>
        <v>1.39630510776769</v>
      </c>
      <c r="AH9" s="32" t="n">
        <f aca="false">md_cpi_base/AH8</f>
        <v>1.36717934073107</v>
      </c>
      <c r="AI9" s="32" t="n">
        <f aca="false">md_cpi_base/AI8</f>
        <v>1.33458246882803</v>
      </c>
      <c r="AJ9" s="32" t="n">
        <f aca="false">md_cpi_base/AJ8</f>
        <v>1.31083052683869</v>
      </c>
      <c r="AK9" s="32" t="n">
        <f aca="false">md_cpi_base/AK8</f>
        <v>1.29485609189718</v>
      </c>
      <c r="AL9" s="32" t="n">
        <f aca="false">md_cpi_base/AL8</f>
        <v>1.23675314610473</v>
      </c>
      <c r="AM9" s="32" t="n">
        <f aca="false">md_cpi_base/AM8</f>
        <v>1.14511284618407</v>
      </c>
      <c r="AN9" s="32" t="n">
        <f aca="false">md_cpi_base/AN8</f>
        <v>1.0998385307612</v>
      </c>
      <c r="AO9" s="32" t="n">
        <f aca="false">md_cpi_base/AO8</f>
        <v>1.06832882249617</v>
      </c>
      <c r="AP9" s="32" t="n">
        <f aca="false">md_cpi_base/AP8</f>
        <v>1.04093892397101</v>
      </c>
      <c r="AQ9" s="1" t="n">
        <f aca="false">md_cpi_base/AQ8</f>
        <v>1.01190460140385</v>
      </c>
    </row>
    <row r="11" customFormat="false" ht="15" hidden="false" customHeight="true" outlineLevel="0" collapsed="false">
      <c r="A11" s="4" t="s">
        <v>466</v>
      </c>
    </row>
    <row r="12" customFormat="false" ht="15" hidden="false" customHeight="true" outlineLevel="0" collapsed="false">
      <c r="A12" s="26" t="s">
        <v>467</v>
      </c>
      <c r="B12" s="31" t="n">
        <v>118.04</v>
      </c>
      <c r="D12" s="7" t="s">
        <v>468</v>
      </c>
    </row>
    <row r="13" customFormat="false" ht="15" hidden="false" customHeight="true" outlineLevel="0" collapsed="false">
      <c r="A13" s="23" t="s">
        <v>462</v>
      </c>
      <c r="B13" s="24" t="s">
        <v>463</v>
      </c>
      <c r="C13" s="24" t="s">
        <v>176</v>
      </c>
      <c r="D13" s="24" t="s">
        <v>177</v>
      </c>
      <c r="E13" s="24" t="s">
        <v>178</v>
      </c>
      <c r="F13" s="24" t="s">
        <v>179</v>
      </c>
      <c r="G13" s="24" t="s">
        <v>180</v>
      </c>
      <c r="H13" s="24" t="s">
        <v>181</v>
      </c>
      <c r="I13" s="24" t="s">
        <v>182</v>
      </c>
      <c r="J13" s="24" t="s">
        <v>183</v>
      </c>
      <c r="K13" s="24" t="s">
        <v>184</v>
      </c>
      <c r="L13" s="24" t="s">
        <v>185</v>
      </c>
      <c r="M13" s="24" t="s">
        <v>186</v>
      </c>
      <c r="N13" s="24" t="s">
        <v>187</v>
      </c>
      <c r="O13" s="24" t="s">
        <v>188</v>
      </c>
      <c r="P13" s="24" t="s">
        <v>189</v>
      </c>
      <c r="Q13" s="24" t="s">
        <v>190</v>
      </c>
      <c r="R13" s="24" t="s">
        <v>191</v>
      </c>
      <c r="S13" s="24" t="s">
        <v>192</v>
      </c>
      <c r="T13" s="24" t="s">
        <v>193</v>
      </c>
      <c r="U13" s="24" t="s">
        <v>194</v>
      </c>
      <c r="V13" s="24" t="s">
        <v>195</v>
      </c>
      <c r="W13" s="24" t="s">
        <v>196</v>
      </c>
      <c r="X13" s="24" t="s">
        <v>197</v>
      </c>
      <c r="Y13" s="24" t="s">
        <v>198</v>
      </c>
      <c r="Z13" s="24" t="s">
        <v>199</v>
      </c>
      <c r="AA13" s="24" t="s">
        <v>200</v>
      </c>
      <c r="AB13" s="24" t="s">
        <v>201</v>
      </c>
      <c r="AC13" s="24" t="s">
        <v>202</v>
      </c>
      <c r="AD13" s="24" t="s">
        <v>203</v>
      </c>
      <c r="AE13" s="24" t="s">
        <v>204</v>
      </c>
      <c r="AF13" s="24" t="s">
        <v>205</v>
      </c>
      <c r="AG13" s="24" t="s">
        <v>206</v>
      </c>
      <c r="AH13" s="24" t="s">
        <v>207</v>
      </c>
      <c r="AI13" s="24" t="s">
        <v>208</v>
      </c>
      <c r="AJ13" s="24" t="s">
        <v>209</v>
      </c>
      <c r="AK13" s="24" t="s">
        <v>210</v>
      </c>
      <c r="AL13" s="24" t="s">
        <v>211</v>
      </c>
      <c r="AM13" s="24" t="s">
        <v>212</v>
      </c>
      <c r="AN13" s="24" t="s">
        <v>213</v>
      </c>
      <c r="AO13" s="24" t="s">
        <v>214</v>
      </c>
      <c r="AP13" s="24" t="s">
        <v>215</v>
      </c>
      <c r="AQ13" s="1" t="s">
        <v>216</v>
      </c>
    </row>
    <row r="14" customFormat="false" ht="15" hidden="false" customHeight="true" outlineLevel="0" collapsed="false">
      <c r="A14" s="26" t="s">
        <v>469</v>
      </c>
      <c r="B14" s="31" t="n">
        <v>83.305</v>
      </c>
      <c r="C14" s="31" t="n">
        <v>84.766</v>
      </c>
      <c r="D14" s="31" t="n">
        <v>85.733</v>
      </c>
      <c r="E14" s="31" t="n">
        <v>87.893</v>
      </c>
      <c r="F14" s="31" t="n">
        <v>89.936</v>
      </c>
      <c r="G14" s="31" t="n">
        <v>91.867</v>
      </c>
      <c r="H14" s="31" t="n">
        <v>93.606</v>
      </c>
      <c r="I14" s="31" t="n">
        <v>93.3</v>
      </c>
      <c r="J14" s="31" t="n">
        <v>93.501</v>
      </c>
      <c r="K14" s="31" t="n">
        <v>94.238</v>
      </c>
      <c r="L14" s="31" t="n">
        <v>95.177</v>
      </c>
      <c r="M14" s="31" t="n">
        <v>94.599</v>
      </c>
      <c r="N14" s="31" t="n">
        <v>94.07</v>
      </c>
      <c r="O14" s="31" t="n">
        <v>92.594</v>
      </c>
      <c r="P14" s="31" t="n">
        <v>91.666</v>
      </c>
      <c r="Q14" s="31" t="n">
        <v>92.067</v>
      </c>
      <c r="R14" s="31" t="n">
        <v>91.698</v>
      </c>
      <c r="S14" s="31" t="n">
        <v>91.219</v>
      </c>
      <c r="T14" s="31" t="n">
        <v>90.516</v>
      </c>
      <c r="U14" s="31" t="n">
        <v>91.41</v>
      </c>
      <c r="V14" s="31" t="n">
        <v>93.78</v>
      </c>
      <c r="W14" s="31" t="n">
        <v>96.066</v>
      </c>
      <c r="X14" s="31" t="n">
        <v>97.621</v>
      </c>
      <c r="Y14" s="31" t="n">
        <v>99.132</v>
      </c>
      <c r="Z14" s="31" t="n">
        <v>98.488</v>
      </c>
      <c r="AA14" s="31" t="n">
        <v>96.695</v>
      </c>
      <c r="AB14" s="31" t="n">
        <v>97.756</v>
      </c>
      <c r="AC14" s="31" t="n">
        <v>99.13</v>
      </c>
      <c r="AD14" s="31" t="n">
        <v>99.229</v>
      </c>
      <c r="AE14" s="31" t="n">
        <v>100.169</v>
      </c>
      <c r="AF14" s="31" t="n">
        <v>100.345</v>
      </c>
      <c r="AG14" s="31" t="n">
        <v>99.38</v>
      </c>
      <c r="AH14" s="31" t="n">
        <v>100</v>
      </c>
      <c r="AI14" s="31" t="n">
        <v>100.427</v>
      </c>
      <c r="AJ14" s="31" t="n">
        <v>101.406</v>
      </c>
      <c r="AK14" s="31" t="n">
        <v>101.97</v>
      </c>
      <c r="AL14" s="31" t="n">
        <v>103.147</v>
      </c>
      <c r="AM14" s="31" t="n">
        <v>109.323</v>
      </c>
      <c r="AN14" s="31" t="n">
        <v>112.793</v>
      </c>
      <c r="AO14" s="31" t="n">
        <v>114.324</v>
      </c>
      <c r="AP14" s="31" t="n">
        <v>116.039</v>
      </c>
      <c r="AQ14" s="1" t="n">
        <v>119.368477</v>
      </c>
    </row>
    <row r="15" customFormat="false" ht="15" hidden="false" customHeight="true" outlineLevel="0" collapsed="false">
      <c r="A15" s="26" t="s">
        <v>470</v>
      </c>
      <c r="B15" s="32" t="n">
        <f aca="false">md_bea_base/B14</f>
        <v>1.41696176700078</v>
      </c>
      <c r="C15" s="32" t="n">
        <f aca="false">md_bea_base/C14</f>
        <v>1.39253946157658</v>
      </c>
      <c r="D15" s="32" t="n">
        <f aca="false">md_bea_base/D14</f>
        <v>1.37683272485507</v>
      </c>
      <c r="E15" s="32" t="n">
        <f aca="false">md_bea_base/E14</f>
        <v>1.34299659813637</v>
      </c>
      <c r="F15" s="32" t="n">
        <f aca="false">md_bea_base/F14</f>
        <v>1.31248888098203</v>
      </c>
      <c r="G15" s="32" t="n">
        <f aca="false">md_bea_base/G14</f>
        <v>1.28490099818215</v>
      </c>
      <c r="H15" s="32" t="n">
        <f aca="false">md_bea_base/H14</f>
        <v>1.26103027583702</v>
      </c>
      <c r="I15" s="32" t="n">
        <f aca="false">md_bea_base/I14</f>
        <v>1.26516613076099</v>
      </c>
      <c r="J15" s="32" t="n">
        <f aca="false">md_bea_base/J14</f>
        <v>1.26244639094769</v>
      </c>
      <c r="K15" s="32" t="n">
        <f aca="false">md_bea_base/K14</f>
        <v>1.25257327192852</v>
      </c>
      <c r="L15" s="32" t="n">
        <f aca="false">md_bea_base/L14</f>
        <v>1.24021559830631</v>
      </c>
      <c r="M15" s="32" t="n">
        <f aca="false">md_bea_base/M14</f>
        <v>1.24779331705409</v>
      </c>
      <c r="N15" s="32" t="n">
        <f aca="false">md_bea_base/N14</f>
        <v>1.25481024768789</v>
      </c>
      <c r="O15" s="32" t="n">
        <f aca="false">md_bea_base/O14</f>
        <v>1.27481262284813</v>
      </c>
      <c r="P15" s="32" t="n">
        <f aca="false">md_bea_base/P14</f>
        <v>1.28771845613423</v>
      </c>
      <c r="Q15" s="32" t="n">
        <f aca="false">md_bea_base/Q14</f>
        <v>1.28210976788643</v>
      </c>
      <c r="R15" s="32" t="n">
        <f aca="false">md_bea_base/R14</f>
        <v>1.28726907893302</v>
      </c>
      <c r="S15" s="32" t="n">
        <f aca="false">md_bea_base/S14</f>
        <v>1.29402865631064</v>
      </c>
      <c r="T15" s="32" t="n">
        <f aca="false">md_bea_base/T14</f>
        <v>1.30407883689072</v>
      </c>
      <c r="U15" s="32" t="n">
        <f aca="false">md_bea_base/U14</f>
        <v>1.29132480035007</v>
      </c>
      <c r="V15" s="32" t="n">
        <f aca="false">md_bea_base/V14</f>
        <v>1.25869055235658</v>
      </c>
      <c r="W15" s="32" t="n">
        <f aca="false">md_bea_base/W14</f>
        <v>1.22873857556263</v>
      </c>
      <c r="X15" s="32" t="n">
        <f aca="false">md_bea_base/X14</f>
        <v>1.20916606058123</v>
      </c>
      <c r="Y15" s="32" t="n">
        <f aca="false">md_bea_base/Y14</f>
        <v>1.19073558487673</v>
      </c>
      <c r="Z15" s="32" t="n">
        <f aca="false">md_bea_base/Z14</f>
        <v>1.19852164730729</v>
      </c>
      <c r="AA15" s="32" t="n">
        <f aca="false">md_bea_base/AA14</f>
        <v>1.22074564351828</v>
      </c>
      <c r="AB15" s="32" t="n">
        <f aca="false">md_bea_base/AB14</f>
        <v>1.20749621506608</v>
      </c>
      <c r="AC15" s="32" t="n">
        <f aca="false">md_bea_base/AC14</f>
        <v>1.19075960859477</v>
      </c>
      <c r="AD15" s="32" t="n">
        <f aca="false">md_bea_base/AD14</f>
        <v>1.18957159701297</v>
      </c>
      <c r="AE15" s="32" t="n">
        <f aca="false">md_bea_base/AE14</f>
        <v>1.17840848965249</v>
      </c>
      <c r="AF15" s="32" t="n">
        <f aca="false">md_bea_base/AF14</f>
        <v>1.17634162140615</v>
      </c>
      <c r="AG15" s="32" t="n">
        <f aca="false">md_bea_base/AG14</f>
        <v>1.18776413765345</v>
      </c>
      <c r="AH15" s="32" t="n">
        <f aca="false">md_bea_base/AH14</f>
        <v>1.1804</v>
      </c>
      <c r="AI15" s="32" t="n">
        <f aca="false">md_bea_base/AI14</f>
        <v>1.17538112260647</v>
      </c>
      <c r="AJ15" s="32" t="n">
        <f aca="false">md_bea_base/AJ14</f>
        <v>1.16403368636964</v>
      </c>
      <c r="AK15" s="32" t="n">
        <f aca="false">md_bea_base/AK14</f>
        <v>1.1575953711876</v>
      </c>
      <c r="AL15" s="32" t="n">
        <f aca="false">md_bea_base/AL14</f>
        <v>1.14438616731461</v>
      </c>
      <c r="AM15" s="32" t="n">
        <f aca="false">md_bea_base/AM14</f>
        <v>1.07973619457937</v>
      </c>
      <c r="AN15" s="32" t="n">
        <f aca="false">md_bea_base/AN14</f>
        <v>1.04651884425452</v>
      </c>
      <c r="AO15" s="32" t="n">
        <f aca="false">md_bea_base/AO14</f>
        <v>1.03250411112277</v>
      </c>
      <c r="AP15" s="32" t="n">
        <f aca="false">md_bea_base/AP14</f>
        <v>1.01724420238023</v>
      </c>
      <c r="AQ15" s="1" t="n">
        <f aca="false">md_bea_base/AQ14</f>
        <v>0.988870788725905</v>
      </c>
    </row>
    <row r="16" customFormat="false" ht="15" hidden="false" customHeight="true" outlineLevel="0" collapsed="false">
      <c r="A16" s="26" t="s">
        <v>471</v>
      </c>
      <c r="C16" s="27" t="n">
        <v>48.240002</v>
      </c>
      <c r="D16" s="27" t="n">
        <v>54.246399</v>
      </c>
      <c r="E16" s="27" t="n">
        <v>53.251202</v>
      </c>
      <c r="F16" s="27" t="n">
        <v>87.004799</v>
      </c>
      <c r="G16" s="27" t="n">
        <v>75.251198</v>
      </c>
      <c r="H16" s="27" t="n">
        <v>111.251198</v>
      </c>
      <c r="I16" s="27" t="n">
        <v>85.375999</v>
      </c>
      <c r="J16" s="27" t="n">
        <v>80.624001</v>
      </c>
      <c r="K16" s="27" t="n">
        <v>61.124802</v>
      </c>
      <c r="L16" s="27" t="n">
        <v>87.750397</v>
      </c>
      <c r="M16" s="27" t="n">
        <v>82.624802</v>
      </c>
      <c r="N16" s="27" t="n">
        <v>129.250397</v>
      </c>
      <c r="O16" s="27" t="n">
        <v>138.687607</v>
      </c>
      <c r="P16" s="27" t="n">
        <v>116.75</v>
      </c>
      <c r="Q16" s="27" t="n">
        <v>43.375</v>
      </c>
      <c r="R16" s="27" t="n">
        <v>66.25</v>
      </c>
      <c r="S16" s="27" t="n">
        <v>51.700001</v>
      </c>
      <c r="T16" s="27" t="n">
        <v>27.370001</v>
      </c>
      <c r="U16" s="27" t="n">
        <v>26.719999</v>
      </c>
      <c r="V16" s="27" t="n">
        <v>26.15</v>
      </c>
      <c r="W16" s="27" t="n">
        <v>29.860001</v>
      </c>
      <c r="X16" s="27" t="n">
        <v>35.599998</v>
      </c>
      <c r="Y16" s="33" t="n">
        <v>19.440001</v>
      </c>
      <c r="Z16" s="33" t="n">
        <v>30.48</v>
      </c>
      <c r="AA16" s="33" t="n">
        <v>27.91</v>
      </c>
      <c r="AB16" s="33" t="n">
        <v>25.959999</v>
      </c>
      <c r="AC16" s="33" t="n">
        <v>26.709999</v>
      </c>
      <c r="AD16" s="33" t="n">
        <v>37.41</v>
      </c>
      <c r="AE16" s="33" t="n">
        <v>46.450001</v>
      </c>
      <c r="AF16" s="33" t="n">
        <v>55.48</v>
      </c>
      <c r="AG16" s="33" t="n">
        <v>62.139999</v>
      </c>
      <c r="AH16" s="33" t="n">
        <v>85.540001</v>
      </c>
      <c r="AI16" s="33" t="n">
        <v>101.57</v>
      </c>
      <c r="AJ16" s="33" t="n">
        <v>157.699997</v>
      </c>
      <c r="AK16" s="33" t="n">
        <v>222.419998</v>
      </c>
      <c r="AL16" s="33" t="n">
        <v>336.320007</v>
      </c>
      <c r="AM16" s="33" t="n">
        <v>239.820007</v>
      </c>
      <c r="AN16" s="33" t="n">
        <v>376.040009</v>
      </c>
      <c r="AO16" s="33" t="n">
        <v>421.5</v>
      </c>
      <c r="AP16" s="33" t="n">
        <v>483.619995</v>
      </c>
    </row>
    <row r="17" customFormat="false" ht="15" hidden="false" customHeight="true" outlineLevel="0" collapsed="false">
      <c r="A17" s="7" t="s">
        <v>472</v>
      </c>
      <c r="C17" s="1" t="n">
        <v>48.240002</v>
      </c>
      <c r="D17" s="1" t="n">
        <v>54.246399</v>
      </c>
      <c r="E17" s="1" t="n">
        <v>53.251202</v>
      </c>
      <c r="F17" s="1" t="n">
        <v>87.004799</v>
      </c>
      <c r="G17" s="1" t="n">
        <v>75.251198</v>
      </c>
      <c r="H17" s="1" t="n">
        <v>111.251198</v>
      </c>
      <c r="I17" s="1" t="n">
        <v>85.375999</v>
      </c>
      <c r="J17" s="1" t="n">
        <v>80.624001</v>
      </c>
      <c r="K17" s="1" t="n">
        <v>61.124802</v>
      </c>
      <c r="L17" s="1" t="n">
        <v>87.750397</v>
      </c>
      <c r="M17" s="1" t="n">
        <v>82.624802</v>
      </c>
      <c r="N17" s="1" t="n">
        <v>129.250397</v>
      </c>
      <c r="O17" s="1" t="n">
        <v>138.687607</v>
      </c>
      <c r="P17" s="1" t="n">
        <v>116.75</v>
      </c>
      <c r="Q17" s="1" t="n">
        <v>43.375</v>
      </c>
      <c r="R17" s="1" t="n">
        <v>66.25</v>
      </c>
      <c r="S17" s="1" t="n">
        <v>51.700001</v>
      </c>
      <c r="T17" s="1" t="n">
        <v>27.370001</v>
      </c>
      <c r="U17" s="1" t="n">
        <v>26.719999</v>
      </c>
      <c r="V17" s="1" t="n">
        <v>26.15</v>
      </c>
      <c r="W17" s="1" t="n">
        <v>29.860001</v>
      </c>
      <c r="X17" s="1" t="n">
        <v>35.599998</v>
      </c>
      <c r="Y17" s="1" t="n">
        <v>19.440001</v>
      </c>
      <c r="Z17" s="1" t="n">
        <v>30.48</v>
      </c>
      <c r="AA17" s="1" t="n">
        <v>27.91</v>
      </c>
      <c r="AB17" s="1" t="n">
        <v>25.959999</v>
      </c>
      <c r="AC17" s="1" t="n">
        <v>26.709999</v>
      </c>
      <c r="AD17" s="1" t="n">
        <v>37.41</v>
      </c>
      <c r="AE17" s="1" t="n">
        <v>46.450001</v>
      </c>
      <c r="AF17" s="1" t="n">
        <v>55.48</v>
      </c>
      <c r="AG17" s="1" t="n">
        <v>62.139999</v>
      </c>
      <c r="AH17" s="1" t="n">
        <v>85.540001</v>
      </c>
      <c r="AI17" s="1" t="n">
        <v>101.57</v>
      </c>
      <c r="AJ17" s="1" t="n">
        <v>157.699997</v>
      </c>
      <c r="AK17" s="1" t="n">
        <v>222.419998</v>
      </c>
      <c r="AL17" s="1" t="n">
        <v>336.320007</v>
      </c>
      <c r="AM17" s="1" t="n">
        <v>239.820007</v>
      </c>
      <c r="AN17" s="1" t="n">
        <v>376.040009</v>
      </c>
      <c r="AO17" s="1" t="n">
        <v>421.5</v>
      </c>
      <c r="AP17" s="1" t="n">
        <v>483.619995</v>
      </c>
    </row>
    <row r="18" customFormat="false" ht="15" hidden="false" customHeight="true" outlineLevel="0" collapsed="false">
      <c r="A18" s="4" t="s">
        <v>473</v>
      </c>
    </row>
    <row r="19" customFormat="false" ht="15" hidden="false" customHeight="true" outlineLevel="0" collapsed="false">
      <c r="A19" s="3" t="s">
        <v>474</v>
      </c>
    </row>
    <row r="20" customFormat="false" ht="15" hidden="false" customHeight="true" outlineLevel="0" collapsed="false">
      <c r="A20" s="23" t="s">
        <v>475</v>
      </c>
      <c r="B20" s="34" t="n">
        <v>1</v>
      </c>
      <c r="C20" s="34" t="n">
        <v>2</v>
      </c>
      <c r="D20" s="34" t="n">
        <v>3</v>
      </c>
      <c r="E20" s="34" t="n">
        <v>4</v>
      </c>
      <c r="F20" s="34" t="n">
        <v>5</v>
      </c>
      <c r="G20" s="34" t="n">
        <v>6</v>
      </c>
      <c r="H20" s="34" t="n">
        <v>7</v>
      </c>
      <c r="I20" s="34" t="n">
        <v>8</v>
      </c>
      <c r="J20" s="34" t="n">
        <v>9</v>
      </c>
      <c r="K20" s="34" t="n">
        <v>10</v>
      </c>
      <c r="L20" s="34" t="n">
        <v>11</v>
      </c>
      <c r="M20" s="34" t="n">
        <v>12</v>
      </c>
      <c r="N20" s="34" t="n">
        <v>13</v>
      </c>
      <c r="O20" s="34" t="n">
        <v>14</v>
      </c>
      <c r="P20" s="34" t="n">
        <v>15</v>
      </c>
      <c r="Q20" s="34" t="n">
        <v>16</v>
      </c>
      <c r="R20" s="34" t="n">
        <v>17</v>
      </c>
      <c r="S20" s="34" t="n">
        <v>18</v>
      </c>
      <c r="T20" s="34" t="n">
        <v>19</v>
      </c>
      <c r="U20" s="34" t="n">
        <v>20</v>
      </c>
      <c r="V20" s="34" t="n">
        <v>21</v>
      </c>
      <c r="W20" s="34" t="n">
        <v>22</v>
      </c>
      <c r="X20" s="34" t="n">
        <v>23</v>
      </c>
      <c r="Y20" s="34" t="n">
        <v>24</v>
      </c>
      <c r="Z20" s="34" t="n">
        <v>25</v>
      </c>
      <c r="AA20" s="34" t="n">
        <v>26</v>
      </c>
      <c r="AB20" s="34" t="n">
        <v>27</v>
      </c>
      <c r="AC20" s="34" t="n">
        <v>28</v>
      </c>
      <c r="AD20" s="34" t="n">
        <v>29</v>
      </c>
      <c r="AE20" s="34" t="n">
        <v>30</v>
      </c>
    </row>
    <row r="21" customFormat="false" ht="15" hidden="false" customHeight="true" outlineLevel="0" collapsed="false">
      <c r="A21" s="26" t="s">
        <v>476</v>
      </c>
      <c r="B21" s="35" t="n">
        <v>0.021332</v>
      </c>
      <c r="C21" s="35" t="n">
        <v>0.021861</v>
      </c>
      <c r="D21" s="35" t="n">
        <v>0.022337</v>
      </c>
      <c r="E21" s="35" t="n">
        <v>0.022761</v>
      </c>
      <c r="F21" s="35" t="n">
        <v>0.023135</v>
      </c>
      <c r="G21" s="35" t="n">
        <v>0.023517</v>
      </c>
      <c r="H21" s="35" t="n">
        <v>0.023791</v>
      </c>
      <c r="I21" s="35" t="n">
        <v>0.023941</v>
      </c>
      <c r="J21" s="35" t="n">
        <v>0.024003</v>
      </c>
      <c r="K21" s="35" t="n">
        <v>0.023997</v>
      </c>
      <c r="L21" s="35" t="n">
        <v>0.023915</v>
      </c>
      <c r="M21" s="35" t="n">
        <v>0.023813</v>
      </c>
      <c r="N21" s="35" t="n">
        <v>0.023709</v>
      </c>
      <c r="O21" s="35" t="n">
        <v>0.023615</v>
      </c>
      <c r="P21" s="35" t="n">
        <v>0.023539</v>
      </c>
      <c r="Q21" s="35" t="n">
        <v>0.023486</v>
      </c>
      <c r="R21" s="35" t="n">
        <v>0.023456</v>
      </c>
      <c r="S21" s="35" t="n">
        <v>0.023448</v>
      </c>
      <c r="T21" s="35" t="n">
        <v>0.023458</v>
      </c>
      <c r="U21" s="35" t="n">
        <v>0.023482</v>
      </c>
      <c r="V21" s="35" t="n">
        <v>0.023517</v>
      </c>
      <c r="W21" s="35" t="n">
        <v>0.023556</v>
      </c>
      <c r="X21" s="35" t="n">
        <v>0.023597</v>
      </c>
      <c r="Y21" s="35" t="n">
        <v>0.023633</v>
      </c>
      <c r="Z21" s="35" t="n">
        <v>0.023662</v>
      </c>
      <c r="AA21" s="35" t="n">
        <v>0.023676</v>
      </c>
      <c r="AB21" s="35" t="n">
        <v>0.023672</v>
      </c>
      <c r="AC21" s="35" t="n">
        <v>0.023645</v>
      </c>
      <c r="AD21" s="35" t="n">
        <v>0.023591</v>
      </c>
      <c r="AE21" s="35" t="n">
        <v>0.023505</v>
      </c>
    </row>
    <row r="22" customFormat="false" ht="15" hidden="false" customHeight="true" outlineLevel="0" collapsed="false">
      <c r="A22" s="26" t="s">
        <v>477</v>
      </c>
      <c r="B22" s="36" t="n">
        <f aca="false">B21</f>
        <v>0.021332</v>
      </c>
      <c r="C22" s="36" t="n">
        <f aca="false">(1+C21)^C20/(1+B21)^B20-1</f>
        <v>0.0223902739961148</v>
      </c>
      <c r="D22" s="36" t="n">
        <f aca="false">(1+D21)^D20/(1+C21)^C20-1</f>
        <v>0.0232896652896462</v>
      </c>
      <c r="E22" s="36" t="n">
        <f aca="false">(1+E21)^E20/(1+D21)^D20-1</f>
        <v>0.0240340553802407</v>
      </c>
      <c r="F22" s="36" t="n">
        <f aca="false">(1+F21)^F20/(1+E21)^E20-1</f>
        <v>0.024632368131545</v>
      </c>
      <c r="G22" s="36" t="n">
        <f aca="false">(1+G21)^G20/(1+F21)^F20-1</f>
        <v>0.0254291404310829</v>
      </c>
      <c r="H22" s="36" t="n">
        <f aca="false">(1+H21)^H20/(1+G21)^G20-1</f>
        <v>0.0254365410585498</v>
      </c>
      <c r="I22" s="36" t="n">
        <f aca="false">(1+I21)^I20/(1+H21)^H20-1</f>
        <v>0.0249916155403227</v>
      </c>
      <c r="J22" s="36" t="n">
        <f aca="false">(1+J21)^J20/(1+I21)^I20-1</f>
        <v>0.0244991351675081</v>
      </c>
      <c r="K22" s="36" t="n">
        <f aca="false">(1+K21)^K20/(1+J21)^J20-1</f>
        <v>0.0239430015820024</v>
      </c>
      <c r="L22" s="36" t="n">
        <f aca="false">(1+L21)^L20/(1+K21)^K20-1</f>
        <v>0.0230953610666524</v>
      </c>
      <c r="M22" s="36" t="n">
        <f aca="false">(1+M21)^M20/(1+L21)^L20-1</f>
        <v>0.0226916704033444</v>
      </c>
      <c r="N22" s="36" t="n">
        <f aca="false">(1+N21)^N20/(1+M21)^M20-1</f>
        <v>0.0224618237186383</v>
      </c>
      <c r="O22" s="36" t="n">
        <f aca="false">(1+O21)^O20/(1+N21)^N20-1</f>
        <v>0.0223937851652603</v>
      </c>
      <c r="P22" s="36" t="n">
        <f aca="false">(1+P21)^P20/(1+O21)^O20-1</f>
        <v>0.022475592297805</v>
      </c>
      <c r="Q22" s="36" t="n">
        <f aca="false">(1+Q21)^Q20/(1+P21)^P20-1</f>
        <v>0.022691329248381</v>
      </c>
      <c r="R22" s="36" t="n">
        <f aca="false">(1+R21)^R20/(1+Q21)^Q20-1</f>
        <v>0.0229761195737543</v>
      </c>
      <c r="S22" s="36" t="n">
        <f aca="false">(1+S21)^S20/(1+R21)^R20-1</f>
        <v>0.0233120095671837</v>
      </c>
      <c r="T22" s="36" t="n">
        <f aca="false">(1+T21)^T20/(1+S21)^S20-1</f>
        <v>0.0236380167091519</v>
      </c>
      <c r="U22" s="36" t="n">
        <f aca="false">(1+U21)^U20/(1+T21)^T20-1</f>
        <v>0.0239381069466458</v>
      </c>
      <c r="V22" s="36" t="n">
        <f aca="false">(1+V21)^V20/(1+U21)^U20-1</f>
        <v>0.0242172514022956</v>
      </c>
      <c r="W22" s="36" t="n">
        <f aca="false">(1+W21)^W20/(1+V21)^V20-1</f>
        <v>0.0243753433653435</v>
      </c>
      <c r="X22" s="36" t="n">
        <f aca="false">(1+X21)^X20/(1+W21)^W20-1</f>
        <v>0.0244994156218887</v>
      </c>
      <c r="Y22" s="36" t="n">
        <f aca="false">(1+Y21)^Y20/(1+X21)^X20-1</f>
        <v>0.0244613495401707</v>
      </c>
      <c r="Z22" s="36" t="n">
        <f aca="false">(1+Z21)^Z20/(1+Y21)^Y20-1</f>
        <v>0.0243582465285992</v>
      </c>
      <c r="AA22" s="36" t="n">
        <f aca="false">(1+AA21)^AA20/(1+Z21)^Z20-1</f>
        <v>0.0240260622343791</v>
      </c>
      <c r="AB22" s="36" t="n">
        <f aca="false">(1+AB21)^AB20/(1+AA21)^AA20-1</f>
        <v>0.0235680054859291</v>
      </c>
      <c r="AC22" s="36" t="n">
        <f aca="false">(1+AC21)^AC20/(1+AB21)^AB20-1</f>
        <v>0.0229162691282168</v>
      </c>
      <c r="AD22" s="36" t="n">
        <f aca="false">(1+AD21)^AD20/(1+AC21)^AC20-1</f>
        <v>0.0220801560004784</v>
      </c>
      <c r="AE22" s="36" t="n">
        <f aca="false">(1+AE21)^AE20/(1+AD21)^AD20-1</f>
        <v>0.0210141406475493</v>
      </c>
    </row>
    <row r="23" customFormat="false" ht="15" hidden="false" customHeight="true" outlineLevel="0" collapsed="false">
      <c r="A23" s="26" t="s">
        <v>478</v>
      </c>
      <c r="B23" s="35" t="n">
        <v>0.019217</v>
      </c>
      <c r="C23" s="35" t="n">
        <v>0.019738</v>
      </c>
      <c r="D23" s="35" t="n">
        <v>0.020258</v>
      </c>
      <c r="E23" s="35" t="n">
        <v>0.020779</v>
      </c>
      <c r="F23" s="35" t="n">
        <v>0.0213</v>
      </c>
      <c r="G23" s="35" t="n">
        <v>0.02192</v>
      </c>
      <c r="H23" s="35" t="n">
        <v>0.02254</v>
      </c>
      <c r="I23" s="35" t="n">
        <v>0.02316</v>
      </c>
      <c r="J23" s="35" t="n">
        <v>0.02378</v>
      </c>
      <c r="K23" s="35" t="n">
        <v>0.0244</v>
      </c>
      <c r="L23" s="35" t="n">
        <v>0.0248</v>
      </c>
      <c r="M23" s="35" t="n">
        <v>0.0252</v>
      </c>
      <c r="N23" s="35" t="n">
        <v>0.0256</v>
      </c>
      <c r="O23" s="35" t="n">
        <v>0.026</v>
      </c>
      <c r="P23" s="35" t="n">
        <v>0.0264</v>
      </c>
      <c r="Q23" s="35" t="n">
        <v>0.0268</v>
      </c>
      <c r="R23" s="35" t="n">
        <v>0.0272</v>
      </c>
      <c r="S23" s="35" t="n">
        <v>0.0276</v>
      </c>
      <c r="T23" s="35" t="n">
        <v>0.028</v>
      </c>
      <c r="U23" s="35" t="n">
        <v>0.0284</v>
      </c>
      <c r="V23" s="35" t="n">
        <v>0.02862</v>
      </c>
      <c r="W23" s="35" t="n">
        <v>0.02884</v>
      </c>
      <c r="X23" s="35" t="n">
        <v>0.02906</v>
      </c>
      <c r="Y23" s="35" t="n">
        <v>0.02928</v>
      </c>
      <c r="Z23" s="35" t="n">
        <v>0.0295</v>
      </c>
      <c r="AA23" s="35" t="n">
        <v>0.02972</v>
      </c>
      <c r="AB23" s="35" t="n">
        <v>0.02994</v>
      </c>
      <c r="AC23" s="35" t="n">
        <v>0.03016</v>
      </c>
      <c r="AD23" s="35" t="n">
        <v>0.03038</v>
      </c>
      <c r="AE23" s="35" t="n">
        <v>0.0306</v>
      </c>
    </row>
    <row r="24" customFormat="false" ht="15" hidden="false" customHeight="true" outlineLevel="0" collapsed="false">
      <c r="A24" s="26" t="s">
        <v>479</v>
      </c>
      <c r="B24" s="36" t="n">
        <f aca="false">B23</f>
        <v>0.019217</v>
      </c>
      <c r="C24" s="36" t="n">
        <f aca="false">(1+C23)^C20/(1+B23)^B20-1</f>
        <v>0.0202592663230696</v>
      </c>
      <c r="D24" s="36" t="n">
        <f aca="false">(1+D23)^D20/(1+C23)^C20-1</f>
        <v>0.0212987956336692</v>
      </c>
      <c r="E24" s="36" t="n">
        <f aca="false">(1+E23)^E20/(1+D23)^D20-1</f>
        <v>0.0223435968515042</v>
      </c>
      <c r="F24" s="36" t="n">
        <f aca="false">(1+F23)^F20/(1+E23)^E20-1</f>
        <v>0.0233866605129747</v>
      </c>
      <c r="G24" s="36" t="n">
        <f aca="false">(1+G23)^G20/(1+F23)^F20-1</f>
        <v>0.0250256503175113</v>
      </c>
      <c r="H24" s="36" t="n">
        <f aca="false">(1+H23)^H20/(1+G23)^G20-1</f>
        <v>0.026267907240793</v>
      </c>
      <c r="I24" s="36" t="n">
        <f aca="false">(1+I23)^I20/(1+H23)^H20-1</f>
        <v>0.027510538719336</v>
      </c>
      <c r="J24" s="36" t="n">
        <f aca="false">(1+J23)^J20/(1+I23)^I20-1</f>
        <v>0.0287535442982412</v>
      </c>
      <c r="K24" s="36" t="n">
        <f aca="false">(1+K23)^K20/(1+J23)^J20-1</f>
        <v>0.0299969235233075</v>
      </c>
      <c r="L24" s="36" t="n">
        <f aca="false">(1+L23)^L20/(1+K23)^K20-1</f>
        <v>0.0288086004651771</v>
      </c>
      <c r="M24" s="36" t="n">
        <f aca="false">(1+M23)^M20/(1+L23)^L20-1</f>
        <v>0.0296103178682077</v>
      </c>
      <c r="N24" s="36" t="n">
        <f aca="false">(1+N23)^N20/(1+M23)^M20-1</f>
        <v>0.0304121906667059</v>
      </c>
      <c r="O24" s="36" t="n">
        <f aca="false">(1+O23)^O20/(1+N23)^N20-1</f>
        <v>0.0312142187391666</v>
      </c>
      <c r="P24" s="36" t="n">
        <f aca="false">(1+P23)^P20/(1+O23)^O20-1</f>
        <v>0.0320164019642197</v>
      </c>
      <c r="Q24" s="36" t="n">
        <f aca="false">(1+Q23)^Q20/(1+P23)^P20-1</f>
        <v>0.0328187402206035</v>
      </c>
      <c r="R24" s="36" t="n">
        <f aca="false">(1+R23)^R20/(1+Q23)^Q20-1</f>
        <v>0.0336212333871764</v>
      </c>
      <c r="S24" s="36" t="n">
        <f aca="false">(1+S23)^S20/(1+R23)^R20-1</f>
        <v>0.0344238813429205</v>
      </c>
      <c r="T24" s="36" t="n">
        <f aca="false">(1+T23)^T20/(1+S23)^S20-1</f>
        <v>0.03522668396692</v>
      </c>
      <c r="U24" s="36" t="n">
        <f aca="false">(1+U23)^U20/(1+T23)^T20-1</f>
        <v>0.0360296411384002</v>
      </c>
      <c r="V24" s="36" t="n">
        <f aca="false">(1+V23)^V20/(1+U23)^U20-1</f>
        <v>0.0330298967172493</v>
      </c>
      <c r="W24" s="36" t="n">
        <f aca="false">(1+W23)^W20/(1+V23)^V20-1</f>
        <v>0.033470884833928</v>
      </c>
      <c r="X24" s="36" t="n">
        <f aca="false">(1+X23)^X20/(1+W23)^W20-1</f>
        <v>0.0339119197820992</v>
      </c>
      <c r="Y24" s="36" t="n">
        <f aca="false">(1+Y23)^Y20/(1+X23)^X20-1</f>
        <v>0.0343530015416722</v>
      </c>
      <c r="Z24" s="36" t="n">
        <f aca="false">(1+Z23)^Z20/(1+Y23)^Y20-1</f>
        <v>0.0347941300926078</v>
      </c>
      <c r="AA24" s="36" t="n">
        <f aca="false">(1+AA23)^AA20/(1+Z23)^Z20-1</f>
        <v>0.0352353054148342</v>
      </c>
      <c r="AB24" s="36" t="n">
        <f aca="false">(1+AB23)^AB20/(1+AA23)^AA20-1</f>
        <v>0.0356765274883355</v>
      </c>
      <c r="AC24" s="36" t="n">
        <f aca="false">(1+AC23)^AC20/(1+AB23)^AB20-1</f>
        <v>0.0361177962930603</v>
      </c>
      <c r="AD24" s="36" t="n">
        <f aca="false">(1+AD23)^AD20/(1+AC23)^AC20-1</f>
        <v>0.0365591118090158</v>
      </c>
      <c r="AE24" s="36" t="n">
        <f aca="false">(1+AE23)^AE20/(1+AD23)^AD20-1</f>
        <v>0.0370004740161696</v>
      </c>
    </row>
    <row r="25" customFormat="false" ht="15" hidden="false" customHeight="true" outlineLevel="0" collapsed="false">
      <c r="A25" s="26" t="s">
        <v>480</v>
      </c>
      <c r="B25" s="36" t="n">
        <v>0.041303</v>
      </c>
      <c r="C25" s="26" t="n">
        <v>0.044364</v>
      </c>
      <c r="D25" s="26" t="n">
        <v>0.04583</v>
      </c>
      <c r="E25" s="26" t="n">
        <v>0.043316</v>
      </c>
      <c r="F25" s="26" t="n">
        <v>0.042034</v>
      </c>
      <c r="G25" s="26" t="n">
        <v>0.03985</v>
      </c>
      <c r="H25" s="26" t="n">
        <v>0.0378</v>
      </c>
      <c r="I25" s="26" t="n">
        <v>0.034947</v>
      </c>
      <c r="J25" s="26" t="n">
        <v>0.032528</v>
      </c>
      <c r="K25" s="26" t="n">
        <v>0.030088</v>
      </c>
      <c r="L25" s="26" t="n">
        <v>0.029796</v>
      </c>
      <c r="M25" s="26" t="n">
        <v>0.027704</v>
      </c>
      <c r="N25" s="26" t="n">
        <v>0.025677</v>
      </c>
      <c r="O25" s="26" t="n">
        <v>0.023745</v>
      </c>
      <c r="P25" s="26" t="n">
        <v>0.021938</v>
      </c>
      <c r="Q25" s="26" t="n">
        <v>0.020071</v>
      </c>
      <c r="R25" s="26" t="n">
        <v>0.018669</v>
      </c>
      <c r="S25" s="26" t="n">
        <v>0.017474</v>
      </c>
      <c r="T25" s="26" t="n">
        <v>0.016503</v>
      </c>
      <c r="U25" s="26" t="n">
        <v>0.015769</v>
      </c>
      <c r="V25" s="26" t="n">
        <v>0.020006</v>
      </c>
      <c r="W25" s="26" t="n">
        <v>0.019857</v>
      </c>
      <c r="X25" s="26" t="n">
        <v>0.019762</v>
      </c>
      <c r="Y25" s="26" t="n">
        <v>0.019718</v>
      </c>
      <c r="Z25" s="26" t="n">
        <v>0.019722</v>
      </c>
      <c r="AA25" s="26" t="n">
        <v>0.019789</v>
      </c>
      <c r="AB25" s="26" t="n">
        <v>0.019884</v>
      </c>
      <c r="AC25" s="26" t="n">
        <v>0.020015</v>
      </c>
      <c r="AD25" s="26" t="n">
        <v>0.020179</v>
      </c>
      <c r="AE25" s="26" t="n">
        <v>0.020374</v>
      </c>
    </row>
    <row r="26" customFormat="false" ht="15" hidden="false" customHeight="true" outlineLevel="0" collapsed="false">
      <c r="A26" s="26" t="s">
        <v>481</v>
      </c>
      <c r="B26" s="36" t="n">
        <f aca="false">IF(cfg_coe_mode="Single",$AE$24+$AE$25,B24+B25)+IF(cfg_coe_mode="Single",$AE$31,B31)</f>
        <v>0.0524164244905018</v>
      </c>
      <c r="C26" s="36" t="n">
        <f aca="false">IF(cfg_coe_mode="Single",$AE$24+$AE$25,C24+C25)+IF(cfg_coe_mode="Single",$AE$31,C31)</f>
        <v>0.0574981825772064</v>
      </c>
      <c r="D26" s="36" t="n">
        <f aca="false">IF(cfg_coe_mode="Single",$AE$24+$AE$25,D24+D25)+IF(cfg_coe_mode="Single",$AE$31,D31)</f>
        <v>0.0624846310998951</v>
      </c>
      <c r="E26" s="36" t="n">
        <f aca="false">IF(cfg_coe_mode="Single",$AE$24+$AE$25,E24+E25)+IF(cfg_coe_mode="Single",$AE$31,E31)</f>
        <v>0.063351846903115</v>
      </c>
      <c r="F26" s="36" t="n">
        <f aca="false">IF(cfg_coe_mode="Single",$AE$24+$AE$25,F24+F25)+IF(cfg_coe_mode="Single",$AE$31,F31)</f>
        <v>0.0646499762704597</v>
      </c>
      <c r="G26" s="36" t="n">
        <f aca="false">IF(cfg_coe_mode="Single",$AE$24+$AE$25,G24+G25)+IF(cfg_coe_mode="Single",$AE$31,G31)</f>
        <v>0.0655381952512461</v>
      </c>
      <c r="H26" s="36" t="n">
        <f aca="false">IF(cfg_coe_mode="Single",$AE$24+$AE$25,H24+H25)+IF(cfg_coe_mode="Single",$AE$31,H31)</f>
        <v>0.0661229546892722</v>
      </c>
      <c r="I26" s="36" t="n">
        <f aca="false">IF(cfg_coe_mode="Single",$AE$24+$AE$25,I24+I25)+IF(cfg_coe_mode="Single",$AE$31,I31)</f>
        <v>0.0658347008650534</v>
      </c>
      <c r="J26" s="36" t="n">
        <f aca="false">IF(cfg_coe_mode="Single",$AE$24+$AE$25,J24+J25)+IF(cfg_coe_mode="Single",$AE$31,J31)</f>
        <v>0.0653194568655494</v>
      </c>
      <c r="K26" s="36" t="n">
        <f aca="false">IF(cfg_coe_mode="Single",$AE$24+$AE$25,K24+K25)+IF(cfg_coe_mode="Single",$AE$31,K31)</f>
        <v>0.0641327714229463</v>
      </c>
      <c r="L26" s="36" t="n">
        <f aca="false">IF(cfg_coe_mode="Single",$AE$24+$AE$25,L24+L25)+IF(cfg_coe_mode="Single",$AE$31,L31)</f>
        <v>0.0626239906821401</v>
      </c>
      <c r="M26" s="36" t="n">
        <f aca="false">IF(cfg_coe_mode="Single",$AE$24+$AE$25,M24+M25)+IF(cfg_coe_mode="Single",$AE$31,M31)</f>
        <v>0.0612739663847731</v>
      </c>
      <c r="N26" s="36" t="n">
        <f aca="false">IF(cfg_coe_mode="Single",$AE$24+$AE$25,N24+N25)+IF(cfg_coe_mode="Single",$AE$31,N31)</f>
        <v>0.0601273854088821</v>
      </c>
      <c r="O26" s="36" t="n">
        <f aca="false">IF(cfg_coe_mode="Single",$AE$24+$AE$25,O24+O25)+IF(cfg_coe_mode="Single",$AE$31,O31)</f>
        <v>0.0592189862287735</v>
      </c>
      <c r="P26" s="36" t="n">
        <f aca="false">IF(cfg_coe_mode="Single",$AE$24+$AE$25,P24+P25)+IF(cfg_coe_mode="Single",$AE$31,P31)</f>
        <v>0.0584189096350011</v>
      </c>
      <c r="Q26" s="36" t="n">
        <f aca="false">IF(cfg_coe_mode="Single",$AE$24+$AE$25,Q24+Q25)+IF(cfg_coe_mode="Single",$AE$31,Q31)</f>
        <v>0.0575453365538599</v>
      </c>
      <c r="R26" s="36" t="n">
        <f aca="false">IF(cfg_coe_mode="Single",$AE$24+$AE$25,R24+R25)+IF(cfg_coe_mode="Single",$AE$31,R31)</f>
        <v>0.0571258180987807</v>
      </c>
      <c r="S26" s="36" t="n">
        <f aca="false">IF(cfg_coe_mode="Single",$AE$24+$AE$25,S24+S25)+IF(cfg_coe_mode="Single",$AE$31,S31)</f>
        <v>0.0569044724256295</v>
      </c>
      <c r="T26" s="36" t="n">
        <f aca="false">IF(cfg_coe_mode="Single",$AE$24+$AE$25,T24+T25)+IF(cfg_coe_mode="Single",$AE$31,T31)</f>
        <v>0.0569000273530093</v>
      </c>
      <c r="U26" s="36" t="n">
        <f aca="false">IF(cfg_coe_mode="Single",$AE$24+$AE$25,U24+U25)+IF(cfg_coe_mode="Single",$AE$31,U31)</f>
        <v>0.0571268471076751</v>
      </c>
      <c r="V26" s="36" t="n">
        <f aca="false">IF(cfg_coe_mode="Single",$AE$24+$AE$25,V24+V25)+IF(cfg_coe_mode="Single",$AE$31,V31)</f>
        <v>0.0583772299901685</v>
      </c>
      <c r="W26" s="36" t="n">
        <f aca="false">IF(cfg_coe_mode="Single",$AE$24+$AE$25,W24+W25)+IF(cfg_coe_mode="Single",$AE$31,W31)</f>
        <v>0.0586785276289662</v>
      </c>
      <c r="X26" s="36" t="n">
        <f aca="false">IF(cfg_coe_mode="Single",$AE$24+$AE$25,X24+X25)+IF(cfg_coe_mode="Single",$AE$31,X31)</f>
        <v>0.0590308040507774</v>
      </c>
      <c r="Y26" s="36" t="n">
        <f aca="false">IF(cfg_coe_mode="Single",$AE$24+$AE$25,Y24+Y25)+IF(cfg_coe_mode="Single",$AE$31,Y31)</f>
        <v>0.0594316681884207</v>
      </c>
      <c r="Z26" s="36" t="n">
        <f aca="false">IF(cfg_coe_mode="Single",$AE$24+$AE$25,Z24+Z25)+IF(cfg_coe_mode="Single",$AE$31,Z31)</f>
        <v>0.0598786142964855</v>
      </c>
      <c r="AA26" s="36" t="n">
        <f aca="false">IF(cfg_coe_mode="Single",$AE$24+$AE$25,AA24+AA25)+IF(cfg_coe_mode="Single",$AE$31,AA31)</f>
        <v>0.0603870432447479</v>
      </c>
      <c r="AB26" s="36" t="n">
        <f aca="false">IF(cfg_coe_mode="Single",$AE$24+$AE$25,AB24+AB25)+IF(cfg_coe_mode="Single",$AE$31,AB31)</f>
        <v>0.0609222798838503</v>
      </c>
      <c r="AC26" s="36" t="n">
        <f aca="false">IF(cfg_coe_mode="Single",$AE$24+$AE$25,AC24+AC25)+IF(cfg_coe_mode="Single",$AE$31,AC31)</f>
        <v>0.0614925872035318</v>
      </c>
      <c r="AD26" s="36" t="n">
        <f aca="false">IF(cfg_coe_mode="Single",$AE$24+$AE$25,AD24+AD25)+IF(cfg_coe_mode="Single",$AE$31,AD31)</f>
        <v>0.0620951778731495</v>
      </c>
      <c r="AE26" s="36" t="n">
        <f aca="false">IF(cfg_coe_mode="Single",$AE$24+$AE$25,AE24+AE25)+IF(cfg_coe_mode="Single",$AE$31,AE31)</f>
        <v>0.0627282236458418</v>
      </c>
    </row>
    <row r="27" customFormat="false" ht="15" hidden="false" customHeight="true" outlineLevel="0" collapsed="false">
      <c r="A27" s="26" t="s">
        <v>482</v>
      </c>
      <c r="B27" s="35" t="n">
        <v>0.05</v>
      </c>
      <c r="C27" s="35" t="n">
        <v>0.05</v>
      </c>
      <c r="D27" s="35" t="n">
        <v>0.05</v>
      </c>
      <c r="E27" s="35" t="n">
        <v>0.05</v>
      </c>
      <c r="F27" s="35" t="n">
        <v>0.05</v>
      </c>
      <c r="G27" s="35" t="n">
        <v>0.05</v>
      </c>
      <c r="H27" s="35" t="n">
        <v>0.05</v>
      </c>
      <c r="I27" s="35" t="n">
        <v>0.05</v>
      </c>
      <c r="J27" s="35" t="n">
        <v>0.05</v>
      </c>
      <c r="K27" s="35" t="n">
        <v>0.05</v>
      </c>
      <c r="L27" s="35" t="n">
        <v>0.05</v>
      </c>
      <c r="M27" s="35" t="n">
        <v>0.05</v>
      </c>
      <c r="N27" s="35" t="n">
        <v>0.05</v>
      </c>
      <c r="O27" s="35" t="n">
        <v>0.05</v>
      </c>
      <c r="P27" s="35" t="n">
        <v>0.05</v>
      </c>
      <c r="Q27" s="35" t="n">
        <v>0.05</v>
      </c>
      <c r="R27" s="35" t="n">
        <v>0.05</v>
      </c>
      <c r="S27" s="35" t="n">
        <v>0.05</v>
      </c>
      <c r="T27" s="35" t="n">
        <v>0.05</v>
      </c>
      <c r="U27" s="35" t="n">
        <v>0.05</v>
      </c>
      <c r="V27" s="35" t="n">
        <v>0.05</v>
      </c>
      <c r="W27" s="35" t="n">
        <v>0.05</v>
      </c>
      <c r="X27" s="35" t="n">
        <v>0.05</v>
      </c>
      <c r="Y27" s="35" t="n">
        <v>0.05</v>
      </c>
      <c r="Z27" s="35" t="n">
        <v>0.05</v>
      </c>
      <c r="AA27" s="35" t="n">
        <v>0.05</v>
      </c>
      <c r="AB27" s="35" t="n">
        <v>0.05</v>
      </c>
      <c r="AC27" s="35" t="n">
        <v>0.05</v>
      </c>
      <c r="AD27" s="35" t="n">
        <v>0.06325</v>
      </c>
      <c r="AE27" s="35" t="n">
        <v>0.06345</v>
      </c>
    </row>
    <row r="28" customFormat="false" ht="15" hidden="false" customHeight="true" outlineLevel="0" collapsed="false">
      <c r="A28" s="26" t="s">
        <v>483</v>
      </c>
      <c r="B28" s="36" t="n">
        <v>0.02247014</v>
      </c>
      <c r="C28" s="36" t="n">
        <v>0.023128823</v>
      </c>
      <c r="D28" s="36" t="n">
        <v>0.024391262</v>
      </c>
      <c r="E28" s="36" t="n">
        <v>0.025787016</v>
      </c>
      <c r="F28" s="36" t="n">
        <v>0.02722953</v>
      </c>
      <c r="G28" s="36" t="n">
        <v>0.029044463</v>
      </c>
      <c r="H28" s="36" t="n">
        <v>0.031213405</v>
      </c>
      <c r="I28" s="36" t="n">
        <v>0.033601416</v>
      </c>
      <c r="J28" s="36" t="n">
        <v>0.035823786</v>
      </c>
      <c r="K28" s="36" t="n">
        <v>0.037728944</v>
      </c>
      <c r="L28" s="36" t="n">
        <v>0.03942866</v>
      </c>
      <c r="M28" s="36" t="n">
        <v>0.040839684</v>
      </c>
      <c r="N28" s="36" t="n">
        <v>0.04198459</v>
      </c>
      <c r="O28" s="36" t="n">
        <v>0.042857853</v>
      </c>
      <c r="P28" s="36" t="n">
        <v>0.043416688</v>
      </c>
      <c r="Q28" s="36" t="n">
        <v>0.043693988</v>
      </c>
      <c r="R28" s="36" t="n">
        <v>0.043737537</v>
      </c>
      <c r="S28" s="36" t="n">
        <v>0.043592655</v>
      </c>
      <c r="T28" s="36" t="n">
        <v>0.04330542</v>
      </c>
      <c r="U28" s="36" t="n">
        <v>0.042917096</v>
      </c>
      <c r="V28" s="36" t="n">
        <v>0.042403065</v>
      </c>
      <c r="W28" s="36" t="n">
        <v>0.041837194</v>
      </c>
      <c r="X28" s="36" t="n">
        <v>0.041244557</v>
      </c>
      <c r="Y28" s="36" t="n">
        <v>0.040649136</v>
      </c>
      <c r="Z28" s="36" t="n">
        <v>0.040080056</v>
      </c>
      <c r="AA28" s="36" t="n">
        <v>0.039569502</v>
      </c>
      <c r="AB28" s="36" t="n">
        <v>0.039148562</v>
      </c>
      <c r="AC28" s="36" t="n">
        <v>0.038848291</v>
      </c>
      <c r="AD28" s="36" t="n">
        <v>0.038684166</v>
      </c>
      <c r="AE28" s="36" t="n">
        <v>0.038651967</v>
      </c>
    </row>
    <row r="29" customFormat="false" ht="15" hidden="false" customHeight="true" outlineLevel="0" collapsed="false">
      <c r="A29" s="26" t="s">
        <v>484</v>
      </c>
      <c r="B29" s="36" t="n">
        <f aca="false">IF(cfg_rd_mode="Single",$AE$28,B28)</f>
        <v>0.02247014</v>
      </c>
      <c r="C29" s="36" t="n">
        <f aca="false">IF(cfg_rd_mode="Single",$AE$28,C28)</f>
        <v>0.023128823</v>
      </c>
      <c r="D29" s="36" t="n">
        <f aca="false">IF(cfg_rd_mode="Single",$AE$28,D28)</f>
        <v>0.024391262</v>
      </c>
      <c r="E29" s="36" t="n">
        <f aca="false">IF(cfg_rd_mode="Single",$AE$28,E28)</f>
        <v>0.025787016</v>
      </c>
      <c r="F29" s="36" t="n">
        <f aca="false">IF(cfg_rd_mode="Single",$AE$28,F28)</f>
        <v>0.02722953</v>
      </c>
      <c r="G29" s="36" t="n">
        <f aca="false">IF(cfg_rd_mode="Single",$AE$28,G28)</f>
        <v>0.029044463</v>
      </c>
      <c r="H29" s="36" t="n">
        <f aca="false">IF(cfg_rd_mode="Single",$AE$28,H28)</f>
        <v>0.031213405</v>
      </c>
      <c r="I29" s="36" t="n">
        <f aca="false">IF(cfg_rd_mode="Single",$AE$28,I28)</f>
        <v>0.033601416</v>
      </c>
      <c r="J29" s="36" t="n">
        <f aca="false">IF(cfg_rd_mode="Single",$AE$28,J28)</f>
        <v>0.035823786</v>
      </c>
      <c r="K29" s="36" t="n">
        <f aca="false">IF(cfg_rd_mode="Single",$AE$28,K28)</f>
        <v>0.037728944</v>
      </c>
      <c r="L29" s="36" t="n">
        <f aca="false">IF(cfg_rd_mode="Single",$AE$28,L28)</f>
        <v>0.03942866</v>
      </c>
      <c r="M29" s="36" t="n">
        <f aca="false">IF(cfg_rd_mode="Single",$AE$28,M28)</f>
        <v>0.040839684</v>
      </c>
      <c r="N29" s="36" t="n">
        <f aca="false">IF(cfg_rd_mode="Single",$AE$28,N28)</f>
        <v>0.04198459</v>
      </c>
      <c r="O29" s="36" t="n">
        <f aca="false">IF(cfg_rd_mode="Single",$AE$28,O28)</f>
        <v>0.042857853</v>
      </c>
      <c r="P29" s="36" t="n">
        <f aca="false">IF(cfg_rd_mode="Single",$AE$28,P28)</f>
        <v>0.043416688</v>
      </c>
      <c r="Q29" s="36" t="n">
        <f aca="false">IF(cfg_rd_mode="Single",$AE$28,Q28)</f>
        <v>0.043693988</v>
      </c>
      <c r="R29" s="36" t="n">
        <f aca="false">IF(cfg_rd_mode="Single",$AE$28,R28)</f>
        <v>0.043737537</v>
      </c>
      <c r="S29" s="36" t="n">
        <f aca="false">IF(cfg_rd_mode="Single",$AE$28,S28)</f>
        <v>0.043592655</v>
      </c>
      <c r="T29" s="36" t="n">
        <f aca="false">IF(cfg_rd_mode="Single",$AE$28,T28)</f>
        <v>0.04330542</v>
      </c>
      <c r="U29" s="36" t="n">
        <f aca="false">IF(cfg_rd_mode="Single",$AE$28,U28)</f>
        <v>0.042917096</v>
      </c>
      <c r="V29" s="36" t="n">
        <f aca="false">IF(cfg_rd_mode="Single",$AE$28,V28)</f>
        <v>0.042403065</v>
      </c>
      <c r="W29" s="36" t="n">
        <f aca="false">IF(cfg_rd_mode="Single",$AE$28,W28)</f>
        <v>0.041837194</v>
      </c>
      <c r="X29" s="36" t="n">
        <f aca="false">IF(cfg_rd_mode="Single",$AE$28,X28)</f>
        <v>0.041244557</v>
      </c>
      <c r="Y29" s="36" t="n">
        <f aca="false">IF(cfg_rd_mode="Single",$AE$28,Y28)</f>
        <v>0.040649136</v>
      </c>
      <c r="Z29" s="36" t="n">
        <f aca="false">IF(cfg_rd_mode="Single",$AE$28,Z28)</f>
        <v>0.040080056</v>
      </c>
      <c r="AA29" s="36" t="n">
        <f aca="false">IF(cfg_rd_mode="Single",$AE$28,AA28)</f>
        <v>0.039569502</v>
      </c>
      <c r="AB29" s="36" t="n">
        <f aca="false">IF(cfg_rd_mode="Single",$AE$28,AB28)</f>
        <v>0.039148562</v>
      </c>
      <c r="AC29" s="36" t="n">
        <f aca="false">IF(cfg_rd_mode="Single",$AE$28,AC28)</f>
        <v>0.038848291</v>
      </c>
      <c r="AD29" s="36" t="n">
        <f aca="false">IF(cfg_rd_mode="Single",$AE$28,AD28)</f>
        <v>0.038684166</v>
      </c>
      <c r="AE29" s="36" t="n">
        <f aca="false">IF(cfg_rd_mode="Single",$AE$28,AE28)</f>
        <v>0.038651967</v>
      </c>
    </row>
    <row r="30" customFormat="false" ht="15" hidden="false" customHeight="true" outlineLevel="0" collapsed="false">
      <c r="A30" s="7" t="s">
        <v>485</v>
      </c>
      <c r="B30" s="37" t="n">
        <f aca="false">B27-(B23+B21)</f>
        <v>0.009451</v>
      </c>
      <c r="C30" s="37" t="n">
        <f aca="false">C27-(C23+C21)</f>
        <v>0.00840100000000001</v>
      </c>
      <c r="D30" s="37" t="n">
        <f aca="false">D27-(D23+D21)</f>
        <v>0.007405</v>
      </c>
      <c r="E30" s="37" t="n">
        <f aca="false">E27-(E23+E21)</f>
        <v>0.00646000000000001</v>
      </c>
      <c r="F30" s="37" t="n">
        <f aca="false">F27-(F23+F21)</f>
        <v>0.005565</v>
      </c>
      <c r="G30" s="37" t="n">
        <f aca="false">G27-(G23+G21)</f>
        <v>0.004563</v>
      </c>
      <c r="H30" s="37" t="n">
        <f aca="false">H27-(H23+H21)</f>
        <v>0.00366900000000001</v>
      </c>
      <c r="I30" s="37" t="n">
        <f aca="false">I27-(I23+I21)</f>
        <v>0.002899</v>
      </c>
      <c r="J30" s="37" t="n">
        <f aca="false">J27-(J23+J21)</f>
        <v>0.002217</v>
      </c>
      <c r="K30" s="37" t="n">
        <f aca="false">K27-(K23+K21)</f>
        <v>0.001603</v>
      </c>
      <c r="L30" s="37" t="n">
        <f aca="false">L27-(L23+L21)</f>
        <v>0.00128500000000001</v>
      </c>
      <c r="M30" s="37" t="n">
        <f aca="false">M27-(M23+M21)</f>
        <v>0.000987000000000002</v>
      </c>
      <c r="N30" s="37" t="n">
        <f aca="false">N27-(N23+N21)</f>
        <v>0.000690999999999997</v>
      </c>
      <c r="O30" s="37" t="n">
        <f aca="false">O27-(O23+O21)</f>
        <v>0.000385000000000003</v>
      </c>
      <c r="P30" s="37" t="n">
        <f aca="false">P27-(P23+P21)</f>
        <v>6.10000000000055E-005</v>
      </c>
      <c r="Q30" s="37" t="n">
        <f aca="false">Q27-(Q23+Q21)</f>
        <v>-0.000285999999999995</v>
      </c>
      <c r="R30" s="37" t="n">
        <f aca="false">R27-(R23+R21)</f>
        <v>-0.000655999999999997</v>
      </c>
      <c r="S30" s="37" t="n">
        <f aca="false">S27-(S23+S21)</f>
        <v>-0.00104799999999999</v>
      </c>
      <c r="T30" s="37" t="n">
        <f aca="false">T27-(T23+T21)</f>
        <v>-0.001458</v>
      </c>
      <c r="U30" s="37" t="n">
        <f aca="false">U27-(U23+U21)</f>
        <v>-0.00188199999999999</v>
      </c>
      <c r="V30" s="37" t="n">
        <f aca="false">V27-(V23+V21)</f>
        <v>-0.002137</v>
      </c>
      <c r="W30" s="37" t="n">
        <f aca="false">W27-(W23+W21)</f>
        <v>-0.002396</v>
      </c>
      <c r="X30" s="37" t="n">
        <f aca="false">X27-(X23+X21)</f>
        <v>-0.00265699999999999</v>
      </c>
      <c r="Y30" s="37" t="n">
        <f aca="false">Y27-(Y23+Y21)</f>
        <v>-0.002913</v>
      </c>
      <c r="Z30" s="37" t="n">
        <f aca="false">Z27-(Z23+Z21)</f>
        <v>-0.003162</v>
      </c>
      <c r="AA30" s="37" t="n">
        <f aca="false">AA27-(AA23+AA21)</f>
        <v>-0.003396</v>
      </c>
      <c r="AB30" s="37" t="n">
        <f aca="false">AB27-(AB23+AB21)</f>
        <v>-0.003612</v>
      </c>
      <c r="AC30" s="37" t="n">
        <f aca="false">AC27-(AC23+AC21)</f>
        <v>-0.003805</v>
      </c>
      <c r="AD30" s="37" t="n">
        <f aca="false">AD27-(AD23+AD21)</f>
        <v>0.009279</v>
      </c>
      <c r="AE30" s="37" t="n">
        <f aca="false">AE27-(AE23+AE21)</f>
        <v>0.00934500000000001</v>
      </c>
    </row>
    <row r="31" customFormat="false" ht="15" hidden="false" customHeight="true" outlineLevel="0" collapsed="false">
      <c r="A31" s="1" t="s">
        <v>486</v>
      </c>
      <c r="B31" s="1" t="n">
        <v>-0.00810357550949823</v>
      </c>
      <c r="C31" s="1" t="n">
        <v>-0.00712508374586318</v>
      </c>
      <c r="D31" s="1" t="n">
        <v>-0.00464416453377407</v>
      </c>
      <c r="E31" s="1" t="n">
        <v>-0.00230774994838922</v>
      </c>
      <c r="F31" s="1" t="n">
        <v>-0.000770684242514945</v>
      </c>
      <c r="G31" s="1" t="n">
        <v>0.000662544933734829</v>
      </c>
      <c r="H31" s="1" t="n">
        <v>0.00205504744847923</v>
      </c>
      <c r="I31" s="1" t="n">
        <v>0.00337716214571747</v>
      </c>
      <c r="J31" s="1" t="n">
        <v>0.00403791256730826</v>
      </c>
      <c r="K31" s="1" t="n">
        <v>0.00404784789963875</v>
      </c>
      <c r="L31" s="1" t="n">
        <v>0.00401939021696301</v>
      </c>
      <c r="M31" s="1" t="n">
        <v>0.00395964851656546</v>
      </c>
      <c r="N31" s="1" t="n">
        <v>0.00403819474217619</v>
      </c>
      <c r="O31" s="1" t="n">
        <v>0.00425976748960682</v>
      </c>
      <c r="P31" s="1" t="n">
        <v>0.00446450767078138</v>
      </c>
      <c r="Q31" s="1" t="n">
        <v>0.00465559633325645</v>
      </c>
      <c r="R31" s="1" t="n">
        <v>0.00483558471160434</v>
      </c>
      <c r="S31" s="1" t="n">
        <v>0.00500659108270894</v>
      </c>
      <c r="T31" s="1" t="n">
        <v>0.00517034338608932</v>
      </c>
      <c r="U31" s="1" t="n">
        <v>0.00532820596927482</v>
      </c>
      <c r="V31" s="1" t="n">
        <v>0.00534133327291921</v>
      </c>
      <c r="W31" s="1" t="n">
        <v>0.0053506427950382</v>
      </c>
      <c r="X31" s="1" t="n">
        <v>0.00535688426867824</v>
      </c>
      <c r="Y31" s="1" t="n">
        <v>0.00536066664674846</v>
      </c>
      <c r="Z31" s="1" t="n">
        <v>0.00536248420387767</v>
      </c>
      <c r="AA31" s="1" t="n">
        <v>0.0053627378299137</v>
      </c>
      <c r="AB31" s="1" t="n">
        <v>0.00536175239551479</v>
      </c>
      <c r="AC31" s="1" t="n">
        <v>0.00535979091047141</v>
      </c>
      <c r="AD31" s="1" t="n">
        <v>0.00535706606413363</v>
      </c>
      <c r="AE31" s="1" t="n">
        <v>0.00535374962967222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2" t="s">
        <v>487</v>
      </c>
    </row>
    <row r="2" customFormat="false" ht="15" hidden="false" customHeight="true" outlineLevel="0" collapsed="false">
      <c r="A2" s="3" t="s">
        <v>488</v>
      </c>
    </row>
    <row r="4" customFormat="false" ht="15" hidden="false" customHeight="true" outlineLevel="0" collapsed="false">
      <c r="A4" s="4" t="s">
        <v>489</v>
      </c>
    </row>
    <row r="6" customFormat="false" ht="15" hidden="false" customHeight="true" outlineLevel="0" collapsed="false">
      <c r="A6" s="23" t="s">
        <v>490</v>
      </c>
      <c r="B6" s="38" t="s">
        <v>491</v>
      </c>
      <c r="C6" s="38" t="s">
        <v>492</v>
      </c>
      <c r="D6" s="38" t="s">
        <v>493</v>
      </c>
      <c r="E6" s="38" t="s">
        <v>494</v>
      </c>
      <c r="F6" s="38" t="s">
        <v>495</v>
      </c>
      <c r="G6" s="38" t="s">
        <v>496</v>
      </c>
      <c r="H6" s="38" t="s">
        <v>497</v>
      </c>
      <c r="I6" s="38" t="s">
        <v>498</v>
      </c>
      <c r="J6" s="38" t="s">
        <v>499</v>
      </c>
    </row>
    <row r="7" customFormat="false" ht="15" hidden="false" customHeight="true" outlineLevel="0" collapsed="false">
      <c r="A7" s="39" t="s">
        <v>179</v>
      </c>
      <c r="B7" s="12" t="n">
        <f aca="false">IFERROR(-INDEX(rep_capex,MATCH(A7,rep_years_cf,0)),0)</f>
        <v>0</v>
      </c>
      <c r="C7" s="32" t="n">
        <f aca="false">INDEX(md_deflator_ppe,MATCH(A7,md_years_bea,0))</f>
        <v>1.31248888098203</v>
      </c>
      <c r="D7" s="12" t="n">
        <f aca="false">B7*C7</f>
        <v>0</v>
      </c>
      <c r="E7" s="5" t="n">
        <f aca="false">in_anchor_year-A7</f>
        <v>37</v>
      </c>
      <c r="F7" s="5" t="n">
        <f aca="false">IF(E7&lt;in_ppe_life,1,0)</f>
        <v>0</v>
      </c>
      <c r="G7" s="40" t="n">
        <f aca="false">MAX(0,(in_ppe_life-E7)/in_ppe_life)</f>
        <v>0</v>
      </c>
      <c r="H7" s="12" t="n">
        <f aca="false">D7*F7</f>
        <v>0</v>
      </c>
      <c r="I7" s="12" t="n">
        <f aca="false">D7*G7</f>
        <v>0</v>
      </c>
      <c r="J7" s="5" t="n">
        <f aca="false">VALUE(A7)</f>
        <v>1989</v>
      </c>
    </row>
    <row r="8" customFormat="false" ht="15" hidden="false" customHeight="true" outlineLevel="0" collapsed="false">
      <c r="A8" s="39" t="s">
        <v>180</v>
      </c>
      <c r="B8" s="12" t="n">
        <f aca="false">IFERROR(-INDEX(rep_capex,MATCH(A8,rep_years_cf,0)),0)</f>
        <v>158.1</v>
      </c>
      <c r="C8" s="32" t="n">
        <f aca="false">INDEX(md_deflator_ppe,MATCH(A8,md_years_bea,0))</f>
        <v>1.28490099818215</v>
      </c>
      <c r="D8" s="12" t="n">
        <f aca="false">B8*C8</f>
        <v>203.142847812599</v>
      </c>
      <c r="E8" s="5" t="n">
        <f aca="false">in_anchor_year-A8</f>
        <v>36</v>
      </c>
      <c r="F8" s="5" t="n">
        <f aca="false">IF(E8&lt;in_ppe_life,1,0)</f>
        <v>0</v>
      </c>
      <c r="G8" s="40" t="n">
        <f aca="false">MAX(0,(in_ppe_life-E8)/in_ppe_life)</f>
        <v>0</v>
      </c>
      <c r="H8" s="12" t="n">
        <f aca="false">D8*F8</f>
        <v>0</v>
      </c>
      <c r="I8" s="12" t="n">
        <f aca="false">D8*G8</f>
        <v>0</v>
      </c>
      <c r="J8" s="5" t="n">
        <f aca="false">VALUE(A8)</f>
        <v>1990</v>
      </c>
    </row>
    <row r="9" customFormat="false" ht="15" hidden="false" customHeight="true" outlineLevel="0" collapsed="false">
      <c r="A9" s="39" t="s">
        <v>181</v>
      </c>
      <c r="B9" s="12" t="n">
        <f aca="false">IFERROR(-INDEX(rep_capex,MATCH(A9,rep_years_cf,0)),0)</f>
        <v>264.4</v>
      </c>
      <c r="C9" s="32" t="n">
        <f aca="false">INDEX(md_deflator_ppe,MATCH(A9,md_years_bea,0))</f>
        <v>1.26103027583702</v>
      </c>
      <c r="D9" s="12" t="n">
        <f aca="false">B9*C9</f>
        <v>333.416404931308</v>
      </c>
      <c r="E9" s="5" t="n">
        <f aca="false">in_anchor_year-A9</f>
        <v>35</v>
      </c>
      <c r="F9" s="5" t="n">
        <f aca="false">IF(E9&lt;in_ppe_life,1,0)</f>
        <v>0</v>
      </c>
      <c r="G9" s="40" t="n">
        <f aca="false">MAX(0,(in_ppe_life-E9)/in_ppe_life)</f>
        <v>0</v>
      </c>
      <c r="H9" s="12" t="n">
        <f aca="false">D9*F9</f>
        <v>0</v>
      </c>
      <c r="I9" s="12" t="n">
        <f aca="false">D9*G9</f>
        <v>0</v>
      </c>
      <c r="J9" s="5" t="n">
        <f aca="false">VALUE(A9)</f>
        <v>1991</v>
      </c>
    </row>
    <row r="10" customFormat="false" ht="15" hidden="false" customHeight="true" outlineLevel="0" collapsed="false">
      <c r="A10" s="39" t="s">
        <v>182</v>
      </c>
      <c r="B10" s="12" t="n">
        <f aca="false">IFERROR(-INDEX(rep_capex,MATCH(A10,rep_years_cf,0)),0)</f>
        <v>316.6</v>
      </c>
      <c r="C10" s="32" t="n">
        <f aca="false">INDEX(md_deflator_ppe,MATCH(A10,md_years_bea,0))</f>
        <v>1.26516613076099</v>
      </c>
      <c r="D10" s="12" t="n">
        <f aca="false">B10*C10</f>
        <v>400.551596998928</v>
      </c>
      <c r="E10" s="5" t="n">
        <f aca="false">in_anchor_year-A10</f>
        <v>34</v>
      </c>
      <c r="F10" s="5" t="n">
        <f aca="false">IF(E10&lt;in_ppe_life,1,0)</f>
        <v>0</v>
      </c>
      <c r="G10" s="40" t="n">
        <f aca="false">MAX(0,(in_ppe_life-E10)/in_ppe_life)</f>
        <v>0</v>
      </c>
      <c r="H10" s="12" t="n">
        <f aca="false">D10*F10</f>
        <v>0</v>
      </c>
      <c r="I10" s="12" t="n">
        <f aca="false">D10*G10</f>
        <v>0</v>
      </c>
      <c r="J10" s="5" t="n">
        <f aca="false">VALUE(A10)</f>
        <v>1992</v>
      </c>
    </row>
    <row r="11" customFormat="false" ht="15" hidden="false" customHeight="true" outlineLevel="0" collapsed="false">
      <c r="A11" s="39" t="s">
        <v>183</v>
      </c>
      <c r="B11" s="12" t="n">
        <f aca="false">IFERROR(-INDEX(rep_capex,MATCH(A11,rep_years_cf,0)),0)</f>
        <v>236</v>
      </c>
      <c r="C11" s="32" t="n">
        <f aca="false">INDEX(md_deflator_ppe,MATCH(A11,md_years_bea,0))</f>
        <v>1.26244639094769</v>
      </c>
      <c r="D11" s="12" t="n">
        <f aca="false">B11*C11</f>
        <v>297.937348263655</v>
      </c>
      <c r="E11" s="5" t="n">
        <f aca="false">in_anchor_year-A11</f>
        <v>33</v>
      </c>
      <c r="F11" s="5" t="n">
        <f aca="false">IF(E11&lt;in_ppe_life,1,0)</f>
        <v>0</v>
      </c>
      <c r="G11" s="40" t="n">
        <f aca="false">MAX(0,(in_ppe_life-E11)/in_ppe_life)</f>
        <v>0</v>
      </c>
      <c r="H11" s="12" t="n">
        <f aca="false">D11*F11</f>
        <v>0</v>
      </c>
      <c r="I11" s="12" t="n">
        <f aca="false">D11*G11</f>
        <v>0</v>
      </c>
      <c r="J11" s="5" t="n">
        <f aca="false">VALUE(A11)</f>
        <v>1993</v>
      </c>
    </row>
    <row r="12" customFormat="false" ht="15" hidden="false" customHeight="true" outlineLevel="0" collapsed="false">
      <c r="A12" s="39" t="s">
        <v>184</v>
      </c>
      <c r="B12" s="12" t="n">
        <f aca="false">IFERROR(-INDEX(rep_capex,MATCH(A12,rep_years_cf,0)),0)</f>
        <v>278</v>
      </c>
      <c r="C12" s="32" t="n">
        <f aca="false">INDEX(md_deflator_ppe,MATCH(A12,md_years_bea,0))</f>
        <v>1.25257327192852</v>
      </c>
      <c r="D12" s="12" t="n">
        <f aca="false">B12*C12</f>
        <v>348.215369596129</v>
      </c>
      <c r="E12" s="5" t="n">
        <f aca="false">in_anchor_year-A12</f>
        <v>32</v>
      </c>
      <c r="F12" s="5" t="n">
        <f aca="false">IF(E12&lt;in_ppe_life,1,0)</f>
        <v>0</v>
      </c>
      <c r="G12" s="40" t="n">
        <f aca="false">MAX(0,(in_ppe_life-E12)/in_ppe_life)</f>
        <v>0</v>
      </c>
      <c r="H12" s="12" t="n">
        <f aca="false">D12*F12</f>
        <v>0</v>
      </c>
      <c r="I12" s="12" t="n">
        <f aca="false">D12*G12</f>
        <v>0</v>
      </c>
      <c r="J12" s="5" t="n">
        <f aca="false">VALUE(A12)</f>
        <v>1994</v>
      </c>
    </row>
    <row r="13" customFormat="false" ht="15" hidden="false" customHeight="true" outlineLevel="0" collapsed="false">
      <c r="A13" s="39" t="s">
        <v>185</v>
      </c>
      <c r="B13" s="12" t="n">
        <f aca="false">IFERROR(-INDEX(rep_capex,MATCH(A13,rep_years_cf,0)),0)</f>
        <v>495</v>
      </c>
      <c r="C13" s="32" t="n">
        <f aca="false">INDEX(md_deflator_ppe,MATCH(A13,md_years_bea,0))</f>
        <v>1.24021559830631</v>
      </c>
      <c r="D13" s="12" t="n">
        <f aca="false">B13*C13</f>
        <v>613.906721161625</v>
      </c>
      <c r="E13" s="5" t="n">
        <f aca="false">in_anchor_year-A13</f>
        <v>31</v>
      </c>
      <c r="F13" s="5" t="n">
        <f aca="false">IF(E13&lt;in_ppe_life,1,0)</f>
        <v>0</v>
      </c>
      <c r="G13" s="40" t="n">
        <f aca="false">MAX(0,(in_ppe_life-E13)/in_ppe_life)</f>
        <v>0</v>
      </c>
      <c r="H13" s="12" t="n">
        <f aca="false">D13*F13</f>
        <v>0</v>
      </c>
      <c r="I13" s="12" t="n">
        <f aca="false">D13*G13</f>
        <v>0</v>
      </c>
      <c r="J13" s="5" t="n">
        <f aca="false">VALUE(A13)</f>
        <v>1995</v>
      </c>
    </row>
    <row r="14" customFormat="false" ht="15" hidden="false" customHeight="true" outlineLevel="0" collapsed="false">
      <c r="A14" s="39" t="s">
        <v>186</v>
      </c>
      <c r="B14" s="12" t="n">
        <f aca="false">IFERROR(-INDEX(rep_capex,MATCH(A14,rep_years_cf,0)),0)</f>
        <v>494</v>
      </c>
      <c r="C14" s="32" t="n">
        <f aca="false">INDEX(md_deflator_ppe,MATCH(A14,md_years_bea,0))</f>
        <v>1.24779331705409</v>
      </c>
      <c r="D14" s="12" t="n">
        <f aca="false">B14*C14</f>
        <v>616.409898624721</v>
      </c>
      <c r="E14" s="5" t="n">
        <f aca="false">in_anchor_year-A14</f>
        <v>30</v>
      </c>
      <c r="F14" s="5" t="n">
        <f aca="false">IF(E14&lt;in_ppe_life,1,0)</f>
        <v>0</v>
      </c>
      <c r="G14" s="40" t="n">
        <f aca="false">MAX(0,(in_ppe_life-E14)/in_ppe_life)</f>
        <v>0</v>
      </c>
      <c r="H14" s="12" t="n">
        <f aca="false">D14*F14</f>
        <v>0</v>
      </c>
      <c r="I14" s="12" t="n">
        <f aca="false">D14*G14</f>
        <v>0</v>
      </c>
      <c r="J14" s="5" t="n">
        <f aca="false">VALUE(A14)</f>
        <v>1996</v>
      </c>
    </row>
    <row r="15" customFormat="false" ht="15" hidden="false" customHeight="true" outlineLevel="0" collapsed="false">
      <c r="A15" s="39" t="s">
        <v>187</v>
      </c>
      <c r="B15" s="12" t="n">
        <f aca="false">IFERROR(-INDEX(rep_capex,MATCH(A15,rep_years_cf,0)),0)</f>
        <v>499</v>
      </c>
      <c r="C15" s="32" t="n">
        <f aca="false">INDEX(md_deflator_ppe,MATCH(A15,md_years_bea,0))</f>
        <v>1.25481024768789</v>
      </c>
      <c r="D15" s="12" t="n">
        <f aca="false">B15*C15</f>
        <v>626.150313596258</v>
      </c>
      <c r="E15" s="5" t="n">
        <f aca="false">in_anchor_year-A15</f>
        <v>29</v>
      </c>
      <c r="F15" s="5" t="n">
        <f aca="false">IF(E15&lt;in_ppe_life,1,0)</f>
        <v>0</v>
      </c>
      <c r="G15" s="40" t="n">
        <f aca="false">MAX(0,(in_ppe_life-E15)/in_ppe_life)</f>
        <v>0</v>
      </c>
      <c r="H15" s="12" t="n">
        <f aca="false">D15*F15</f>
        <v>0</v>
      </c>
      <c r="I15" s="12" t="n">
        <f aca="false">D15*G15</f>
        <v>0</v>
      </c>
      <c r="J15" s="5" t="n">
        <f aca="false">VALUE(A15)</f>
        <v>1997</v>
      </c>
    </row>
    <row r="16" customFormat="false" ht="15" hidden="false" customHeight="true" outlineLevel="0" collapsed="false">
      <c r="A16" s="39" t="s">
        <v>188</v>
      </c>
      <c r="B16" s="12" t="n">
        <f aca="false">IFERROR(-INDEX(rep_capex,MATCH(A16,rep_years_cf,0)),0)</f>
        <v>656</v>
      </c>
      <c r="C16" s="32" t="n">
        <f aca="false">INDEX(md_deflator_ppe,MATCH(A16,md_years_bea,0))</f>
        <v>1.27481262284813</v>
      </c>
      <c r="D16" s="12" t="n">
        <f aca="false">B16*C16</f>
        <v>836.277080588375</v>
      </c>
      <c r="E16" s="5" t="n">
        <f aca="false">in_anchor_year-A16</f>
        <v>28</v>
      </c>
      <c r="F16" s="5" t="n">
        <f aca="false">IF(E16&lt;in_ppe_life,1,0)</f>
        <v>0</v>
      </c>
      <c r="G16" s="40" t="n">
        <f aca="false">MAX(0,(in_ppe_life-E16)/in_ppe_life)</f>
        <v>0</v>
      </c>
      <c r="H16" s="12" t="n">
        <f aca="false">D16*F16</f>
        <v>0</v>
      </c>
      <c r="I16" s="12" t="n">
        <f aca="false">D16*G16</f>
        <v>0</v>
      </c>
      <c r="J16" s="5" t="n">
        <f aca="false">VALUE(A16)</f>
        <v>1998</v>
      </c>
    </row>
    <row r="17" customFormat="false" ht="15" hidden="false" customHeight="true" outlineLevel="0" collapsed="false">
      <c r="A17" s="39" t="s">
        <v>189</v>
      </c>
      <c r="B17" s="12" t="n">
        <f aca="false">IFERROR(-INDEX(rep_capex,MATCH(A17,rep_years_cf,0)),0)</f>
        <v>583</v>
      </c>
      <c r="C17" s="32" t="n">
        <f aca="false">INDEX(md_deflator_ppe,MATCH(A17,md_years_bea,0))</f>
        <v>1.28771845613423</v>
      </c>
      <c r="D17" s="12" t="n">
        <f aca="false">B17*C17</f>
        <v>750.739859926254</v>
      </c>
      <c r="E17" s="5" t="n">
        <f aca="false">in_anchor_year-A17</f>
        <v>27</v>
      </c>
      <c r="F17" s="5" t="n">
        <f aca="false">IF(E17&lt;in_ppe_life,1,0)</f>
        <v>0</v>
      </c>
      <c r="G17" s="40" t="n">
        <f aca="false">MAX(0,(in_ppe_life-E17)/in_ppe_life)</f>
        <v>0</v>
      </c>
      <c r="H17" s="12" t="n">
        <f aca="false">D17*F17</f>
        <v>0</v>
      </c>
      <c r="I17" s="12" t="n">
        <f aca="false">D17*G17</f>
        <v>0</v>
      </c>
      <c r="J17" s="5" t="n">
        <f aca="false">VALUE(A17)</f>
        <v>1999</v>
      </c>
    </row>
    <row r="18" customFormat="false" ht="15" hidden="false" customHeight="true" outlineLevel="0" collapsed="false">
      <c r="A18" s="39" t="s">
        <v>190</v>
      </c>
      <c r="B18" s="12" t="n">
        <f aca="false">IFERROR(-INDEX(rep_capex,MATCH(A18,rep_years_cf,0)),0)</f>
        <v>879</v>
      </c>
      <c r="C18" s="32" t="n">
        <f aca="false">INDEX(md_deflator_ppe,MATCH(A18,md_years_bea,0))</f>
        <v>1.28210976788643</v>
      </c>
      <c r="D18" s="12" t="n">
        <f aca="false">B18*C18</f>
        <v>1126.97448597217</v>
      </c>
      <c r="E18" s="5" t="n">
        <f aca="false">in_anchor_year-A18</f>
        <v>26</v>
      </c>
      <c r="F18" s="5" t="n">
        <f aca="false">IF(E18&lt;in_ppe_life,1,0)</f>
        <v>0</v>
      </c>
      <c r="G18" s="40" t="n">
        <f aca="false">MAX(0,(in_ppe_life-E18)/in_ppe_life)</f>
        <v>0</v>
      </c>
      <c r="H18" s="12" t="n">
        <f aca="false">D18*F18</f>
        <v>0</v>
      </c>
      <c r="I18" s="12" t="n">
        <f aca="false">D18*G18</f>
        <v>0</v>
      </c>
      <c r="J18" s="5" t="n">
        <f aca="false">VALUE(A18)</f>
        <v>2000</v>
      </c>
    </row>
    <row r="19" customFormat="false" ht="15" hidden="false" customHeight="true" outlineLevel="0" collapsed="false">
      <c r="A19" s="39" t="s">
        <v>191</v>
      </c>
      <c r="B19" s="12" t="n">
        <f aca="false">IFERROR(-INDEX(rep_capex,MATCH(A19,rep_years_cf,0)),0)</f>
        <v>1103</v>
      </c>
      <c r="C19" s="32" t="n">
        <f aca="false">INDEX(md_deflator_ppe,MATCH(A19,md_years_bea,0))</f>
        <v>1.28726907893302</v>
      </c>
      <c r="D19" s="12" t="n">
        <f aca="false">B19*C19</f>
        <v>1419.85779406312</v>
      </c>
      <c r="E19" s="5" t="n">
        <f aca="false">in_anchor_year-A19</f>
        <v>25</v>
      </c>
      <c r="F19" s="5" t="n">
        <f aca="false">IF(E19&lt;in_ppe_life,1,0)</f>
        <v>0</v>
      </c>
      <c r="G19" s="40" t="n">
        <f aca="false">MAX(0,(in_ppe_life-E19)/in_ppe_life)</f>
        <v>0</v>
      </c>
      <c r="H19" s="12" t="n">
        <f aca="false">D19*F19</f>
        <v>0</v>
      </c>
      <c r="I19" s="12" t="n">
        <f aca="false">D19*G19</f>
        <v>0</v>
      </c>
      <c r="J19" s="5" t="n">
        <f aca="false">VALUE(A19)</f>
        <v>2001</v>
      </c>
    </row>
    <row r="20" customFormat="false" ht="15" hidden="false" customHeight="true" outlineLevel="0" collapsed="false">
      <c r="A20" s="39" t="s">
        <v>192</v>
      </c>
      <c r="B20" s="12" t="n">
        <f aca="false">IFERROR(-INDEX(rep_capex,MATCH(A20,rep_years_cf,0)),0)</f>
        <v>770</v>
      </c>
      <c r="C20" s="32" t="n">
        <f aca="false">INDEX(md_deflator_ppe,MATCH(A20,md_years_bea,0))</f>
        <v>1.29402865631064</v>
      </c>
      <c r="D20" s="12" t="n">
        <f aca="false">B20*C20</f>
        <v>996.402065359191</v>
      </c>
      <c r="E20" s="5" t="n">
        <f aca="false">in_anchor_year-A20</f>
        <v>24</v>
      </c>
      <c r="F20" s="5" t="n">
        <f aca="false">IF(E20&lt;in_ppe_life,1,0)</f>
        <v>0</v>
      </c>
      <c r="G20" s="40" t="n">
        <f aca="false">MAX(0,(in_ppe_life-E20)/in_ppe_life)</f>
        <v>0</v>
      </c>
      <c r="H20" s="12" t="n">
        <f aca="false">D20*F20</f>
        <v>0</v>
      </c>
      <c r="I20" s="12" t="n">
        <f aca="false">D20*G20</f>
        <v>0</v>
      </c>
      <c r="J20" s="5" t="n">
        <f aca="false">VALUE(A20)</f>
        <v>2002</v>
      </c>
    </row>
    <row r="21" customFormat="false" ht="15" hidden="false" customHeight="true" outlineLevel="0" collapsed="false">
      <c r="A21" s="39" t="s">
        <v>193</v>
      </c>
      <c r="B21" s="12" t="n">
        <f aca="false">IFERROR(-INDEX(rep_capex,MATCH(A21,rep_years_cf,0)),0)</f>
        <v>891</v>
      </c>
      <c r="C21" s="32" t="n">
        <f aca="false">INDEX(md_deflator_ppe,MATCH(A21,md_years_bea,0))</f>
        <v>1.30407883689072</v>
      </c>
      <c r="D21" s="12" t="n">
        <f aca="false">B21*C21</f>
        <v>1161.93424366963</v>
      </c>
      <c r="E21" s="5" t="n">
        <f aca="false">in_anchor_year-A21</f>
        <v>23</v>
      </c>
      <c r="F21" s="5" t="n">
        <f aca="false">IF(E21&lt;in_ppe_life,1,0)</f>
        <v>0</v>
      </c>
      <c r="G21" s="40" t="n">
        <f aca="false">MAX(0,(in_ppe_life-E21)/in_ppe_life)</f>
        <v>0</v>
      </c>
      <c r="H21" s="12" t="n">
        <f aca="false">D21*F21</f>
        <v>0</v>
      </c>
      <c r="I21" s="12" t="n">
        <f aca="false">D21*G21</f>
        <v>0</v>
      </c>
      <c r="J21" s="5" t="n">
        <f aca="false">VALUE(A21)</f>
        <v>2003</v>
      </c>
    </row>
    <row r="22" customFormat="false" ht="15" hidden="false" customHeight="true" outlineLevel="0" collapsed="false">
      <c r="A22" s="39" t="s">
        <v>194</v>
      </c>
      <c r="B22" s="12" t="n">
        <f aca="false">IFERROR(-INDEX(rep_capex,MATCH(A22,rep_years_cf,0)),0)</f>
        <v>1109</v>
      </c>
      <c r="C22" s="32" t="n">
        <f aca="false">INDEX(md_deflator_ppe,MATCH(A22,md_years_bea,0))</f>
        <v>1.29132480035007</v>
      </c>
      <c r="D22" s="12" t="n">
        <f aca="false">B22*C22</f>
        <v>1432.07920358823</v>
      </c>
      <c r="E22" s="5" t="n">
        <f aca="false">in_anchor_year-A22</f>
        <v>22</v>
      </c>
      <c r="F22" s="5" t="n">
        <f aca="false">IF(E22&lt;in_ppe_life,1,0)</f>
        <v>0</v>
      </c>
      <c r="G22" s="40" t="n">
        <f aca="false">MAX(0,(in_ppe_life-E22)/in_ppe_life)</f>
        <v>0</v>
      </c>
      <c r="H22" s="12" t="n">
        <f aca="false">D22*F22</f>
        <v>0</v>
      </c>
      <c r="I22" s="12" t="n">
        <f aca="false">D22*G22</f>
        <v>0</v>
      </c>
      <c r="J22" s="5" t="n">
        <f aca="false">VALUE(A22)</f>
        <v>2004</v>
      </c>
    </row>
    <row r="23" customFormat="false" ht="15" hidden="false" customHeight="true" outlineLevel="0" collapsed="false">
      <c r="A23" s="39" t="s">
        <v>195</v>
      </c>
      <c r="B23" s="12" t="n">
        <f aca="false">IFERROR(-INDEX(rep_capex,MATCH(A23,rep_years_cf,0)),0)</f>
        <v>812</v>
      </c>
      <c r="C23" s="32" t="n">
        <f aca="false">INDEX(md_deflator_ppe,MATCH(A23,md_years_bea,0))</f>
        <v>1.25869055235658</v>
      </c>
      <c r="D23" s="12" t="n">
        <f aca="false">B23*C23</f>
        <v>1022.05672851354</v>
      </c>
      <c r="E23" s="5" t="n">
        <f aca="false">in_anchor_year-A23</f>
        <v>21</v>
      </c>
      <c r="F23" s="5" t="n">
        <f aca="false">IF(E23&lt;in_ppe_life,1,0)</f>
        <v>0</v>
      </c>
      <c r="G23" s="40" t="n">
        <f aca="false">MAX(0,(in_ppe_life-E23)/in_ppe_life)</f>
        <v>0</v>
      </c>
      <c r="H23" s="12" t="n">
        <f aca="false">D23*F23</f>
        <v>0</v>
      </c>
      <c r="I23" s="12" t="n">
        <f aca="false">D23*G23</f>
        <v>0</v>
      </c>
      <c r="J23" s="5" t="n">
        <f aca="false">VALUE(A23)</f>
        <v>2005</v>
      </c>
    </row>
    <row r="24" customFormat="false" ht="15" hidden="false" customHeight="true" outlineLevel="0" collapsed="false">
      <c r="A24" s="39" t="s">
        <v>196</v>
      </c>
      <c r="B24" s="12" t="n">
        <f aca="false">IFERROR(-INDEX(rep_capex,MATCH(A24,rep_years_cf,0)),0)</f>
        <v>1578</v>
      </c>
      <c r="C24" s="32" t="n">
        <f aca="false">INDEX(md_deflator_ppe,MATCH(A24,md_years_bea,0))</f>
        <v>1.22873857556263</v>
      </c>
      <c r="D24" s="12" t="n">
        <f aca="false">B24*C24</f>
        <v>1938.94947223784</v>
      </c>
      <c r="E24" s="5" t="n">
        <f aca="false">in_anchor_year-A24</f>
        <v>20</v>
      </c>
      <c r="F24" s="5" t="n">
        <f aca="false">IF(E24&lt;in_ppe_life,1,0)</f>
        <v>0</v>
      </c>
      <c r="G24" s="40" t="n">
        <f aca="false">MAX(0,(in_ppe_life-E24)/in_ppe_life)</f>
        <v>0</v>
      </c>
      <c r="H24" s="12" t="n">
        <f aca="false">D24*F24</f>
        <v>0</v>
      </c>
      <c r="I24" s="12" t="n">
        <f aca="false">D24*G24</f>
        <v>0</v>
      </c>
      <c r="J24" s="5" t="n">
        <f aca="false">VALUE(A24)</f>
        <v>2006</v>
      </c>
    </row>
    <row r="25" customFormat="false" ht="15" hidden="false" customHeight="true" outlineLevel="0" collapsed="false">
      <c r="A25" s="39" t="s">
        <v>197</v>
      </c>
      <c r="B25" s="12" t="n">
        <f aca="false">IFERROR(-INDEX(rep_capex,MATCH(A25,rep_years_cf,0)),0)</f>
        <v>2264</v>
      </c>
      <c r="C25" s="32" t="n">
        <f aca="false">INDEX(md_deflator_ppe,MATCH(A25,md_years_bea,0))</f>
        <v>1.20916606058123</v>
      </c>
      <c r="D25" s="12" t="n">
        <f aca="false">B25*C25</f>
        <v>2737.5519611559</v>
      </c>
      <c r="E25" s="5" t="n">
        <f aca="false">in_anchor_year-A25</f>
        <v>19</v>
      </c>
      <c r="F25" s="5" t="n">
        <f aca="false">IF(E25&lt;in_ppe_life,1,0)</f>
        <v>0</v>
      </c>
      <c r="G25" s="40" t="n">
        <f aca="false">MAX(0,(in_ppe_life-E25)/in_ppe_life)</f>
        <v>0</v>
      </c>
      <c r="H25" s="12" t="n">
        <f aca="false">D25*F25</f>
        <v>0</v>
      </c>
      <c r="I25" s="12" t="n">
        <f aca="false">D25*G25</f>
        <v>0</v>
      </c>
      <c r="J25" s="5" t="n">
        <f aca="false">VALUE(A25)</f>
        <v>2007</v>
      </c>
    </row>
    <row r="26" customFormat="false" ht="15" hidden="false" customHeight="true" outlineLevel="0" collapsed="false">
      <c r="A26" s="39" t="s">
        <v>198</v>
      </c>
      <c r="B26" s="12" t="n">
        <f aca="false">IFERROR(-INDEX(rep_capex,MATCH(A26,rep_years_cf,0)),0)</f>
        <v>3182</v>
      </c>
      <c r="C26" s="32" t="n">
        <f aca="false">INDEX(md_deflator_ppe,MATCH(A26,md_years_bea,0))</f>
        <v>1.19073558487673</v>
      </c>
      <c r="D26" s="12" t="n">
        <f aca="false">B26*C26</f>
        <v>3788.92063107776</v>
      </c>
      <c r="E26" s="5" t="n">
        <f aca="false">in_anchor_year-A26</f>
        <v>18</v>
      </c>
      <c r="F26" s="5" t="n">
        <f aca="false">IF(E26&lt;in_ppe_life,1,0)</f>
        <v>0</v>
      </c>
      <c r="G26" s="40" t="n">
        <f aca="false">MAX(0,(in_ppe_life-E26)/in_ppe_life)</f>
        <v>0</v>
      </c>
      <c r="H26" s="12" t="n">
        <f aca="false">D26*F26</f>
        <v>0</v>
      </c>
      <c r="I26" s="12" t="n">
        <f aca="false">D26*G26</f>
        <v>0</v>
      </c>
      <c r="J26" s="5" t="n">
        <f aca="false">VALUE(A26)</f>
        <v>2008</v>
      </c>
    </row>
    <row r="27" customFormat="false" ht="15" hidden="false" customHeight="true" outlineLevel="0" collapsed="false">
      <c r="A27" s="39" t="s">
        <v>199</v>
      </c>
      <c r="B27" s="12" t="n">
        <f aca="false">IFERROR(-INDEX(rep_capex,MATCH(A27,rep_years_cf,0)),0)</f>
        <v>3119</v>
      </c>
      <c r="C27" s="32" t="n">
        <f aca="false">INDEX(md_deflator_ppe,MATCH(A27,md_years_bea,0))</f>
        <v>1.19852164730729</v>
      </c>
      <c r="D27" s="12" t="n">
        <f aca="false">B27*C27</f>
        <v>3738.18901795143</v>
      </c>
      <c r="E27" s="5" t="n">
        <f aca="false">in_anchor_year-A27</f>
        <v>17</v>
      </c>
      <c r="F27" s="5" t="n">
        <f aca="false">IF(E27&lt;in_ppe_life,1,0)</f>
        <v>0</v>
      </c>
      <c r="G27" s="40" t="n">
        <f aca="false">MAX(0,(in_ppe_life-E27)/in_ppe_life)</f>
        <v>0</v>
      </c>
      <c r="H27" s="12" t="n">
        <f aca="false">D27*F27</f>
        <v>0</v>
      </c>
      <c r="I27" s="12" t="n">
        <f aca="false">D27*G27</f>
        <v>0</v>
      </c>
      <c r="J27" s="5" t="n">
        <f aca="false">VALUE(A27)</f>
        <v>2009</v>
      </c>
    </row>
    <row r="28" customFormat="false" ht="15" hidden="false" customHeight="true" outlineLevel="0" collapsed="false">
      <c r="A28" s="39" t="s">
        <v>200</v>
      </c>
      <c r="B28" s="12" t="n">
        <f aca="false">IFERROR(-INDEX(rep_capex,MATCH(A28,rep_years_cf,0)),0)</f>
        <v>1977</v>
      </c>
      <c r="C28" s="32" t="n">
        <f aca="false">INDEX(md_deflator_ppe,MATCH(A28,md_years_bea,0))</f>
        <v>1.22074564351828</v>
      </c>
      <c r="D28" s="12" t="n">
        <f aca="false">B28*C28</f>
        <v>2413.41413723564</v>
      </c>
      <c r="E28" s="5" t="n">
        <f aca="false">in_anchor_year-A28</f>
        <v>16</v>
      </c>
      <c r="F28" s="5" t="n">
        <f aca="false">IF(E28&lt;in_ppe_life,1,0)</f>
        <v>0</v>
      </c>
      <c r="G28" s="40" t="n">
        <f aca="false">MAX(0,(in_ppe_life-E28)/in_ppe_life)</f>
        <v>0</v>
      </c>
      <c r="H28" s="12" t="n">
        <f aca="false">D28*F28</f>
        <v>0</v>
      </c>
      <c r="I28" s="12" t="n">
        <f aca="false">D28*G28</f>
        <v>0</v>
      </c>
      <c r="J28" s="5" t="n">
        <f aca="false">VALUE(A28)</f>
        <v>2010</v>
      </c>
    </row>
    <row r="29" customFormat="false" ht="15" hidden="false" customHeight="true" outlineLevel="0" collapsed="false">
      <c r="A29" s="39" t="s">
        <v>201</v>
      </c>
      <c r="B29" s="12" t="n">
        <f aca="false">IFERROR(-INDEX(rep_capex,MATCH(A29,rep_years_cf,0)),0)</f>
        <v>2355</v>
      </c>
      <c r="C29" s="32" t="n">
        <f aca="false">INDEX(md_deflator_ppe,MATCH(A29,md_years_bea,0))</f>
        <v>1.20749621506608</v>
      </c>
      <c r="D29" s="12" t="n">
        <f aca="false">B29*C29</f>
        <v>2843.65358648063</v>
      </c>
      <c r="E29" s="5" t="n">
        <f aca="false">in_anchor_year-A29</f>
        <v>15</v>
      </c>
      <c r="F29" s="5" t="n">
        <f aca="false">IF(E29&lt;in_ppe_life,1,0)</f>
        <v>0</v>
      </c>
      <c r="G29" s="40" t="n">
        <f aca="false">MAX(0,(in_ppe_life-E29)/in_ppe_life)</f>
        <v>0</v>
      </c>
      <c r="H29" s="12" t="n">
        <f aca="false">D29*F29</f>
        <v>0</v>
      </c>
      <c r="I29" s="12" t="n">
        <f aca="false">D29*G29</f>
        <v>0</v>
      </c>
      <c r="J29" s="5" t="n">
        <f aca="false">VALUE(A29)</f>
        <v>2011</v>
      </c>
    </row>
    <row r="30" customFormat="false" ht="15" hidden="false" customHeight="true" outlineLevel="0" collapsed="false">
      <c r="A30" s="39" t="s">
        <v>202</v>
      </c>
      <c r="B30" s="12" t="n">
        <f aca="false">IFERROR(-INDEX(rep_capex,MATCH(A30,rep_years_cf,0)),0)</f>
        <v>2305</v>
      </c>
      <c r="C30" s="32" t="n">
        <f aca="false">INDEX(md_deflator_ppe,MATCH(A30,md_years_bea,0))</f>
        <v>1.19075960859477</v>
      </c>
      <c r="D30" s="12" t="n">
        <f aca="false">B30*C30</f>
        <v>2744.70089781096</v>
      </c>
      <c r="E30" s="5" t="n">
        <f aca="false">in_anchor_year-A30</f>
        <v>14</v>
      </c>
      <c r="F30" s="5" t="n">
        <f aca="false">IF(E30&lt;in_ppe_life,1,0)</f>
        <v>0</v>
      </c>
      <c r="G30" s="40" t="n">
        <f aca="false">MAX(0,(in_ppe_life-E30)/in_ppe_life)</f>
        <v>0</v>
      </c>
      <c r="H30" s="12" t="n">
        <f aca="false">D30*F30</f>
        <v>0</v>
      </c>
      <c r="I30" s="12" t="n">
        <f aca="false">D30*G30</f>
        <v>0</v>
      </c>
      <c r="J30" s="5" t="n">
        <f aca="false">VALUE(A30)</f>
        <v>2012</v>
      </c>
    </row>
    <row r="31" customFormat="false" ht="15" hidden="false" customHeight="true" outlineLevel="0" collapsed="false">
      <c r="A31" s="39" t="s">
        <v>203</v>
      </c>
      <c r="B31" s="12" t="n">
        <f aca="false">IFERROR(-INDEX(rep_capex,MATCH(A31,rep_years_cf,0)),0)</f>
        <v>4257</v>
      </c>
      <c r="C31" s="32" t="n">
        <f aca="false">INDEX(md_deflator_ppe,MATCH(A31,md_years_bea,0))</f>
        <v>1.18957159701297</v>
      </c>
      <c r="D31" s="12" t="n">
        <f aca="false">B31*C31</f>
        <v>5064.00628848421</v>
      </c>
      <c r="E31" s="5" t="n">
        <f aca="false">in_anchor_year-A31</f>
        <v>13</v>
      </c>
      <c r="F31" s="5" t="n">
        <f aca="false">IF(E31&lt;in_ppe_life,1,0)</f>
        <v>0</v>
      </c>
      <c r="G31" s="40" t="n">
        <f aca="false">MAX(0,(in_ppe_life-E31)/in_ppe_life)</f>
        <v>0</v>
      </c>
      <c r="H31" s="12" t="n">
        <f aca="false">D31*F31</f>
        <v>0</v>
      </c>
      <c r="I31" s="12" t="n">
        <f aca="false">D31*G31</f>
        <v>0</v>
      </c>
      <c r="J31" s="5" t="n">
        <f aca="false">VALUE(A31)</f>
        <v>2013</v>
      </c>
    </row>
    <row r="32" customFormat="false" ht="15" hidden="false" customHeight="true" outlineLevel="0" collapsed="false">
      <c r="A32" s="39" t="s">
        <v>204</v>
      </c>
      <c r="B32" s="12" t="n">
        <f aca="false">IFERROR(-INDEX(rep_capex,MATCH(A32,rep_years_cf,0)),0)</f>
        <v>5485</v>
      </c>
      <c r="C32" s="32" t="n">
        <f aca="false">INDEX(md_deflator_ppe,MATCH(A32,md_years_bea,0))</f>
        <v>1.17840848965249</v>
      </c>
      <c r="D32" s="12" t="n">
        <f aca="false">B32*C32</f>
        <v>6463.57056574389</v>
      </c>
      <c r="E32" s="5" t="n">
        <f aca="false">in_anchor_year-A32</f>
        <v>12</v>
      </c>
      <c r="F32" s="5" t="n">
        <f aca="false">IF(E32&lt;in_ppe_life,1,0)</f>
        <v>0</v>
      </c>
      <c r="G32" s="40" t="n">
        <f aca="false">MAX(0,(in_ppe_life-E32)/in_ppe_life)</f>
        <v>0</v>
      </c>
      <c r="H32" s="12" t="n">
        <f aca="false">D32*F32</f>
        <v>0</v>
      </c>
      <c r="I32" s="12" t="n">
        <f aca="false">D32*G32</f>
        <v>0</v>
      </c>
      <c r="J32" s="5" t="n">
        <f aca="false">VALUE(A32)</f>
        <v>2014</v>
      </c>
    </row>
    <row r="33" customFormat="false" ht="15" hidden="false" customHeight="true" outlineLevel="0" collapsed="false">
      <c r="A33" s="39" t="s">
        <v>205</v>
      </c>
      <c r="B33" s="12" t="n">
        <f aca="false">IFERROR(-INDEX(rep_capex,MATCH(A33,rep_years_cf,0)),0)</f>
        <v>5944</v>
      </c>
      <c r="C33" s="32" t="n">
        <f aca="false">INDEX(md_deflator_ppe,MATCH(A33,md_years_bea,0))</f>
        <v>1.17634162140615</v>
      </c>
      <c r="D33" s="12" t="n">
        <f aca="false">B33*C33</f>
        <v>6992.17459763815</v>
      </c>
      <c r="E33" s="5" t="n">
        <f aca="false">in_anchor_year-A33</f>
        <v>11</v>
      </c>
      <c r="F33" s="5" t="n">
        <f aca="false">IF(E33&lt;in_ppe_life,1,0)</f>
        <v>0</v>
      </c>
      <c r="G33" s="40" t="n">
        <f aca="false">MAX(0,(in_ppe_life-E33)/in_ppe_life)</f>
        <v>0</v>
      </c>
      <c r="H33" s="12" t="n">
        <f aca="false">D33*F33</f>
        <v>0</v>
      </c>
      <c r="I33" s="12" t="n">
        <f aca="false">D33*G33</f>
        <v>0</v>
      </c>
      <c r="J33" s="5" t="n">
        <f aca="false">VALUE(A33)</f>
        <v>2015</v>
      </c>
    </row>
    <row r="34" customFormat="false" ht="15" hidden="false" customHeight="true" outlineLevel="0" collapsed="false">
      <c r="A34" s="39" t="s">
        <v>206</v>
      </c>
      <c r="B34" s="12" t="n">
        <f aca="false">IFERROR(-INDEX(rep_capex,MATCH(A34,rep_years_cf,0)),0)</f>
        <v>8343</v>
      </c>
      <c r="C34" s="32" t="n">
        <f aca="false">INDEX(md_deflator_ppe,MATCH(A34,md_years_bea,0))</f>
        <v>1.18776413765345</v>
      </c>
      <c r="D34" s="12" t="n">
        <f aca="false">B34*C34</f>
        <v>9909.51620044275</v>
      </c>
      <c r="E34" s="5" t="n">
        <f aca="false">in_anchor_year-A34</f>
        <v>10</v>
      </c>
      <c r="F34" s="5" t="n">
        <f aca="false">IF(E34&lt;in_ppe_life,1,0)</f>
        <v>1</v>
      </c>
      <c r="G34" s="40" t="n">
        <f aca="false">MAX(0,(in_ppe_life-E34)/in_ppe_life)</f>
        <v>0.0601503759398497</v>
      </c>
      <c r="H34" s="12" t="n">
        <f aca="false">D34*F34</f>
        <v>9909.51620044275</v>
      </c>
      <c r="I34" s="12" t="n">
        <f aca="false">D34*G34</f>
        <v>596.061124838662</v>
      </c>
      <c r="J34" s="5" t="n">
        <f aca="false">VALUE(A34)</f>
        <v>2016</v>
      </c>
    </row>
    <row r="35" customFormat="false" ht="15" hidden="false" customHeight="true" outlineLevel="0" collapsed="false">
      <c r="A35" s="39" t="s">
        <v>207</v>
      </c>
      <c r="B35" s="12" t="n">
        <f aca="false">IFERROR(-INDEX(rep_capex,MATCH(A35,rep_years_cf,0)),0)</f>
        <v>8129</v>
      </c>
      <c r="C35" s="32" t="n">
        <f aca="false">INDEX(md_deflator_ppe,MATCH(A35,md_years_bea,0))</f>
        <v>1.1804</v>
      </c>
      <c r="D35" s="12" t="n">
        <f aca="false">B35*C35</f>
        <v>9595.4716</v>
      </c>
      <c r="E35" s="5" t="n">
        <f aca="false">in_anchor_year-A35</f>
        <v>9</v>
      </c>
      <c r="F35" s="5" t="n">
        <f aca="false">IF(E35&lt;in_ppe_life,1,0)</f>
        <v>1</v>
      </c>
      <c r="G35" s="40" t="n">
        <f aca="false">MAX(0,(in_ppe_life-E35)/in_ppe_life)</f>
        <v>0.154135338345865</v>
      </c>
      <c r="H35" s="12" t="n">
        <f aca="false">D35*F35</f>
        <v>9595.4716</v>
      </c>
      <c r="I35" s="12" t="n">
        <f aca="false">D35*G35</f>
        <v>1479.00126165414</v>
      </c>
      <c r="J35" s="5" t="n">
        <f aca="false">VALUE(A35)</f>
        <v>2017</v>
      </c>
    </row>
    <row r="36" customFormat="false" ht="15" hidden="false" customHeight="true" outlineLevel="0" collapsed="false">
      <c r="A36" s="39" t="s">
        <v>208</v>
      </c>
      <c r="B36" s="12" t="n">
        <f aca="false">IFERROR(-INDEX(rep_capex,MATCH(A36,rep_years_cf,0)),0)</f>
        <v>11632</v>
      </c>
      <c r="C36" s="32" t="n">
        <f aca="false">INDEX(md_deflator_ppe,MATCH(A36,md_years_bea,0))</f>
        <v>1.17538112260647</v>
      </c>
      <c r="D36" s="12" t="n">
        <f aca="false">B36*C36</f>
        <v>13672.0332181585</v>
      </c>
      <c r="E36" s="5" t="n">
        <f aca="false">in_anchor_year-A36</f>
        <v>8</v>
      </c>
      <c r="F36" s="5" t="n">
        <f aca="false">IF(E36&lt;in_ppe_life,1,0)</f>
        <v>1</v>
      </c>
      <c r="G36" s="40" t="n">
        <f aca="false">MAX(0,(in_ppe_life-E36)/in_ppe_life)</f>
        <v>0.24812030075188</v>
      </c>
      <c r="H36" s="12" t="n">
        <f aca="false">D36*F36</f>
        <v>13672.0332181585</v>
      </c>
      <c r="I36" s="12" t="n">
        <f aca="false">D36*G36</f>
        <v>3392.30899397917</v>
      </c>
      <c r="J36" s="5" t="n">
        <f aca="false">VALUE(A36)</f>
        <v>2018</v>
      </c>
    </row>
    <row r="37" customFormat="false" ht="15" hidden="false" customHeight="true" outlineLevel="0" collapsed="false">
      <c r="A37" s="39" t="s">
        <v>209</v>
      </c>
      <c r="B37" s="12" t="n">
        <f aca="false">IFERROR(-INDEX(rep_capex,MATCH(A37,rep_years_cf,0)),0)</f>
        <v>13925</v>
      </c>
      <c r="C37" s="32" t="n">
        <f aca="false">INDEX(md_deflator_ppe,MATCH(A37,md_years_bea,0))</f>
        <v>1.16403368636964</v>
      </c>
      <c r="D37" s="12" t="n">
        <f aca="false">B37*C37</f>
        <v>16209.1690826973</v>
      </c>
      <c r="E37" s="5" t="n">
        <f aca="false">in_anchor_year-A37</f>
        <v>7</v>
      </c>
      <c r="F37" s="5" t="n">
        <f aca="false">IF(E37&lt;in_ppe_life,1,0)</f>
        <v>1</v>
      </c>
      <c r="G37" s="40" t="n">
        <f aca="false">MAX(0,(in_ppe_life-E37)/in_ppe_life)</f>
        <v>0.342105263157895</v>
      </c>
      <c r="H37" s="12" t="n">
        <f aca="false">D37*F37</f>
        <v>16209.1690826973</v>
      </c>
      <c r="I37" s="12" t="n">
        <f aca="false">D37*G37</f>
        <v>5545.24205460696</v>
      </c>
      <c r="J37" s="5" t="n">
        <f aca="false">VALUE(A37)</f>
        <v>2019</v>
      </c>
    </row>
    <row r="38" customFormat="false" ht="15" hidden="false" customHeight="true" outlineLevel="0" collapsed="false">
      <c r="A38" s="39" t="s">
        <v>210</v>
      </c>
      <c r="B38" s="12" t="n">
        <f aca="false">IFERROR(-INDEX(rep_capex,MATCH(A38,rep_years_cf,0)),0)</f>
        <v>15441</v>
      </c>
      <c r="C38" s="32" t="n">
        <f aca="false">INDEX(md_deflator_ppe,MATCH(A38,md_years_bea,0))</f>
        <v>1.1575953711876</v>
      </c>
      <c r="D38" s="12" t="n">
        <f aca="false">B38*C38</f>
        <v>17874.4301265078</v>
      </c>
      <c r="E38" s="5" t="n">
        <f aca="false">in_anchor_year-A38</f>
        <v>6</v>
      </c>
      <c r="F38" s="5" t="n">
        <f aca="false">IF(E38&lt;in_ppe_life,1,0)</f>
        <v>1</v>
      </c>
      <c r="G38" s="40" t="n">
        <f aca="false">MAX(0,(in_ppe_life-E38)/in_ppe_life)</f>
        <v>0.43609022556391</v>
      </c>
      <c r="H38" s="12" t="n">
        <f aca="false">D38*F38</f>
        <v>17874.4301265078</v>
      </c>
      <c r="I38" s="12" t="n">
        <f aca="false">D38*G38</f>
        <v>7794.86426569513</v>
      </c>
      <c r="J38" s="5" t="n">
        <f aca="false">VALUE(A38)</f>
        <v>2020</v>
      </c>
    </row>
    <row r="39" customFormat="false" ht="15" hidden="false" customHeight="true" outlineLevel="0" collapsed="false">
      <c r="A39" s="39" t="s">
        <v>211</v>
      </c>
      <c r="B39" s="12" t="n">
        <f aca="false">IFERROR(-INDEX(rep_capex,MATCH(A39,rep_years_cf,0)),0)</f>
        <v>20622</v>
      </c>
      <c r="C39" s="32" t="n">
        <f aca="false">INDEX(md_deflator_ppe,MATCH(A39,md_years_bea,0))</f>
        <v>1.14438616731461</v>
      </c>
      <c r="D39" s="12" t="n">
        <f aca="false">B39*C39</f>
        <v>23599.5315423619</v>
      </c>
      <c r="E39" s="5" t="n">
        <f aca="false">in_anchor_year-A39</f>
        <v>5</v>
      </c>
      <c r="F39" s="5" t="n">
        <f aca="false">IF(E39&lt;in_ppe_life,1,0)</f>
        <v>1</v>
      </c>
      <c r="G39" s="40" t="n">
        <f aca="false">MAX(0,(in_ppe_life-E39)/in_ppe_life)</f>
        <v>0.530075187969925</v>
      </c>
      <c r="H39" s="12" t="n">
        <f aca="false">D39*F39</f>
        <v>23599.5315423619</v>
      </c>
      <c r="I39" s="12" t="n">
        <f aca="false">D39*G39</f>
        <v>12509.5261183196</v>
      </c>
      <c r="J39" s="5" t="n">
        <f aca="false">VALUE(A39)</f>
        <v>2021</v>
      </c>
    </row>
    <row r="40" customFormat="false" ht="15" hidden="false" customHeight="true" outlineLevel="0" collapsed="false">
      <c r="A40" s="39" t="s">
        <v>212</v>
      </c>
      <c r="B40" s="12" t="n">
        <f aca="false">IFERROR(-INDEX(rep_capex,MATCH(A40,rep_years_cf,0)),0)</f>
        <v>23886</v>
      </c>
      <c r="C40" s="32" t="n">
        <f aca="false">INDEX(md_deflator_ppe,MATCH(A40,md_years_bea,0))</f>
        <v>1.07973619457937</v>
      </c>
      <c r="D40" s="12" t="n">
        <f aca="false">B40*C40</f>
        <v>25790.5787437227</v>
      </c>
      <c r="E40" s="5" t="n">
        <f aca="false">in_anchor_year-A40</f>
        <v>4</v>
      </c>
      <c r="F40" s="5" t="n">
        <f aca="false">IF(E40&lt;in_ppe_life,1,0)</f>
        <v>1</v>
      </c>
      <c r="G40" s="40" t="n">
        <f aca="false">MAX(0,(in_ppe_life-E40)/in_ppe_life)</f>
        <v>0.62406015037594</v>
      </c>
      <c r="H40" s="12" t="n">
        <f aca="false">D40*F40</f>
        <v>25790.5787437227</v>
      </c>
      <c r="I40" s="12" t="n">
        <f aca="false">D40*G40</f>
        <v>16094.8724490901</v>
      </c>
      <c r="J40" s="5" t="n">
        <f aca="false">VALUE(A40)</f>
        <v>2022</v>
      </c>
    </row>
    <row r="41" customFormat="false" ht="15" hidden="false" customHeight="true" outlineLevel="0" collapsed="false">
      <c r="A41" s="39" t="s">
        <v>213</v>
      </c>
      <c r="B41" s="12" t="n">
        <f aca="false">IFERROR(-INDEX(rep_capex,MATCH(A41,rep_years_cf,0)),0)</f>
        <v>28107</v>
      </c>
      <c r="C41" s="32" t="n">
        <f aca="false">INDEX(md_deflator_ppe,MATCH(A41,md_years_bea,0))</f>
        <v>1.04651884425452</v>
      </c>
      <c r="D41" s="12" t="n">
        <f aca="false">B41*C41</f>
        <v>29414.5051554618</v>
      </c>
      <c r="E41" s="5" t="n">
        <f aca="false">in_anchor_year-A41</f>
        <v>3</v>
      </c>
      <c r="F41" s="5" t="n">
        <f aca="false">IF(E41&lt;in_ppe_life,1,0)</f>
        <v>1</v>
      </c>
      <c r="G41" s="40" t="n">
        <f aca="false">MAX(0,(in_ppe_life-E41)/in_ppe_life)</f>
        <v>0.718045112781955</v>
      </c>
      <c r="H41" s="12" t="n">
        <f aca="false">D41*F41</f>
        <v>29414.5051554618</v>
      </c>
      <c r="I41" s="12" t="n">
        <f aca="false">D41*G41</f>
        <v>21120.9416717789</v>
      </c>
      <c r="J41" s="5" t="n">
        <f aca="false">VALUE(A41)</f>
        <v>2023</v>
      </c>
    </row>
    <row r="42" customFormat="false" ht="15" hidden="false" customHeight="true" outlineLevel="0" collapsed="false">
      <c r="A42" s="39" t="s">
        <v>214</v>
      </c>
      <c r="B42" s="12" t="n">
        <f aca="false">IFERROR(-INDEX(rep_capex,MATCH(A42,rep_years_cf,0)),0)</f>
        <v>44477</v>
      </c>
      <c r="C42" s="32" t="n">
        <f aca="false">INDEX(md_deflator_ppe,MATCH(A42,md_years_bea,0))</f>
        <v>1.03250411112277</v>
      </c>
      <c r="D42" s="12" t="n">
        <f aca="false">B42*C42</f>
        <v>45922.6853504076</v>
      </c>
      <c r="E42" s="5" t="n">
        <f aca="false">in_anchor_year-A42</f>
        <v>2</v>
      </c>
      <c r="F42" s="5" t="n">
        <f aca="false">IF(E42&lt;in_ppe_life,1,0)</f>
        <v>1</v>
      </c>
      <c r="G42" s="40" t="n">
        <f aca="false">MAX(0,(in_ppe_life-E42)/in_ppe_life)</f>
        <v>0.81203007518797</v>
      </c>
      <c r="H42" s="12" t="n">
        <f aca="false">D42*F42</f>
        <v>45922.6853504076</v>
      </c>
      <c r="I42" s="12" t="n">
        <f aca="false">D42*G42</f>
        <v>37290.601637925</v>
      </c>
      <c r="J42" s="5" t="n">
        <f aca="false">VALUE(A42)</f>
        <v>2024</v>
      </c>
    </row>
    <row r="43" customFormat="false" ht="15" hidden="false" customHeight="true" outlineLevel="0" collapsed="false">
      <c r="A43" s="39" t="s">
        <v>215</v>
      </c>
      <c r="B43" s="12" t="n">
        <f aca="false">IFERROR(-INDEX(rep_capex,MATCH(A43,rep_years_cf,0)),0)</f>
        <v>64551</v>
      </c>
      <c r="C43" s="32" t="n">
        <f aca="false">INDEX(md_deflator_ppe,MATCH(A43,md_years_bea,0))</f>
        <v>1.01724420238023</v>
      </c>
      <c r="D43" s="12" t="n">
        <f aca="false">B43*C43</f>
        <v>65664.1305078465</v>
      </c>
      <c r="E43" s="5" t="n">
        <f aca="false">in_anchor_year-A43</f>
        <v>1</v>
      </c>
      <c r="F43" s="5" t="n">
        <f aca="false">IF(E43&lt;in_ppe_life,1,0)</f>
        <v>1</v>
      </c>
      <c r="G43" s="40" t="n">
        <f aca="false">MAX(0,(in_ppe_life-E43)/in_ppe_life)</f>
        <v>0.906015037593985</v>
      </c>
      <c r="H43" s="12" t="n">
        <f aca="false">D43*F43</f>
        <v>65664.1305078465</v>
      </c>
      <c r="I43" s="12" t="n">
        <f aca="false">D43*G43</f>
        <v>59492.6896706429</v>
      </c>
      <c r="J43" s="5" t="n">
        <f aca="false">VALUE(A43)</f>
        <v>2025</v>
      </c>
    </row>
    <row r="45" customFormat="false" ht="15" hidden="false" customHeight="true" outlineLevel="0" collapsed="false">
      <c r="A45" s="4" t="s">
        <v>500</v>
      </c>
    </row>
    <row r="46" customFormat="false" ht="15" hidden="false" customHeight="true" outlineLevel="0" collapsed="false">
      <c r="A46" s="26" t="s">
        <v>501</v>
      </c>
      <c r="B46" s="12" t="n">
        <f aca="false">SUM(H7:H43)</f>
        <v>257652.051527607</v>
      </c>
    </row>
    <row r="47" customFormat="false" ht="15" hidden="false" customHeight="true" outlineLevel="0" collapsed="false">
      <c r="A47" s="26" t="s">
        <v>502</v>
      </c>
      <c r="B47" s="12" t="n">
        <f aca="false">SUM(I7:I43)</f>
        <v>165316.109248531</v>
      </c>
    </row>
    <row r="48" customFormat="false" ht="15" hidden="false" customHeight="true" outlineLevel="0" collapsed="false">
      <c r="A48" s="26" t="s">
        <v>503</v>
      </c>
      <c r="B48" s="12" t="n">
        <f aca="false">B46-B47</f>
        <v>92335.9422790762</v>
      </c>
    </row>
    <row r="49" customFormat="false" ht="15" hidden="false" customHeight="true" outlineLevel="0" collapsed="false">
      <c r="A49" s="26" t="s">
        <v>504</v>
      </c>
      <c r="B49" s="12" t="n">
        <f aca="false">B46/in_ppe_life</f>
        <v>24215.4183766548</v>
      </c>
    </row>
    <row r="51" customFormat="false" ht="15" hidden="false" customHeight="true" outlineLevel="0" collapsed="false">
      <c r="A51" s="4" t="s">
        <v>505</v>
      </c>
    </row>
    <row r="52" customFormat="false" ht="15" hidden="false" customHeight="true" outlineLevel="0" collapsed="false">
      <c r="A52" s="26" t="s">
        <v>506</v>
      </c>
      <c r="B52" s="12" t="n">
        <f aca="false">INDEX(rep_gross_ppe,MATCH(in_anchor_year&amp;"",rep_years_bs,0))</f>
        <v>455944</v>
      </c>
    </row>
    <row r="53" customFormat="false" ht="15" hidden="false" customHeight="true" outlineLevel="0" collapsed="false">
      <c r="A53" s="26" t="s">
        <v>507</v>
      </c>
      <c r="B53" s="12" t="n">
        <f aca="false">INDEX(rep_net_ppe,MATCH(in_anchor_year&amp;"",rep_years_bs,0))</f>
        <v>337253</v>
      </c>
    </row>
    <row r="54" customFormat="false" ht="15" hidden="false" customHeight="true" outlineLevel="0" collapsed="false">
      <c r="A54" s="26" t="s">
        <v>508</v>
      </c>
      <c r="B54" s="40" t="n">
        <f aca="false">B46/B52</f>
        <v>0.565095826521693</v>
      </c>
    </row>
    <row r="55" customFormat="false" ht="15" hidden="false" customHeight="true" outlineLevel="0" collapsed="false">
      <c r="A55" s="26" t="s">
        <v>509</v>
      </c>
      <c r="B55" s="40" t="n">
        <f aca="false">B47/B53</f>
        <v>0.490184251136478</v>
      </c>
    </row>
    <row r="56" customFormat="false" ht="15" hidden="false" customHeight="true" outlineLevel="0" collapsed="false">
      <c r="A56" s="26" t="s">
        <v>510</v>
      </c>
      <c r="B56" s="5" t="n">
        <f aca="false">SUM(F7:F43)</f>
        <v>10</v>
      </c>
    </row>
    <row r="58" customFormat="false" ht="15" hidden="false" customHeight="true" outlineLevel="0" collapsed="false">
      <c r="A58" s="4" t="s">
        <v>511</v>
      </c>
    </row>
    <row r="59" customFormat="false" ht="15" hidden="false" customHeight="true" outlineLevel="0" collapsed="false">
      <c r="A59" s="26" t="s">
        <v>512</v>
      </c>
      <c r="B59" s="12" t="n">
        <f aca="false">in_rd_expense0</f>
        <v>35562</v>
      </c>
    </row>
    <row r="60" customFormat="false" ht="15" hidden="false" customHeight="true" outlineLevel="0" collapsed="false">
      <c r="A60" s="26" t="s">
        <v>513</v>
      </c>
      <c r="B60" s="20" t="n">
        <f aca="false">in_rd_life</f>
        <v>0</v>
      </c>
    </row>
    <row r="61" customFormat="false" ht="15" hidden="false" customHeight="true" outlineLevel="0" collapsed="false">
      <c r="A61" s="26" t="s">
        <v>514</v>
      </c>
      <c r="B61" s="12" t="n">
        <f aca="false">B59*B60</f>
        <v>0</v>
      </c>
    </row>
    <row r="64" customFormat="false" ht="15" hidden="false" customHeight="true" outlineLevel="0" collapsed="false">
      <c r="A64" s="4" t="s">
        <v>515</v>
      </c>
    </row>
    <row r="65" customFormat="false" ht="15" hidden="false" customHeight="true" outlineLevel="0" collapsed="false">
      <c r="A65" s="23" t="s">
        <v>516</v>
      </c>
      <c r="B65" s="34" t="n">
        <f aca="false">C65-1</f>
        <v>2009</v>
      </c>
      <c r="C65" s="34" t="n">
        <f aca="false">D65-1</f>
        <v>2010</v>
      </c>
      <c r="D65" s="34" t="n">
        <f aca="false">E65-1</f>
        <v>2011</v>
      </c>
      <c r="E65" s="34" t="n">
        <f aca="false">F65-1</f>
        <v>2012</v>
      </c>
      <c r="F65" s="34" t="n">
        <f aca="false">G65-1</f>
        <v>2013</v>
      </c>
      <c r="G65" s="34" t="n">
        <f aca="false">H65-1</f>
        <v>2014</v>
      </c>
      <c r="H65" s="34" t="n">
        <f aca="false">I65-1</f>
        <v>2015</v>
      </c>
      <c r="I65" s="34" t="n">
        <f aca="false">J65-1</f>
        <v>2016</v>
      </c>
      <c r="J65" s="34" t="n">
        <f aca="false">K65-1</f>
        <v>2017</v>
      </c>
      <c r="K65" s="34" t="n">
        <f aca="false">L65-1</f>
        <v>2018</v>
      </c>
      <c r="L65" s="34" t="n">
        <f aca="false">M65-1</f>
        <v>2019</v>
      </c>
      <c r="M65" s="34" t="n">
        <f aca="false">N65-1</f>
        <v>2020</v>
      </c>
      <c r="N65" s="34" t="n">
        <f aca="false">O65-1</f>
        <v>2021</v>
      </c>
      <c r="O65" s="34" t="n">
        <f aca="false">P65-1</f>
        <v>2022</v>
      </c>
      <c r="P65" s="34" t="n">
        <f aca="false">Q65-1</f>
        <v>2023</v>
      </c>
      <c r="Q65" s="34" t="n">
        <f aca="false">R65-1</f>
        <v>2024</v>
      </c>
      <c r="R65" s="34" t="n">
        <f aca="false">S65-1</f>
        <v>2025</v>
      </c>
      <c r="S65" s="34" t="n">
        <f aca="false">in_anchor_year</f>
        <v>2026</v>
      </c>
    </row>
    <row r="66" customFormat="false" ht="15" hidden="false" customHeight="true" outlineLevel="0" collapsed="false">
      <c r="A66" s="26" t="s">
        <v>517</v>
      </c>
      <c r="B66" s="12" t="n">
        <f aca="false">SUMPRODUCT($D$7:$D$43*($J$7:$J$43&lt;=B65)*((B65-$J$7:$J$43)&lt;in_ppe_life))</f>
        <v>20113.6554635151</v>
      </c>
      <c r="C66" s="12" t="n">
        <f aca="false">SUMPRODUCT($D$7:$D$43*($J$7:$J$43&lt;=C65)*((C65-$J$7:$J$43)&lt;in_ppe_life))</f>
        <v>21776.3297408244</v>
      </c>
      <c r="D66" s="12" t="n">
        <f aca="false">SUMPRODUCT($D$7:$D$43*($J$7:$J$43&lt;=D65)*((D65-$J$7:$J$43)&lt;in_ppe_life))</f>
        <v>23493.0088413329</v>
      </c>
      <c r="E66" s="12" t="n">
        <f aca="false">SUMPRODUCT($D$7:$D$43*($J$7:$J$43&lt;=E65)*((E65-$J$7:$J$43)&lt;in_ppe_life))</f>
        <v>24817.8519450807</v>
      </c>
      <c r="F66" s="12" t="n">
        <f aca="false">SUMPRODUCT($D$7:$D$43*($J$7:$J$43&lt;=F65)*((F65-$J$7:$J$43)&lt;in_ppe_life))</f>
        <v>28885.4561682057</v>
      </c>
      <c r="G66" s="12" t="n">
        <f aca="false">SUMPRODUCT($D$7:$D$43*($J$7:$J$43&lt;=G65)*((G65-$J$7:$J$43)&lt;in_ppe_life))</f>
        <v>34187.09249028</v>
      </c>
      <c r="H66" s="12" t="n">
        <f aca="false">SUMPRODUCT($D$7:$D$43*($J$7:$J$43&lt;=H65)*((H65-$J$7:$J$43)&lt;in_ppe_life))</f>
        <v>39747.1878843299</v>
      </c>
      <c r="I66" s="12" t="n">
        <f aca="false">SUMPRODUCT($D$7:$D$43*($J$7:$J$43&lt;=I65)*((I65-$J$7:$J$43)&lt;in_ppe_life))</f>
        <v>48634.6473562591</v>
      </c>
      <c r="J66" s="12" t="n">
        <f aca="false">SUMPRODUCT($D$7:$D$43*($J$7:$J$43&lt;=J65)*((J65-$J$7:$J$43)&lt;in_ppe_life))</f>
        <v>56291.1694840213</v>
      </c>
      <c r="K66" s="12" t="n">
        <f aca="false">SUMPRODUCT($D$7:$D$43*($J$7:$J$43&lt;=K65)*((K65-$J$7:$J$43)&lt;in_ppe_life))</f>
        <v>67225.6507410239</v>
      </c>
      <c r="L66" s="12" t="n">
        <f aca="false">SUMPRODUCT($D$7:$D$43*($J$7:$J$43&lt;=L65)*((L65-$J$7:$J$43)&lt;in_ppe_life))</f>
        <v>79645.8991926434</v>
      </c>
      <c r="M66" s="12" t="n">
        <f aca="false">SUMPRODUCT($D$7:$D$43*($J$7:$J$43&lt;=M65)*((M65-$J$7:$J$43)&lt;in_ppe_life))</f>
        <v>93782.1403011998</v>
      </c>
      <c r="N66" s="12" t="n">
        <f aca="false">SUMPRODUCT($D$7:$D$43*($J$7:$J$43&lt;=N65)*((N65-$J$7:$J$43)&lt;in_ppe_life))</f>
        <v>114968.257706326</v>
      </c>
      <c r="O66" s="12" t="n">
        <f aca="false">SUMPRODUCT($D$7:$D$43*($J$7:$J$43&lt;=O65)*((O65-$J$7:$J$43)&lt;in_ppe_life))</f>
        <v>137915.182863568</v>
      </c>
      <c r="P66" s="12" t="n">
        <f aca="false">SUMPRODUCT($D$7:$D$43*($J$7:$J$43&lt;=P65)*((P65-$J$7:$J$43)&lt;in_ppe_life))</f>
        <v>164584.987121219</v>
      </c>
      <c r="Q66" s="12" t="n">
        <f aca="false">SUMPRODUCT($D$7:$D$43*($J$7:$J$43&lt;=Q65)*((Q65-$J$7:$J$43)&lt;in_ppe_life))</f>
        <v>205443.666183142</v>
      </c>
      <c r="R66" s="12" t="n">
        <f aca="false">SUMPRODUCT($D$7:$D$43*($J$7:$J$43&lt;=R65)*((R65-$J$7:$J$43)&lt;in_ppe_life))</f>
        <v>264644.226125245</v>
      </c>
      <c r="S66" s="12" t="n">
        <f aca="false">SUMPRODUCT($D$7:$D$43*($J$7:$J$43&lt;=S65)*((S65-$J$7:$J$43)&lt;in_ppe_life))</f>
        <v>257652.051527607</v>
      </c>
    </row>
    <row r="67" customFormat="false" ht="15" hidden="false" customHeight="true" outlineLevel="0" collapsed="false">
      <c r="A67" s="26" t="s">
        <v>518</v>
      </c>
      <c r="B67" s="12" t="n">
        <f aca="false">SUMPRODUCT($D$7:$D$43*($J$7:$J$43&lt;=B65)*((in_ppe_life-(B65-$J$7:$J$43))&gt;0)*(in_ppe_life-(B65-$J$7:$J$43))/in_ppe_life)</f>
        <v>13601.9123105877</v>
      </c>
      <c r="C67" s="12" t="n">
        <f aca="false">SUMPRODUCT($D$7:$D$43*($J$7:$J$43&lt;=C65)*((in_ppe_life-(C65-$J$7:$J$43))&gt;0)*(in_ppe_life-(C65-$J$7:$J$43))/in_ppe_life)</f>
        <v>14150.3462679416</v>
      </c>
      <c r="D67" s="12" t="n">
        <f aca="false">SUMPRODUCT($D$7:$D$43*($J$7:$J$43&lt;=D65)*((in_ppe_life-(D65-$J$7:$J$43))&gt;0)*(in_ppe_life-(D65-$J$7:$J$43))/in_ppe_life)</f>
        <v>14985.4830380806</v>
      </c>
      <c r="E67" s="12" t="n">
        <f aca="false">SUMPRODUCT($D$7:$D$43*($J$7:$J$43&lt;=E65)*((in_ppe_life-(E65-$J$7:$J$43))&gt;0)*(in_ppe_life-(E65-$J$7:$J$43))/in_ppe_life)</f>
        <v>15570.2346844376</v>
      </c>
      <c r="F67" s="12" t="n">
        <f aca="false">SUMPRODUCT($D$7:$D$43*($J$7:$J$43&lt;=F65)*((in_ppe_life-(F65-$J$7:$J$43))&gt;0)*(in_ppe_life-(F65-$J$7:$J$43))/in_ppe_life)</f>
        <v>18335.4489427008</v>
      </c>
      <c r="G67" s="12" t="n">
        <f aca="false">SUMPRODUCT($D$7:$D$43*($J$7:$J$43&lt;=G65)*((in_ppe_life-(G65-$J$7:$J$43))&gt;0)*(in_ppe_life-(G65-$J$7:$J$43))/in_ppe_life)</f>
        <v>22123.5345610307</v>
      </c>
      <c r="H67" s="12" t="n">
        <f aca="false">SUMPRODUCT($D$7:$D$43*($J$7:$J$43&lt;=H65)*((in_ppe_life-(H65-$J$7:$J$43))&gt;0)*(in_ppe_life-(H65-$J$7:$J$43))/in_ppe_life)</f>
        <v>25951.0903638392</v>
      </c>
      <c r="I67" s="12" t="n">
        <f aca="false">SUMPRODUCT($D$7:$D$43*($J$7:$J$43&lt;=I65)*((in_ppe_life-(I65-$J$7:$J$43))&gt;0)*(in_ppe_life-(I65-$J$7:$J$43))/in_ppe_life)</f>
        <v>32159.5494719826</v>
      </c>
      <c r="J67" s="12" t="n">
        <f aca="false">SUMPRODUCT($D$7:$D$43*($J$7:$J$43&lt;=J65)*((in_ppe_life-(J65-$J$7:$J$43))&gt;0)*(in_ppe_life-(J65-$J$7:$J$43))/in_ppe_life)</f>
        <v>37249.6991221467</v>
      </c>
      <c r="K67" s="12" t="n">
        <f aca="false">SUMPRODUCT($D$7:$D$43*($J$7:$J$43&lt;=K65)*((in_ppe_life-(K65-$J$7:$J$43))&gt;0)*(in_ppe_life-(K65-$J$7:$J$43))/in_ppe_life)</f>
        <v>45723.8328310942</v>
      </c>
      <c r="L67" s="12" t="n">
        <f aca="false">SUMPRODUCT($D$7:$D$43*($J$7:$J$43&lt;=L65)*((in_ppe_life-(L65-$J$7:$J$43))&gt;0)*(in_ppe_life-(L65-$J$7:$J$43))/in_ppe_life)</f>
        <v>55742.998218882</v>
      </c>
      <c r="M67" s="12" t="n">
        <f aca="false">SUMPRODUCT($D$7:$D$43*($J$7:$J$43&lt;=M65)*((in_ppe_life-(M65-$J$7:$J$43))&gt;0)*(in_ppe_life-(M65-$J$7:$J$43))/in_ppe_life)</f>
        <v>66258.3915835307</v>
      </c>
      <c r="N67" s="12" t="n">
        <f aca="false">SUMPRODUCT($D$7:$D$43*($J$7:$J$43&lt;=N65)*((in_ppe_life-(N65-$J$7:$J$43))&gt;0)*(in_ppe_life-(N65-$J$7:$J$43))/in_ppe_life)</f>
        <v>81125.4690646337</v>
      </c>
      <c r="O67" s="12" t="n">
        <f aca="false">SUMPRODUCT($D$7:$D$43*($J$7:$J$43&lt;=O65)*((in_ppe_life-(O65-$J$7:$J$43))&gt;0)*(in_ppe_life-(O65-$J$7:$J$43))/in_ppe_life)</f>
        <v>96206.9742730939</v>
      </c>
      <c r="P67" s="12" t="n">
        <f aca="false">SUMPRODUCT($D$7:$D$43*($J$7:$J$43&lt;=P65)*((in_ppe_life-(P65-$J$7:$J$43))&gt;0)*(in_ppe_life-(P65-$J$7:$J$43))/in_ppe_life)</f>
        <v>112752.391971755</v>
      </c>
      <c r="Q67" s="12" t="n">
        <f aca="false">SUMPRODUCT($D$7:$D$43*($J$7:$J$43&lt;=Q65)*((in_ppe_life-(Q65-$J$7:$J$43))&gt;0)*(in_ppe_life-(Q65-$J$7:$J$43))/in_ppe_life)</f>
        <v>143377.902053614</v>
      </c>
      <c r="R67" s="12" t="n">
        <f aca="false">SUMPRODUCT($D$7:$D$43*($J$7:$J$43&lt;=R65)*((in_ppe_life-(R65-$J$7:$J$43))&gt;0)*(in_ppe_life-(R65-$J$7:$J$43))/in_ppe_life)</f>
        <v>189952.10955587</v>
      </c>
      <c r="S67" s="12" t="n">
        <f aca="false">SUMPRODUCT($D$7:$D$43*($J$7:$J$43&lt;=S65)*((in_ppe_life-(S65-$J$7:$J$43))&gt;0)*(in_ppe_life-(S65-$J$7:$J$43))/in_ppe_life)</f>
        <v>165316.109248531</v>
      </c>
    </row>
    <row r="68" customFormat="false" ht="15" hidden="false" customHeight="true" outlineLevel="0" collapsed="false">
      <c r="A68" s="26" t="s">
        <v>519</v>
      </c>
      <c r="B68" s="12" t="n">
        <f aca="false">B66/in_ppe_life</f>
        <v>1890.381152586</v>
      </c>
      <c r="C68" s="12" t="n">
        <f aca="false">C66/in_ppe_life</f>
        <v>2046.64753203237</v>
      </c>
      <c r="D68" s="12" t="n">
        <f aca="false">D66/in_ppe_life</f>
        <v>2207.98955275685</v>
      </c>
      <c r="E68" s="12" t="n">
        <f aca="false">E66/in_ppe_life</f>
        <v>2332.50488205646</v>
      </c>
      <c r="F68" s="12" t="n">
        <f aca="false">F66/in_ppe_life</f>
        <v>2714.79851204941</v>
      </c>
      <c r="G68" s="12" t="n">
        <f aca="false">G66/in_ppe_life</f>
        <v>3213.07260246993</v>
      </c>
      <c r="H68" s="12" t="n">
        <f aca="false">H66/in_ppe_life</f>
        <v>3735.63795905357</v>
      </c>
      <c r="I68" s="12" t="n">
        <f aca="false">I66/in_ppe_life</f>
        <v>4570.92550340781</v>
      </c>
      <c r="J68" s="12" t="n">
        <f aca="false">J66/in_ppe_life</f>
        <v>5290.52344774636</v>
      </c>
      <c r="K68" s="12" t="n">
        <f aca="false">K66/in_ppe_life</f>
        <v>6318.20025761503</v>
      </c>
      <c r="L68" s="12" t="n">
        <f aca="false">L66/in_ppe_life</f>
        <v>7485.51684141385</v>
      </c>
      <c r="M68" s="12" t="n">
        <f aca="false">M66/in_ppe_life</f>
        <v>8814.11093056389</v>
      </c>
      <c r="N68" s="12" t="n">
        <f aca="false">N66/in_ppe_life</f>
        <v>10805.2873784141</v>
      </c>
      <c r="O68" s="12" t="n">
        <f aca="false">O66/in_ppe_life</f>
        <v>12961.9532766511</v>
      </c>
      <c r="P68" s="12" t="n">
        <f aca="false">P66/in_ppe_life</f>
        <v>15468.5138271822</v>
      </c>
      <c r="Q68" s="12" t="n">
        <f aca="false">Q66/in_ppe_life</f>
        <v>19308.6152427765</v>
      </c>
      <c r="R68" s="12" t="n">
        <f aca="false">R66/in_ppe_life</f>
        <v>24872.5776433501</v>
      </c>
      <c r="S68" s="12" t="n">
        <f aca="false">S66/in_ppe_life</f>
        <v>24215.4183766548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9" min="2" style="1" width="11"/>
  </cols>
  <sheetData>
    <row r="1" customFormat="false" ht="15" hidden="false" customHeight="true" outlineLevel="0" collapsed="false">
      <c r="A1" s="2" t="s">
        <v>520</v>
      </c>
    </row>
    <row r="2" customFormat="false" ht="15" hidden="false" customHeight="true" outlineLevel="0" collapsed="false">
      <c r="A2" s="3" t="s">
        <v>521</v>
      </c>
    </row>
    <row r="4" customFormat="false" ht="15" hidden="false" customHeight="true" outlineLevel="0" collapsed="false">
      <c r="A4" s="23" t="s">
        <v>522</v>
      </c>
      <c r="B4" s="26" t="str">
        <f aca="false">cfg_restatement</f>
        <v>Economic</v>
      </c>
    </row>
    <row r="5" customFormat="false" ht="15" hidden="false" customHeight="true" outlineLevel="0" collapsed="false">
      <c r="A5" s="23" t="s">
        <v>523</v>
      </c>
      <c r="B5" s="24" t="str">
        <f aca="false">TEXT(VALUE(C$5)-1,"0")</f>
        <v>2009</v>
      </c>
      <c r="C5" s="24" t="str">
        <f aca="false">TEXT(VALUE(D$5)-1,"0")</f>
        <v>2010</v>
      </c>
      <c r="D5" s="24" t="str">
        <f aca="false">TEXT(VALUE(E$5)-1,"0")</f>
        <v>2011</v>
      </c>
      <c r="E5" s="24" t="str">
        <f aca="false">TEXT(VALUE(F$5)-1,"0")</f>
        <v>2012</v>
      </c>
      <c r="F5" s="24" t="str">
        <f aca="false">TEXT(VALUE(G$5)-1,"0")</f>
        <v>2013</v>
      </c>
      <c r="G5" s="24" t="str">
        <f aca="false">TEXT(VALUE(H$5)-1,"0")</f>
        <v>2014</v>
      </c>
      <c r="H5" s="24" t="str">
        <f aca="false">TEXT(VALUE(I$5)-1,"0")</f>
        <v>2015</v>
      </c>
      <c r="I5" s="24" t="str">
        <f aca="false">TEXT(VALUE(J$5)-1,"0")</f>
        <v>2016</v>
      </c>
      <c r="J5" s="24" t="str">
        <f aca="false">TEXT(VALUE(K$5)-1,"0")</f>
        <v>2017</v>
      </c>
      <c r="K5" s="24" t="str">
        <f aca="false">TEXT(VALUE(L$5)-1,"0")</f>
        <v>2018</v>
      </c>
      <c r="L5" s="24" t="str">
        <f aca="false">TEXT(VALUE(M$5)-1,"0")</f>
        <v>2019</v>
      </c>
      <c r="M5" s="24" t="str">
        <f aca="false">TEXT(VALUE(N$5)-1,"0")</f>
        <v>2020</v>
      </c>
      <c r="N5" s="24" t="str">
        <f aca="false">TEXT(VALUE(O$5)-1,"0")</f>
        <v>2021</v>
      </c>
      <c r="O5" s="24" t="str">
        <f aca="false">TEXT(VALUE(P$5)-1,"0")</f>
        <v>2022</v>
      </c>
      <c r="P5" s="24" t="str">
        <f aca="false">TEXT(VALUE(Q$5)-1,"0")</f>
        <v>2023</v>
      </c>
      <c r="Q5" s="24" t="str">
        <f aca="false">TEXT(VALUE(R$5)-1,"0")</f>
        <v>2024</v>
      </c>
      <c r="R5" s="24" t="str">
        <f aca="false">TEXT(VALUE(S$5)-1,"0")</f>
        <v>2025</v>
      </c>
      <c r="S5" s="24" t="str">
        <f aca="false">TEXT(in_anchor_year,"0")</f>
        <v>2026</v>
      </c>
    </row>
    <row r="6" customFormat="false" ht="15" hidden="false" customHeight="true" outlineLevel="0" collapsed="false">
      <c r="A6" s="26" t="s">
        <v>524</v>
      </c>
      <c r="B6" s="41" t="n">
        <f aca="false">IFERROR(INDEX(md_deflator,MATCH(B$5,md_years,0)),1)</f>
        <v>1.56207553941744</v>
      </c>
      <c r="C6" s="41" t="n">
        <f aca="false">IFERROR(INDEX(md_deflator,MATCH(C$5,md_years,0)),1)</f>
        <v>1.53686667645009</v>
      </c>
      <c r="D6" s="41" t="n">
        <f aca="false">IFERROR(INDEX(md_deflator,MATCH(D$5,md_years,0)),1)</f>
        <v>1.48983946758899</v>
      </c>
      <c r="E6" s="41" t="n">
        <f aca="false">IFERROR(INDEX(md_deflator,MATCH(E$5,md_years,0)),1)</f>
        <v>1.45963309145709</v>
      </c>
      <c r="F6" s="41" t="n">
        <f aca="false">IFERROR(INDEX(md_deflator,MATCH(F$5,md_years,0)),1)</f>
        <v>1.43856162296046</v>
      </c>
      <c r="G6" s="41" t="n">
        <f aca="false">IFERROR(INDEX(md_deflator,MATCH(G$5,md_years,0)),1)</f>
        <v>1.4155979656664</v>
      </c>
      <c r="H6" s="41" t="n">
        <f aca="false">IFERROR(INDEX(md_deflator,MATCH(H$5,md_years,0)),1)</f>
        <v>1.41391967664767</v>
      </c>
      <c r="I6" s="41" t="n">
        <f aca="false">IFERROR(INDEX(md_deflator,MATCH(I$5,md_years,0)),1)</f>
        <v>1.39630510776769</v>
      </c>
      <c r="J6" s="41" t="n">
        <f aca="false">IFERROR(INDEX(md_deflator,MATCH(J$5,md_years,0)),1)</f>
        <v>1.36717934073107</v>
      </c>
      <c r="K6" s="41" t="n">
        <f aca="false">IFERROR(INDEX(md_deflator,MATCH(K$5,md_years,0)),1)</f>
        <v>1.33458246882803</v>
      </c>
      <c r="L6" s="41" t="n">
        <f aca="false">IFERROR(INDEX(md_deflator,MATCH(L$5,md_years,0)),1)</f>
        <v>1.31083052683869</v>
      </c>
      <c r="M6" s="41" t="n">
        <f aca="false">IFERROR(INDEX(md_deflator,MATCH(M$5,md_years,0)),1)</f>
        <v>1.29485609189718</v>
      </c>
      <c r="N6" s="41" t="n">
        <f aca="false">IFERROR(INDEX(md_deflator,MATCH(N$5,md_years,0)),1)</f>
        <v>1.23675314610473</v>
      </c>
      <c r="O6" s="41" t="n">
        <f aca="false">IFERROR(INDEX(md_deflator,MATCH(O$5,md_years,0)),1)</f>
        <v>1.14511284618407</v>
      </c>
      <c r="P6" s="41" t="n">
        <f aca="false">IFERROR(INDEX(md_deflator,MATCH(P$5,md_years,0)),1)</f>
        <v>1.0998385307612</v>
      </c>
      <c r="Q6" s="41" t="n">
        <f aca="false">IFERROR(INDEX(md_deflator,MATCH(Q$5,md_years,0)),1)</f>
        <v>1.06832882249617</v>
      </c>
      <c r="R6" s="41" t="n">
        <f aca="false">IFERROR(INDEX(md_deflator,MATCH(R$5,md_years,0)),1)</f>
        <v>1.04093892397101</v>
      </c>
      <c r="S6" s="41" t="n">
        <f aca="false">IFERROR(INDEX(md_deflator,MATCH(S$5,md_years,0)),1)</f>
        <v>1.01190460140385</v>
      </c>
    </row>
    <row r="7" customFormat="false" ht="15" hidden="false" customHeight="true" outlineLevel="0" collapsed="false">
      <c r="A7" s="26" t="s">
        <v>525</v>
      </c>
      <c r="B7" s="41" t="n">
        <f aca="false">IFERROR(INDEX(md_deflator_ppe,MATCH(B$5,md_years_bea,0)),1)</f>
        <v>1.19852164730729</v>
      </c>
      <c r="C7" s="41" t="n">
        <f aca="false">IFERROR(INDEX(md_deflator_ppe,MATCH(C$5,md_years_bea,0)),1)</f>
        <v>1.22074564351828</v>
      </c>
      <c r="D7" s="41" t="n">
        <f aca="false">IFERROR(INDEX(md_deflator_ppe,MATCH(D$5,md_years_bea,0)),1)</f>
        <v>1.20749621506608</v>
      </c>
      <c r="E7" s="41" t="n">
        <f aca="false">IFERROR(INDEX(md_deflator_ppe,MATCH(E$5,md_years_bea,0)),1)</f>
        <v>1.19075960859477</v>
      </c>
      <c r="F7" s="41" t="n">
        <f aca="false">IFERROR(INDEX(md_deflator_ppe,MATCH(F$5,md_years_bea,0)),1)</f>
        <v>1.18957159701297</v>
      </c>
      <c r="G7" s="41" t="n">
        <f aca="false">IFERROR(INDEX(md_deflator_ppe,MATCH(G$5,md_years_bea,0)),1)</f>
        <v>1.17840848965249</v>
      </c>
      <c r="H7" s="41" t="n">
        <f aca="false">IFERROR(INDEX(md_deflator_ppe,MATCH(H$5,md_years_bea,0)),1)</f>
        <v>1.17634162140615</v>
      </c>
      <c r="I7" s="41" t="n">
        <f aca="false">IFERROR(INDEX(md_deflator_ppe,MATCH(I$5,md_years_bea,0)),1)</f>
        <v>1.18776413765345</v>
      </c>
      <c r="J7" s="41" t="n">
        <f aca="false">IFERROR(INDEX(md_deflator_ppe,MATCH(J$5,md_years_bea,0)),1)</f>
        <v>1.1804</v>
      </c>
      <c r="K7" s="41" t="n">
        <f aca="false">IFERROR(INDEX(md_deflator_ppe,MATCH(K$5,md_years_bea,0)),1)</f>
        <v>1.17538112260647</v>
      </c>
      <c r="L7" s="41" t="n">
        <f aca="false">IFERROR(INDEX(md_deflator_ppe,MATCH(L$5,md_years_bea,0)),1)</f>
        <v>1.16403368636964</v>
      </c>
      <c r="M7" s="41" t="n">
        <f aca="false">IFERROR(INDEX(md_deflator_ppe,MATCH(M$5,md_years_bea,0)),1)</f>
        <v>1.1575953711876</v>
      </c>
      <c r="N7" s="41" t="n">
        <f aca="false">IFERROR(INDEX(md_deflator_ppe,MATCH(N$5,md_years_bea,0)),1)</f>
        <v>1.14438616731461</v>
      </c>
      <c r="O7" s="41" t="n">
        <f aca="false">IFERROR(INDEX(md_deflator_ppe,MATCH(O$5,md_years_bea,0)),1)</f>
        <v>1.07973619457937</v>
      </c>
      <c r="P7" s="41" t="n">
        <f aca="false">IFERROR(INDEX(md_deflator_ppe,MATCH(P$5,md_years_bea,0)),1)</f>
        <v>1.04651884425452</v>
      </c>
      <c r="Q7" s="41" t="n">
        <f aca="false">IFERROR(INDEX(md_deflator_ppe,MATCH(Q$5,md_years_bea,0)),1)</f>
        <v>1.03250411112277</v>
      </c>
      <c r="R7" s="41" t="n">
        <f aca="false">IFERROR(INDEX(md_deflator_ppe,MATCH(R$5,md_years_bea,0)),1)</f>
        <v>1.01724420238023</v>
      </c>
      <c r="S7" s="41" t="n">
        <f aca="false">IFERROR(INDEX(md_deflator_ppe,MATCH(S$5,md_years_bea,0)),1)</f>
        <v>0.988870788725905</v>
      </c>
    </row>
    <row r="9" customFormat="false" ht="15" hidden="false" customHeight="true" outlineLevel="0" collapsed="false">
      <c r="A9" s="4" t="s">
        <v>526</v>
      </c>
    </row>
    <row r="10" customFormat="false" ht="15" hidden="false" customHeight="true" outlineLevel="0" collapsed="false">
      <c r="A10" s="26" t="s">
        <v>527</v>
      </c>
      <c r="B10" s="42" t="n">
        <f aca="false">IFERROR(INDEX(rep_total_assets,MATCH(B$5,rep_years_bs,0)),0)</f>
        <v>77888</v>
      </c>
      <c r="C10" s="42" t="n">
        <f aca="false">IFERROR(INDEX(rep_total_assets,MATCH(C$5,rep_years_bs,0)),0)</f>
        <v>86113</v>
      </c>
      <c r="D10" s="42" t="n">
        <f aca="false">IFERROR(INDEX(rep_total_assets,MATCH(D$5,rep_years_bs,0)),0)</f>
        <v>108704</v>
      </c>
      <c r="E10" s="42" t="n">
        <f aca="false">IFERROR(INDEX(rep_total_assets,MATCH(E$5,rep_years_bs,0)),0)</f>
        <v>121271</v>
      </c>
      <c r="F10" s="42" t="n">
        <f aca="false">IFERROR(INDEX(rep_total_assets,MATCH(F$5,rep_years_bs,0)),0)</f>
        <v>142431</v>
      </c>
      <c r="G10" s="42" t="n">
        <f aca="false">IFERROR(INDEX(rep_total_assets,MATCH(G$5,rep_years_bs,0)),0)</f>
        <v>172384</v>
      </c>
      <c r="H10" s="42" t="n">
        <f aca="false">IFERROR(INDEX(rep_total_assets,MATCH(H$5,rep_years_bs,0)),0)</f>
        <v>174472</v>
      </c>
      <c r="I10" s="42" t="n">
        <f aca="false">IFERROR(INDEX(rep_total_assets,MATCH(I$5,rep_years_bs,0)),0)</f>
        <v>193694</v>
      </c>
      <c r="J10" s="42" t="n">
        <f aca="false">IFERROR(INDEX(rep_total_assets,MATCH(J$5,rep_years_bs,0)),0)</f>
        <v>241086</v>
      </c>
      <c r="K10" s="42" t="n">
        <f aca="false">IFERROR(INDEX(rep_total_assets,MATCH(K$5,rep_years_bs,0)),0)</f>
        <v>258848</v>
      </c>
      <c r="L10" s="42" t="n">
        <f aca="false">IFERROR(INDEX(rep_total_assets,MATCH(L$5,rep_years_bs,0)),0)</f>
        <v>286556</v>
      </c>
      <c r="M10" s="42" t="n">
        <f aca="false">IFERROR(INDEX(rep_total_assets,MATCH(M$5,rep_years_bs,0)),0)</f>
        <v>301311</v>
      </c>
      <c r="N10" s="42" t="n">
        <f aca="false">IFERROR(INDEX(rep_total_assets,MATCH(N$5,rep_years_bs,0)),0)</f>
        <v>333779</v>
      </c>
      <c r="O10" s="42" t="n">
        <f aca="false">IFERROR(INDEX(rep_total_assets,MATCH(O$5,rep_years_bs,0)),0)</f>
        <v>364840</v>
      </c>
      <c r="P10" s="42" t="n">
        <f aca="false">IFERROR(INDEX(rep_total_assets,MATCH(P$5,rep_years_bs,0)),0)</f>
        <v>411976</v>
      </c>
      <c r="Q10" s="42" t="n">
        <f aca="false">IFERROR(INDEX(rep_total_assets,MATCH(Q$5,rep_years_bs,0)),0)</f>
        <v>512163</v>
      </c>
      <c r="R10" s="42" t="n">
        <f aca="false">IFERROR(INDEX(rep_total_assets,MATCH(R$5,rep_years_bs,0)),0)</f>
        <v>619003</v>
      </c>
      <c r="S10" s="42" t="n">
        <f aca="false">IFERROR(INDEX(rep_total_assets,MATCH(S$5,rep_years_bs,0)),0)</f>
        <v>758376</v>
      </c>
    </row>
    <row r="11" customFormat="false" ht="15" hidden="false" customHeight="true" outlineLevel="0" collapsed="false">
      <c r="A11" s="26" t="s">
        <v>528</v>
      </c>
      <c r="B11" s="42" t="n">
        <f aca="false">IFERROR(INDEX(rep_total_liab,MATCH(B$5,rep_years_bs,0)),0)</f>
        <v>38330</v>
      </c>
      <c r="C11" s="42" t="n">
        <f aca="false">IFERROR(INDEX(rep_total_liab,MATCH(C$5,rep_years_bs,0)),0)</f>
        <v>39938</v>
      </c>
      <c r="D11" s="42" t="n">
        <f aca="false">IFERROR(INDEX(rep_total_liab,MATCH(D$5,rep_years_bs,0)),0)</f>
        <v>51621</v>
      </c>
      <c r="E11" s="42" t="n">
        <f aca="false">IFERROR(INDEX(rep_total_liab,MATCH(E$5,rep_years_bs,0)),0)</f>
        <v>54908</v>
      </c>
      <c r="F11" s="42" t="n">
        <f aca="false">IFERROR(INDEX(rep_total_liab,MATCH(F$5,rep_years_bs,0)),0)</f>
        <v>63487</v>
      </c>
      <c r="G11" s="42" t="n">
        <f aca="false">IFERROR(INDEX(rep_total_liab,MATCH(G$5,rep_years_bs,0)),0)</f>
        <v>82600</v>
      </c>
      <c r="H11" s="42" t="n">
        <f aca="false">IFERROR(INDEX(rep_total_liab,MATCH(H$5,rep_years_bs,0)),0)</f>
        <v>94389</v>
      </c>
      <c r="I11" s="42" t="n">
        <f aca="false">IFERROR(INDEX(rep_total_liab,MATCH(I$5,rep_years_bs,0)),0)</f>
        <v>121697</v>
      </c>
      <c r="J11" s="42" t="n">
        <f aca="false">IFERROR(INDEX(rep_total_liab,MATCH(J$5,rep_years_bs,0)),0)</f>
        <v>168692</v>
      </c>
      <c r="K11" s="42" t="n">
        <f aca="false">IFERROR(INDEX(rep_total_liab,MATCH(K$5,rep_years_bs,0)),0)</f>
        <v>176130</v>
      </c>
      <c r="L11" s="42" t="n">
        <f aca="false">IFERROR(INDEX(rep_total_liab,MATCH(L$5,rep_years_bs,0)),0)</f>
        <v>184226</v>
      </c>
      <c r="M11" s="42" t="n">
        <f aca="false">IFERROR(INDEX(rep_total_liab,MATCH(M$5,rep_years_bs,0)),0)</f>
        <v>183007</v>
      </c>
      <c r="N11" s="42" t="n">
        <f aca="false">IFERROR(INDEX(rep_total_liab,MATCH(N$5,rep_years_bs,0)),0)</f>
        <v>191791</v>
      </c>
      <c r="O11" s="42" t="n">
        <f aca="false">IFERROR(INDEX(rep_total_liab,MATCH(O$5,rep_years_bs,0)),0)</f>
        <v>198298</v>
      </c>
      <c r="P11" s="42" t="n">
        <f aca="false">IFERROR(INDEX(rep_total_liab,MATCH(P$5,rep_years_bs,0)),0)</f>
        <v>205753</v>
      </c>
      <c r="Q11" s="42" t="n">
        <f aca="false">IFERROR(INDEX(rep_total_liab,MATCH(Q$5,rep_years_bs,0)),0)</f>
        <v>243686</v>
      </c>
      <c r="R11" s="42" t="n">
        <f aca="false">IFERROR(INDEX(rep_total_liab,MATCH(R$5,rep_years_bs,0)),0)</f>
        <v>275524</v>
      </c>
      <c r="S11" s="42" t="n">
        <f aca="false">IFERROR(INDEX(rep_total_liab,MATCH(S$5,rep_years_bs,0)),0)</f>
        <v>315989</v>
      </c>
    </row>
    <row r="12" customFormat="false" ht="15" hidden="false" customHeight="true" outlineLevel="0" collapsed="false">
      <c r="A12" s="26" t="s">
        <v>529</v>
      </c>
      <c r="B12" s="42" t="n">
        <f aca="false">IFERROR(INDEX(rep_cash,MATCH(B$5,rep_years_bs,0)),0)</f>
        <v>6076</v>
      </c>
      <c r="C12" s="42" t="n">
        <f aca="false">IFERROR(INDEX(rep_cash,MATCH(C$5,rep_years_bs,0)),0)</f>
        <v>5505</v>
      </c>
      <c r="D12" s="42" t="n">
        <f aca="false">IFERROR(INDEX(rep_cash,MATCH(D$5,rep_years_bs,0)),0)</f>
        <v>9610</v>
      </c>
      <c r="E12" s="42" t="n">
        <f aca="false">IFERROR(INDEX(rep_cash,MATCH(E$5,rep_years_bs,0)),0)</f>
        <v>6938</v>
      </c>
      <c r="F12" s="42" t="n">
        <f aca="false">IFERROR(INDEX(rep_cash,MATCH(F$5,rep_years_bs,0)),0)</f>
        <v>3804</v>
      </c>
      <c r="G12" s="42" t="n">
        <f aca="false">IFERROR(INDEX(rep_cash,MATCH(G$5,rep_years_bs,0)),0)</f>
        <v>8669</v>
      </c>
      <c r="H12" s="42" t="n">
        <f aca="false">IFERROR(INDEX(rep_cash,MATCH(H$5,rep_years_bs,0)),0)</f>
        <v>5595</v>
      </c>
      <c r="I12" s="42" t="n">
        <f aca="false">IFERROR(INDEX(rep_cash,MATCH(I$5,rep_years_bs,0)),0)</f>
        <v>6510</v>
      </c>
      <c r="J12" s="42" t="n">
        <f aca="false">IFERROR(INDEX(rep_cash,MATCH(J$5,rep_years_bs,0)),0)</f>
        <v>7663</v>
      </c>
      <c r="K12" s="42" t="n">
        <f aca="false">IFERROR(INDEX(rep_cash,MATCH(K$5,rep_years_bs,0)),0)</f>
        <v>11946</v>
      </c>
      <c r="L12" s="42" t="n">
        <f aca="false">IFERROR(INDEX(rep_cash,MATCH(L$5,rep_years_bs,0)),0)</f>
        <v>11356</v>
      </c>
      <c r="M12" s="42" t="n">
        <f aca="false">IFERROR(INDEX(rep_cash,MATCH(M$5,rep_years_bs,0)),0)</f>
        <v>13576</v>
      </c>
      <c r="N12" s="42" t="n">
        <f aca="false">IFERROR(INDEX(rep_cash,MATCH(N$5,rep_years_bs,0)),0)</f>
        <v>14224</v>
      </c>
      <c r="O12" s="42" t="n">
        <f aca="false">IFERROR(INDEX(rep_cash,MATCH(O$5,rep_years_bs,0)),0)</f>
        <v>13931</v>
      </c>
      <c r="P12" s="42" t="n">
        <f aca="false">IFERROR(INDEX(rep_cash,MATCH(P$5,rep_years_bs,0)),0)</f>
        <v>34704</v>
      </c>
      <c r="Q12" s="42" t="n">
        <f aca="false">IFERROR(INDEX(rep_cash,MATCH(Q$5,rep_years_bs,0)),0)</f>
        <v>18315</v>
      </c>
      <c r="R12" s="42" t="n">
        <f aca="false">IFERROR(INDEX(rep_cash,MATCH(R$5,rep_years_bs,0)),0)</f>
        <v>30242</v>
      </c>
      <c r="S12" s="42" t="n">
        <f aca="false">IFERROR(INDEX(rep_cash,MATCH(S$5,rep_years_bs,0)),0)</f>
        <v>20935</v>
      </c>
    </row>
    <row r="13" customFormat="false" ht="15" hidden="false" customHeight="true" outlineLevel="0" collapsed="false">
      <c r="A13" s="26" t="s">
        <v>8</v>
      </c>
      <c r="B13" s="42" t="n">
        <f aca="false">IFERROR(INDEX(rep_sti,MATCH(B$5,rep_years_bs,0)),0)</f>
        <v>25371</v>
      </c>
      <c r="C13" s="42" t="n">
        <f aca="false">IFERROR(INDEX(rep_sti,MATCH(C$5,rep_years_bs,0)),0)</f>
        <v>31283</v>
      </c>
      <c r="D13" s="42" t="n">
        <f aca="false">IFERROR(INDEX(rep_sti,MATCH(D$5,rep_years_bs,0)),0)</f>
        <v>43162</v>
      </c>
      <c r="E13" s="42" t="n">
        <f aca="false">IFERROR(INDEX(rep_sti,MATCH(E$5,rep_years_bs,0)),0)</f>
        <v>56102</v>
      </c>
      <c r="F13" s="42" t="n">
        <f aca="false">IFERROR(INDEX(rep_sti,MATCH(F$5,rep_years_bs,0)),0)</f>
        <v>73218</v>
      </c>
      <c r="G13" s="42" t="n">
        <f aca="false">IFERROR(INDEX(rep_sti,MATCH(G$5,rep_years_bs,0)),0)</f>
        <v>77040</v>
      </c>
      <c r="H13" s="42" t="n">
        <f aca="false">IFERROR(INDEX(rep_sti,MATCH(H$5,rep_years_bs,0)),0)</f>
        <v>90931</v>
      </c>
      <c r="I13" s="42" t="n">
        <f aca="false">IFERROR(INDEX(rep_sti,MATCH(I$5,rep_years_bs,0)),0)</f>
        <v>106730</v>
      </c>
      <c r="J13" s="42" t="n">
        <f aca="false">IFERROR(INDEX(rep_sti,MATCH(J$5,rep_years_bs,0)),0)</f>
        <v>125318</v>
      </c>
      <c r="K13" s="42" t="n">
        <f aca="false">IFERROR(INDEX(rep_sti,MATCH(K$5,rep_years_bs,0)),0)</f>
        <v>121822</v>
      </c>
      <c r="L13" s="42" t="n">
        <f aca="false">IFERROR(INDEX(rep_sti,MATCH(L$5,rep_years_bs,0)),0)</f>
        <v>122463</v>
      </c>
      <c r="M13" s="42" t="n">
        <f aca="false">IFERROR(INDEX(rep_sti,MATCH(M$5,rep_years_bs,0)),0)</f>
        <v>122951</v>
      </c>
      <c r="N13" s="42" t="n">
        <f aca="false">IFERROR(INDEX(rep_sti,MATCH(N$5,rep_years_bs,0)),0)</f>
        <v>116110</v>
      </c>
      <c r="O13" s="42" t="n">
        <f aca="false">IFERROR(INDEX(rep_sti,MATCH(O$5,rep_years_bs,0)),0)</f>
        <v>90826</v>
      </c>
      <c r="P13" s="42" t="n">
        <f aca="false">IFERROR(INDEX(rep_sti,MATCH(P$5,rep_years_bs,0)),0)</f>
        <v>76558</v>
      </c>
      <c r="Q13" s="42" t="n">
        <f aca="false">IFERROR(INDEX(rep_sti,MATCH(Q$5,rep_years_bs,0)),0)</f>
        <v>57216</v>
      </c>
      <c r="R13" s="42" t="n">
        <f aca="false">IFERROR(INDEX(rep_sti,MATCH(R$5,rep_years_bs,0)),0)</f>
        <v>64313</v>
      </c>
      <c r="S13" s="42" t="n">
        <f aca="false">IFERROR(INDEX(rep_sti,MATCH(S$5,rep_years_bs,0)),0)</f>
        <v>55908</v>
      </c>
    </row>
    <row r="14" customFormat="false" ht="15" hidden="false" customHeight="true" outlineLevel="0" collapsed="false">
      <c r="A14" s="26" t="s">
        <v>530</v>
      </c>
      <c r="B14" s="42" t="n">
        <f aca="false">IFERROR(INDEX(rep_total_debt,MATCH(B$5,rep_years_bs,0)),0)</f>
        <v>5756</v>
      </c>
      <c r="C14" s="42" t="n">
        <f aca="false">IFERROR(INDEX(rep_total_debt,MATCH(C$5,rep_years_bs,0)),0)</f>
        <v>5939</v>
      </c>
      <c r="D14" s="42" t="n">
        <f aca="false">IFERROR(INDEX(rep_total_debt,MATCH(D$5,rep_years_bs,0)),0)</f>
        <v>17284</v>
      </c>
      <c r="E14" s="42" t="n">
        <f aca="false">IFERROR(INDEX(rep_total_debt,MATCH(E$5,rep_years_bs,0)),0)</f>
        <v>11944</v>
      </c>
      <c r="F14" s="42" t="n">
        <f aca="false">IFERROR(INDEX(rep_total_debt,MATCH(F$5,rep_years_bs,0)),0)</f>
        <v>15600</v>
      </c>
      <c r="G14" s="42" t="n">
        <f aca="false">IFERROR(INDEX(rep_total_debt,MATCH(G$5,rep_years_bs,0)),0)</f>
        <v>22645</v>
      </c>
      <c r="H14" s="42" t="n">
        <f aca="false">IFERROR(INDEX(rep_total_debt,MATCH(H$5,rep_years_bs,0)),0)</f>
        <v>35292</v>
      </c>
      <c r="I14" s="42" t="n">
        <f aca="false">IFERROR(INDEX(rep_total_debt,MATCH(I$5,rep_years_bs,0)),0)</f>
        <v>53687</v>
      </c>
      <c r="J14" s="42" t="n">
        <f aca="false">IFERROR(INDEX(rep_total_debt,MATCH(J$5,rep_years_bs,0)),0)</f>
        <v>86194</v>
      </c>
      <c r="K14" s="42" t="n">
        <f aca="false">IFERROR(INDEX(rep_total_debt,MATCH(K$5,rep_years_bs,0)),0)</f>
        <v>81808</v>
      </c>
      <c r="L14" s="42" t="n">
        <f aca="false">IFERROR(INDEX(rep_total_debt,MATCH(L$5,rep_years_bs,0)),0)</f>
        <v>78366</v>
      </c>
      <c r="M14" s="42" t="n">
        <f aca="false">IFERROR(INDEX(rep_total_debt,MATCH(M$5,rep_years_bs,0)),0)</f>
        <v>70998</v>
      </c>
      <c r="N14" s="42" t="n">
        <f aca="false">IFERROR(INDEX(rep_total_debt,MATCH(N$5,rep_years_bs,0)),0)</f>
        <v>67775</v>
      </c>
      <c r="O14" s="42" t="n">
        <f aca="false">IFERROR(INDEX(rep_total_debt,MATCH(O$5,rep_years_bs,0)),0)</f>
        <v>61270</v>
      </c>
      <c r="P14" s="42" t="n">
        <f aca="false">IFERROR(INDEX(rep_total_debt,MATCH(P$5,rep_years_bs,0)),0)</f>
        <v>59965</v>
      </c>
      <c r="Q14" s="42" t="n">
        <f aca="false">IFERROR(INDEX(rep_total_debt,MATCH(Q$5,rep_years_bs,0)),0)</f>
        <v>67127</v>
      </c>
      <c r="R14" s="42" t="n">
        <f aca="false">IFERROR(INDEX(rep_total_debt,MATCH(R$5,rep_years_bs,0)),0)</f>
        <v>60588</v>
      </c>
      <c r="S14" s="42" t="n">
        <f aca="false">IFERROR(INDEX(rep_total_debt,MATCH(S$5,rep_years_bs,0)),0)</f>
        <v>128808.3</v>
      </c>
    </row>
    <row r="15" customFormat="false" ht="15" hidden="false" customHeight="true" outlineLevel="0" collapsed="false">
      <c r="A15" s="26" t="s">
        <v>531</v>
      </c>
      <c r="B15" s="42" t="n">
        <f aca="false">IFERROR(INDEX(rep_pension,MATCH(B$5,rep_years_bs,0)),0)</f>
        <v>0</v>
      </c>
      <c r="C15" s="42" t="n">
        <f aca="false">IFERROR(INDEX(rep_pension,MATCH(C$5,rep_years_bs,0)),0)</f>
        <v>0</v>
      </c>
      <c r="D15" s="42" t="n">
        <f aca="false">IFERROR(INDEX(rep_pension,MATCH(D$5,rep_years_bs,0)),0)</f>
        <v>0</v>
      </c>
      <c r="E15" s="42" t="n">
        <f aca="false">IFERROR(INDEX(rep_pension,MATCH(E$5,rep_years_bs,0)),0)</f>
        <v>0</v>
      </c>
      <c r="F15" s="42" t="n">
        <f aca="false">IFERROR(INDEX(rep_pension,MATCH(F$5,rep_years_bs,0)),0)</f>
        <v>0</v>
      </c>
      <c r="G15" s="42" t="n">
        <f aca="false">IFERROR(INDEX(rep_pension,MATCH(G$5,rep_years_bs,0)),0)</f>
        <v>0</v>
      </c>
      <c r="H15" s="42" t="n">
        <f aca="false">IFERROR(INDEX(rep_pension,MATCH(H$5,rep_years_bs,0)),0)</f>
        <v>0</v>
      </c>
      <c r="I15" s="42" t="n">
        <f aca="false">IFERROR(INDEX(rep_pension,MATCH(I$5,rep_years_bs,0)),0)</f>
        <v>0</v>
      </c>
      <c r="J15" s="42" t="n">
        <f aca="false">IFERROR(INDEX(rep_pension,MATCH(J$5,rep_years_bs,0)),0)</f>
        <v>0</v>
      </c>
      <c r="K15" s="42" t="n">
        <f aca="false">IFERROR(INDEX(rep_pension,MATCH(K$5,rep_years_bs,0)),0)</f>
        <v>0</v>
      </c>
      <c r="L15" s="42" t="n">
        <f aca="false">IFERROR(INDEX(rep_pension,MATCH(L$5,rep_years_bs,0)),0)</f>
        <v>0</v>
      </c>
      <c r="M15" s="42" t="n">
        <f aca="false">IFERROR(INDEX(rep_pension,MATCH(M$5,rep_years_bs,0)),0)</f>
        <v>0</v>
      </c>
      <c r="N15" s="42" t="n">
        <f aca="false">IFERROR(INDEX(rep_pension,MATCH(N$5,rep_years_bs,0)),0)</f>
        <v>0</v>
      </c>
      <c r="O15" s="42" t="n">
        <f aca="false">IFERROR(INDEX(rep_pension,MATCH(O$5,rep_years_bs,0)),0)</f>
        <v>0</v>
      </c>
      <c r="P15" s="42" t="n">
        <f aca="false">IFERROR(INDEX(rep_pension,MATCH(P$5,rep_years_bs,0)),0)</f>
        <v>0</v>
      </c>
      <c r="Q15" s="42" t="n">
        <f aca="false">IFERROR(INDEX(rep_pension,MATCH(Q$5,rep_years_bs,0)),0)</f>
        <v>0</v>
      </c>
      <c r="R15" s="42" t="n">
        <f aca="false">IFERROR(INDEX(rep_pension,MATCH(R$5,rep_years_bs,0)),0)</f>
        <v>0</v>
      </c>
      <c r="S15" s="42" t="n">
        <f aca="false">IFERROR(INDEX(rep_pension,MATCH(S$5,rep_years_bs,0)),0)</f>
        <v>0</v>
      </c>
    </row>
    <row r="16" customFormat="false" ht="15" hidden="false" customHeight="true" outlineLevel="0" collapsed="false">
      <c r="A16" s="26" t="s">
        <v>532</v>
      </c>
      <c r="B16" s="42" t="n">
        <f aca="false">IFERROR(INDEX(rep_mi,MATCH(B$5,rep_years_bs,0)),0)</f>
        <v>0</v>
      </c>
      <c r="C16" s="42" t="n">
        <f aca="false">IFERROR(INDEX(rep_mi,MATCH(C$5,rep_years_bs,0)),0)</f>
        <v>0</v>
      </c>
      <c r="D16" s="42" t="n">
        <f aca="false">IFERROR(INDEX(rep_mi,MATCH(D$5,rep_years_bs,0)),0)</f>
        <v>0</v>
      </c>
      <c r="E16" s="42" t="n">
        <f aca="false">IFERROR(INDEX(rep_mi,MATCH(E$5,rep_years_bs,0)),0)</f>
        <v>0</v>
      </c>
      <c r="F16" s="42" t="n">
        <f aca="false">IFERROR(INDEX(rep_mi,MATCH(F$5,rep_years_bs,0)),0)</f>
        <v>0</v>
      </c>
      <c r="G16" s="42" t="n">
        <f aca="false">IFERROR(INDEX(rep_mi,MATCH(G$5,rep_years_bs,0)),0)</f>
        <v>0</v>
      </c>
      <c r="H16" s="42" t="n">
        <f aca="false">IFERROR(INDEX(rep_mi,MATCH(H$5,rep_years_bs,0)),0)</f>
        <v>0</v>
      </c>
      <c r="I16" s="42" t="n">
        <f aca="false">IFERROR(INDEX(rep_mi,MATCH(I$5,rep_years_bs,0)),0)</f>
        <v>0</v>
      </c>
      <c r="J16" s="42" t="n">
        <f aca="false">IFERROR(INDEX(rep_mi,MATCH(J$5,rep_years_bs,0)),0)</f>
        <v>0</v>
      </c>
      <c r="K16" s="42" t="n">
        <f aca="false">IFERROR(INDEX(rep_mi,MATCH(K$5,rep_years_bs,0)),0)</f>
        <v>0</v>
      </c>
      <c r="L16" s="42" t="n">
        <f aca="false">IFERROR(INDEX(rep_mi,MATCH(L$5,rep_years_bs,0)),0)</f>
        <v>0</v>
      </c>
      <c r="M16" s="42" t="n">
        <f aca="false">IFERROR(INDEX(rep_mi,MATCH(M$5,rep_years_bs,0)),0)</f>
        <v>0</v>
      </c>
      <c r="N16" s="42" t="n">
        <f aca="false">IFERROR(INDEX(rep_mi,MATCH(N$5,rep_years_bs,0)),0)</f>
        <v>0</v>
      </c>
      <c r="O16" s="42" t="n">
        <f aca="false">IFERROR(INDEX(rep_mi,MATCH(O$5,rep_years_bs,0)),0)</f>
        <v>0</v>
      </c>
      <c r="P16" s="42" t="n">
        <f aca="false">IFERROR(INDEX(rep_mi,MATCH(P$5,rep_years_bs,0)),0)</f>
        <v>0</v>
      </c>
      <c r="Q16" s="42" t="n">
        <f aca="false">IFERROR(INDEX(rep_mi,MATCH(Q$5,rep_years_bs,0)),0)</f>
        <v>0</v>
      </c>
      <c r="R16" s="42" t="n">
        <f aca="false">IFERROR(INDEX(rep_mi,MATCH(R$5,rep_years_bs,0)),0)</f>
        <v>0</v>
      </c>
      <c r="S16" s="42" t="n">
        <f aca="false">IFERROR(INDEX(rep_mi,MATCH(S$5,rep_years_bs,0)),0)</f>
        <v>0</v>
      </c>
    </row>
    <row r="17" customFormat="false" ht="15" hidden="false" customHeight="true" outlineLevel="0" collapsed="false">
      <c r="A17" s="26" t="s">
        <v>533</v>
      </c>
      <c r="B17" s="42" t="n">
        <f aca="false">IFERROR(INDEX(rep_net_ppe,MATCH(B$5,rep_years_bs,0)),0)</f>
        <v>7535</v>
      </c>
      <c r="C17" s="42" t="n">
        <f aca="false">IFERROR(INDEX(rep_net_ppe,MATCH(C$5,rep_years_bs,0)),0)</f>
        <v>7630</v>
      </c>
      <c r="D17" s="42" t="n">
        <f aca="false">IFERROR(INDEX(rep_net_ppe,MATCH(D$5,rep_years_bs,0)),0)</f>
        <v>8162</v>
      </c>
      <c r="E17" s="42" t="n">
        <f aca="false">IFERROR(INDEX(rep_net_ppe,MATCH(E$5,rep_years_bs,0)),0)</f>
        <v>8269</v>
      </c>
      <c r="F17" s="42" t="n">
        <f aca="false">IFERROR(INDEX(rep_net_ppe,MATCH(F$5,rep_years_bs,0)),0)</f>
        <v>9991</v>
      </c>
      <c r="G17" s="42" t="n">
        <f aca="false">IFERROR(INDEX(rep_net_ppe,MATCH(G$5,rep_years_bs,0)),0)</f>
        <v>13011</v>
      </c>
      <c r="H17" s="42" t="n">
        <f aca="false">IFERROR(INDEX(rep_net_ppe,MATCH(H$5,rep_years_bs,0)),0)</f>
        <v>14731</v>
      </c>
      <c r="I17" s="42" t="n">
        <f aca="false">IFERROR(INDEX(rep_net_ppe,MATCH(I$5,rep_years_bs,0)),0)</f>
        <v>18356</v>
      </c>
      <c r="J17" s="42" t="n">
        <f aca="false">IFERROR(INDEX(rep_net_ppe,MATCH(J$5,rep_years_bs,0)),0)</f>
        <v>23734</v>
      </c>
      <c r="K17" s="42" t="n">
        <f aca="false">IFERROR(INDEX(rep_net_ppe,MATCH(K$5,rep_years_bs,0)),0)</f>
        <v>29460</v>
      </c>
      <c r="L17" s="42" t="n">
        <f aca="false">IFERROR(INDEX(rep_net_ppe,MATCH(L$5,rep_years_bs,0)),0)</f>
        <v>36477</v>
      </c>
      <c r="M17" s="42" t="n">
        <f aca="false">IFERROR(INDEX(rep_net_ppe,MATCH(M$5,rep_years_bs,0)),0)</f>
        <v>44151</v>
      </c>
      <c r="N17" s="42" t="n">
        <f aca="false">IFERROR(INDEX(rep_net_ppe,MATCH(N$5,rep_years_bs,0)),0)</f>
        <v>70803</v>
      </c>
      <c r="O17" s="42" t="n">
        <f aca="false">IFERROR(INDEX(rep_net_ppe,MATCH(O$5,rep_years_bs,0)),0)</f>
        <v>87546</v>
      </c>
      <c r="P17" s="42" t="n">
        <f aca="false">IFERROR(INDEX(rep_net_ppe,MATCH(P$5,rep_years_bs,0)),0)</f>
        <v>109987</v>
      </c>
      <c r="Q17" s="42" t="n">
        <f aca="false">IFERROR(INDEX(rep_net_ppe,MATCH(Q$5,rep_years_bs,0)),0)</f>
        <v>154552</v>
      </c>
      <c r="R17" s="42" t="n">
        <f aca="false">IFERROR(INDEX(rep_net_ppe,MATCH(R$5,rep_years_bs,0)),0)</f>
        <v>229789</v>
      </c>
      <c r="S17" s="42" t="n">
        <f aca="false">IFERROR(INDEX(rep_net_ppe,MATCH(S$5,rep_years_bs,0)),0)</f>
        <v>337253</v>
      </c>
    </row>
    <row r="18" customFormat="false" ht="15" hidden="false" customHeight="true" outlineLevel="0" collapsed="false">
      <c r="A18" s="26" t="s">
        <v>534</v>
      </c>
      <c r="B18" s="42" t="n">
        <f aca="false">IFERROR(INDEX(rep_cse,MATCH(B$5,rep_years_bs,0)),0)</f>
        <v>39558</v>
      </c>
      <c r="C18" s="42" t="n">
        <f aca="false">IFERROR(INDEX(rep_cse,MATCH(C$5,rep_years_bs,0)),0)</f>
        <v>46175</v>
      </c>
      <c r="D18" s="42" t="n">
        <f aca="false">IFERROR(INDEX(rep_cse,MATCH(D$5,rep_years_bs,0)),0)</f>
        <v>57083</v>
      </c>
      <c r="E18" s="42" t="n">
        <f aca="false">IFERROR(INDEX(rep_cse,MATCH(E$5,rep_years_bs,0)),0)</f>
        <v>66363</v>
      </c>
      <c r="F18" s="42" t="n">
        <f aca="false">IFERROR(INDEX(rep_cse,MATCH(F$5,rep_years_bs,0)),0)</f>
        <v>78944</v>
      </c>
      <c r="G18" s="42" t="n">
        <f aca="false">IFERROR(INDEX(rep_cse,MATCH(G$5,rep_years_bs,0)),0)</f>
        <v>89784</v>
      </c>
      <c r="H18" s="42" t="n">
        <f aca="false">IFERROR(INDEX(rep_cse,MATCH(H$5,rep_years_bs,0)),0)</f>
        <v>80083</v>
      </c>
      <c r="I18" s="42" t="n">
        <f aca="false">IFERROR(INDEX(rep_cse,MATCH(I$5,rep_years_bs,0)),0)</f>
        <v>71997</v>
      </c>
      <c r="J18" s="42" t="n">
        <f aca="false">IFERROR(INDEX(rep_cse,MATCH(J$5,rep_years_bs,0)),0)</f>
        <v>72394</v>
      </c>
      <c r="K18" s="42" t="n">
        <f aca="false">IFERROR(INDEX(rep_cse,MATCH(K$5,rep_years_bs,0)),0)</f>
        <v>82718</v>
      </c>
      <c r="L18" s="42" t="n">
        <f aca="false">IFERROR(INDEX(rep_cse,MATCH(L$5,rep_years_bs,0)),0)</f>
        <v>102330</v>
      </c>
      <c r="M18" s="42" t="n">
        <f aca="false">IFERROR(INDEX(rep_cse,MATCH(M$5,rep_years_bs,0)),0)</f>
        <v>118304</v>
      </c>
      <c r="N18" s="42" t="n">
        <f aca="false">IFERROR(INDEX(rep_cse,MATCH(N$5,rep_years_bs,0)),0)</f>
        <v>141988</v>
      </c>
      <c r="O18" s="42" t="n">
        <f aca="false">IFERROR(INDEX(rep_cse,MATCH(O$5,rep_years_bs,0)),0)</f>
        <v>166542</v>
      </c>
      <c r="P18" s="42" t="n">
        <f aca="false">IFERROR(INDEX(rep_cse,MATCH(P$5,rep_years_bs,0)),0)</f>
        <v>206223</v>
      </c>
      <c r="Q18" s="42" t="n">
        <f aca="false">IFERROR(INDEX(rep_cse,MATCH(Q$5,rep_years_bs,0)),0)</f>
        <v>268477</v>
      </c>
      <c r="R18" s="42" t="n">
        <f aca="false">IFERROR(INDEX(rep_cse,MATCH(R$5,rep_years_bs,0)),0)</f>
        <v>343479</v>
      </c>
      <c r="S18" s="42" t="n">
        <f aca="false">IFERROR(INDEX(rep_cse,MATCH(S$5,rep_years_bs,0)),0)</f>
        <v>442387</v>
      </c>
    </row>
    <row r="19" customFormat="false" ht="15" hidden="false" customHeight="true" outlineLevel="0" collapsed="false">
      <c r="A19" s="26" t="s">
        <v>535</v>
      </c>
      <c r="B19" s="43" t="n">
        <f aca="false">IFERROR(INDEX(rep_shares,MATCH(B$5,rep_years_bs,0)),0)</f>
        <v>8996</v>
      </c>
      <c r="C19" s="43" t="n">
        <f aca="false">IFERROR(INDEX(rep_shares,MATCH(C$5,rep_years_bs,0)),0)</f>
        <v>8927</v>
      </c>
      <c r="D19" s="43" t="n">
        <f aca="false">IFERROR(INDEX(rep_shares,MATCH(D$5,rep_years_bs,0)),0)</f>
        <v>8593</v>
      </c>
      <c r="E19" s="43" t="n">
        <f aca="false">IFERROR(INDEX(rep_shares,MATCH(E$5,rep_years_bs,0)),0)</f>
        <v>8506</v>
      </c>
      <c r="F19" s="43" t="n">
        <f aca="false">IFERROR(INDEX(rep_shares,MATCH(F$5,rep_years_bs,0)),0)</f>
        <v>8470</v>
      </c>
      <c r="G19" s="43" t="n">
        <f aca="false">IFERROR(INDEX(rep_shares,MATCH(G$5,rep_years_bs,0)),0)</f>
        <v>8399</v>
      </c>
      <c r="H19" s="43" t="n">
        <f aca="false">IFERROR(INDEX(rep_shares,MATCH(H$5,rep_years_bs,0)),0)</f>
        <v>8254</v>
      </c>
      <c r="I19" s="43" t="n">
        <f aca="false">IFERROR(INDEX(rep_shares,MATCH(I$5,rep_years_bs,0)),0)</f>
        <v>8013</v>
      </c>
      <c r="J19" s="43" t="n">
        <f aca="false">IFERROR(INDEX(rep_shares,MATCH(J$5,rep_years_bs,0)),0)</f>
        <v>7832</v>
      </c>
      <c r="K19" s="43" t="n">
        <f aca="false">IFERROR(INDEX(rep_shares,MATCH(K$5,rep_years_bs,0)),0)</f>
        <v>7794</v>
      </c>
      <c r="L19" s="43" t="n">
        <f aca="false">IFERROR(INDEX(rep_shares,MATCH(L$5,rep_years_bs,0)),0)</f>
        <v>7753</v>
      </c>
      <c r="M19" s="43" t="n">
        <f aca="false">IFERROR(INDEX(rep_shares,MATCH(M$5,rep_years_bs,0)),0)</f>
        <v>7683</v>
      </c>
      <c r="N19" s="43" t="n">
        <f aca="false">IFERROR(INDEX(rep_shares,MATCH(N$5,rep_years_bs,0)),0)</f>
        <v>7608</v>
      </c>
      <c r="O19" s="43" t="n">
        <f aca="false">IFERROR(INDEX(rep_shares,MATCH(O$5,rep_years_bs,0)),0)</f>
        <v>7540</v>
      </c>
      <c r="P19" s="43" t="n">
        <f aca="false">IFERROR(INDEX(rep_shares,MATCH(P$5,rep_years_bs,0)),0)</f>
        <v>7472</v>
      </c>
      <c r="Q19" s="43" t="n">
        <f aca="false">IFERROR(INDEX(rep_shares,MATCH(Q$5,rep_years_bs,0)),0)</f>
        <v>7469</v>
      </c>
      <c r="R19" s="43" t="n">
        <f aca="false">IFERROR(INDEX(rep_shares,MATCH(R$5,rep_years_bs,0)),0)</f>
        <v>7465</v>
      </c>
      <c r="S19" s="43" t="n">
        <f aca="false">IFERROR(INDEX(rep_shares,MATCH(S$5,rep_years_bs,0)),0)</f>
        <v>7453</v>
      </c>
    </row>
    <row r="20" customFormat="false" ht="15" hidden="false" customHeight="true" outlineLevel="0" collapsed="false">
      <c r="A20" s="26" t="s">
        <v>536</v>
      </c>
      <c r="B20" s="42" t="n">
        <f aca="false">IFERROR(INDEX(rep_oi,MATCH(B$5,rep_years_is,0)),0)</f>
        <v>20363</v>
      </c>
      <c r="C20" s="42" t="n">
        <f aca="false">IFERROR(INDEX(rep_oi,MATCH(C$5,rep_years_is,0)),0)</f>
        <v>24098</v>
      </c>
      <c r="D20" s="42" t="n">
        <f aca="false">IFERROR(INDEX(rep_oi,MATCH(D$5,rep_years_is,0)),0)</f>
        <v>27161</v>
      </c>
      <c r="E20" s="42" t="n">
        <f aca="false">IFERROR(INDEX(rep_oi,MATCH(E$5,rep_years_is,0)),0)</f>
        <v>21763</v>
      </c>
      <c r="F20" s="42" t="n">
        <f aca="false">IFERROR(INDEX(rep_oi,MATCH(F$5,rep_years_is,0)),0)</f>
        <v>26764</v>
      </c>
      <c r="G20" s="42" t="n">
        <f aca="false">IFERROR(INDEX(rep_oi,MATCH(G$5,rep_years_is,0)),0)</f>
        <v>27759</v>
      </c>
      <c r="H20" s="42" t="n">
        <f aca="false">IFERROR(INDEX(rep_oi,MATCH(H$5,rep_years_is,0)),0)</f>
        <v>18161</v>
      </c>
      <c r="I20" s="42" t="n">
        <f aca="false">IFERROR(INDEX(rep_oi,MATCH(I$5,rep_years_is,0)),0)</f>
        <v>26078</v>
      </c>
      <c r="J20" s="42" t="n">
        <f aca="false">IFERROR(INDEX(rep_oi,MATCH(J$5,rep_years_is,0)),0)</f>
        <v>29025</v>
      </c>
      <c r="K20" s="42" t="n">
        <f aca="false">IFERROR(INDEX(rep_oi,MATCH(K$5,rep_years_is,0)),0)</f>
        <v>35058</v>
      </c>
      <c r="L20" s="42" t="n">
        <f aca="false">IFERROR(INDEX(rep_oi,MATCH(L$5,rep_years_is,0)),0)</f>
        <v>42959</v>
      </c>
      <c r="M20" s="42" t="n">
        <f aca="false">IFERROR(INDEX(rep_oi,MATCH(M$5,rep_years_is,0)),0)</f>
        <v>52959</v>
      </c>
      <c r="N20" s="42" t="n">
        <f aca="false">IFERROR(INDEX(rep_oi,MATCH(N$5,rep_years_is,0)),0)</f>
        <v>69916</v>
      </c>
      <c r="O20" s="42" t="n">
        <f aca="false">IFERROR(INDEX(rep_oi,MATCH(O$5,rep_years_is,0)),0)</f>
        <v>83383</v>
      </c>
      <c r="P20" s="42" t="n">
        <f aca="false">IFERROR(INDEX(rep_oi,MATCH(P$5,rep_years_is,0)),0)</f>
        <v>88523</v>
      </c>
      <c r="Q20" s="42" t="n">
        <f aca="false">IFERROR(INDEX(rep_oi,MATCH(Q$5,rep_years_is,0)),0)</f>
        <v>109433</v>
      </c>
      <c r="R20" s="42" t="n">
        <f aca="false">IFERROR(INDEX(rep_oi,MATCH(R$5,rep_years_is,0)),0)</f>
        <v>128528</v>
      </c>
      <c r="S20" s="42" t="n">
        <f aca="false">IFERROR(INDEX(rep_oi,MATCH(S$5,rep_years_is,0)),0)</f>
        <v>155237</v>
      </c>
    </row>
    <row r="21" customFormat="false" ht="15" hidden="false" customHeight="true" outlineLevel="0" collapsed="false">
      <c r="A21" s="26" t="s">
        <v>537</v>
      </c>
      <c r="B21" s="42" t="n">
        <f aca="false">IFERROR(INDEX(rep_da,MATCH(B$5,rep_years_is,0)),0)</f>
        <v>0</v>
      </c>
      <c r="C21" s="42" t="n">
        <f aca="false">IFERROR(INDEX(rep_da,MATCH(C$5,rep_years_is,0)),0)</f>
        <v>0</v>
      </c>
      <c r="D21" s="42" t="n">
        <f aca="false">IFERROR(INDEX(rep_da,MATCH(D$5,rep_years_is,0)),0)</f>
        <v>0</v>
      </c>
      <c r="E21" s="42" t="n">
        <f aca="false">IFERROR(INDEX(rep_da,MATCH(E$5,rep_years_is,0)),0)</f>
        <v>0</v>
      </c>
      <c r="F21" s="42" t="n">
        <f aca="false">IFERROR(INDEX(rep_da,MATCH(F$5,rep_years_is,0)),0)</f>
        <v>0</v>
      </c>
      <c r="G21" s="42" t="n">
        <f aca="false">IFERROR(INDEX(rep_da,MATCH(G$5,rep_years_is,0)),0)</f>
        <v>0</v>
      </c>
      <c r="H21" s="42" t="n">
        <f aca="false">IFERROR(INDEX(rep_da,MATCH(H$5,rep_years_is,0)),0)</f>
        <v>0</v>
      </c>
      <c r="I21" s="42" t="n">
        <f aca="false">IFERROR(INDEX(rep_da,MATCH(I$5,rep_years_is,0)),0)</f>
        <v>0</v>
      </c>
      <c r="J21" s="42" t="n">
        <f aca="false">IFERROR(INDEX(rep_da,MATCH(J$5,rep_years_is,0)),0)</f>
        <v>8778</v>
      </c>
      <c r="K21" s="42" t="n">
        <f aca="false">IFERROR(INDEX(rep_da,MATCH(K$5,rep_years_is,0)),0)</f>
        <v>10261</v>
      </c>
      <c r="L21" s="42" t="n">
        <f aca="false">IFERROR(INDEX(rep_da,MATCH(L$5,rep_years_is,0)),0)</f>
        <v>11682</v>
      </c>
      <c r="M21" s="42" t="n">
        <f aca="false">IFERROR(INDEX(rep_da,MATCH(M$5,rep_years_is,0)),0)</f>
        <v>12796</v>
      </c>
      <c r="N21" s="42" t="n">
        <f aca="false">IFERROR(INDEX(rep_da,MATCH(N$5,rep_years_is,0)),0)</f>
        <v>11686</v>
      </c>
      <c r="O21" s="42" t="n">
        <f aca="false">IFERROR(INDEX(rep_da,MATCH(O$5,rep_years_is,0)),0)</f>
        <v>14460</v>
      </c>
      <c r="P21" s="42" t="n">
        <f aca="false">IFERROR(INDEX(rep_da,MATCH(P$5,rep_years_is,0)),0)</f>
        <v>13861</v>
      </c>
      <c r="Q21" s="42" t="n">
        <f aca="false">IFERROR(INDEX(rep_da,MATCH(Q$5,rep_years_is,0)),0)</f>
        <v>22287</v>
      </c>
      <c r="R21" s="42" t="n">
        <f aca="false">IFERROR(INDEX(rep_da,MATCH(R$5,rep_years_is,0)),0)</f>
        <v>34153</v>
      </c>
      <c r="S21" s="42" t="n">
        <f aca="false">IFERROR(INDEX(rep_da,MATCH(S$5,rep_years_is,0)),0)</f>
        <v>38534</v>
      </c>
    </row>
    <row r="22" customFormat="false" ht="15" hidden="false" customHeight="true" outlineLevel="0" collapsed="false">
      <c r="A22" s="26" t="s">
        <v>538</v>
      </c>
      <c r="B22" s="42" t="n">
        <f aca="false">IFERROR(INDEX(rep_ni,MATCH(B$5,rep_years_is,0)),0)</f>
        <v>14569</v>
      </c>
      <c r="C22" s="42" t="n">
        <f aca="false">IFERROR(INDEX(rep_ni,MATCH(C$5,rep_years_is,0)),0)</f>
        <v>18760</v>
      </c>
      <c r="D22" s="42" t="n">
        <f aca="false">IFERROR(INDEX(rep_ni,MATCH(D$5,rep_years_is,0)),0)</f>
        <v>23150</v>
      </c>
      <c r="E22" s="42" t="n">
        <f aca="false">IFERROR(INDEX(rep_ni,MATCH(E$5,rep_years_is,0)),0)</f>
        <v>16978</v>
      </c>
      <c r="F22" s="42" t="n">
        <f aca="false">IFERROR(INDEX(rep_ni,MATCH(F$5,rep_years_is,0)),0)</f>
        <v>21863</v>
      </c>
      <c r="G22" s="42" t="n">
        <f aca="false">IFERROR(INDEX(rep_ni,MATCH(G$5,rep_years_is,0)),0)</f>
        <v>22074</v>
      </c>
      <c r="H22" s="42" t="n">
        <f aca="false">IFERROR(INDEX(rep_ni,MATCH(H$5,rep_years_is,0)),0)</f>
        <v>12193</v>
      </c>
      <c r="I22" s="42" t="n">
        <f aca="false">IFERROR(INDEX(rep_ni,MATCH(I$5,rep_years_is,0)),0)</f>
        <v>16798</v>
      </c>
      <c r="J22" s="42" t="n">
        <f aca="false">IFERROR(INDEX(rep_ni,MATCH(J$5,rep_years_is,0)),0)</f>
        <v>25489</v>
      </c>
      <c r="K22" s="42" t="n">
        <f aca="false">IFERROR(INDEX(rep_ni,MATCH(K$5,rep_years_is,0)),0)</f>
        <v>16571</v>
      </c>
      <c r="L22" s="42" t="n">
        <f aca="false">IFERROR(INDEX(rep_ni,MATCH(L$5,rep_years_is,0)),0)</f>
        <v>39240</v>
      </c>
      <c r="M22" s="42" t="n">
        <f aca="false">IFERROR(INDEX(rep_ni,MATCH(M$5,rep_years_is,0)),0)</f>
        <v>44281</v>
      </c>
      <c r="N22" s="42" t="n">
        <f aca="false">IFERROR(INDEX(rep_ni,MATCH(N$5,rep_years_is,0)),0)</f>
        <v>61271</v>
      </c>
      <c r="O22" s="42" t="n">
        <f aca="false">IFERROR(INDEX(rep_ni,MATCH(O$5,rep_years_is,0)),0)</f>
        <v>72738</v>
      </c>
      <c r="P22" s="42" t="n">
        <f aca="false">IFERROR(INDEX(rep_ni,MATCH(P$5,rep_years_is,0)),0)</f>
        <v>72361</v>
      </c>
      <c r="Q22" s="42" t="n">
        <f aca="false">IFERROR(INDEX(rep_ni,MATCH(Q$5,rep_years_is,0)),0)</f>
        <v>88136</v>
      </c>
      <c r="R22" s="42" t="n">
        <f aca="false">IFERROR(INDEX(rep_ni,MATCH(R$5,rep_years_is,0)),0)</f>
        <v>101832</v>
      </c>
      <c r="S22" s="42" t="n">
        <f aca="false">IFERROR(INDEX(rep_ni,MATCH(S$5,rep_years_is,0)),0)</f>
        <v>133749</v>
      </c>
    </row>
    <row r="23" customFormat="false" ht="15" hidden="false" customHeight="true" outlineLevel="0" collapsed="false">
      <c r="A23" s="26" t="s">
        <v>539</v>
      </c>
      <c r="B23" s="42" t="n">
        <f aca="false">IFERROR(INDEX(rep_intexp,MATCH(B$5,rep_years_is,0)),0)</f>
        <v>38</v>
      </c>
      <c r="C23" s="42" t="n">
        <f aca="false">IFERROR(INDEX(rep_intexp,MATCH(C$5,rep_years_is,0)),0)</f>
        <v>151</v>
      </c>
      <c r="D23" s="42" t="n">
        <f aca="false">IFERROR(INDEX(rep_intexp,MATCH(D$5,rep_years_is,0)),0)</f>
        <v>295</v>
      </c>
      <c r="E23" s="42" t="n">
        <f aca="false">IFERROR(INDEX(rep_intexp,MATCH(E$5,rep_years_is,0)),0)</f>
        <v>380</v>
      </c>
      <c r="F23" s="42" t="n">
        <f aca="false">IFERROR(INDEX(rep_intexp,MATCH(F$5,rep_years_is,0)),0)</f>
        <v>429</v>
      </c>
      <c r="G23" s="42" t="n">
        <f aca="false">IFERROR(INDEX(rep_intexp,MATCH(G$5,rep_years_is,0)),0)</f>
        <v>597</v>
      </c>
      <c r="H23" s="42" t="n">
        <f aca="false">IFERROR(INDEX(rep_intexp,MATCH(H$5,rep_years_is,0)),0)</f>
        <v>781</v>
      </c>
      <c r="I23" s="42" t="n">
        <f aca="false">IFERROR(INDEX(rep_intexp,MATCH(I$5,rep_years_is,0)),0)</f>
        <v>1243</v>
      </c>
      <c r="J23" s="42" t="n">
        <f aca="false">IFERROR(INDEX(rep_intexp,MATCH(J$5,rep_years_is,0)),0)</f>
        <v>2222</v>
      </c>
      <c r="K23" s="42" t="n">
        <f aca="false">IFERROR(INDEX(rep_intexp,MATCH(K$5,rep_years_is,0)),0)</f>
        <v>2733</v>
      </c>
      <c r="L23" s="42" t="n">
        <f aca="false">IFERROR(INDEX(rep_intexp,MATCH(L$5,rep_years_is,0)),0)</f>
        <v>2686</v>
      </c>
      <c r="M23" s="42" t="n">
        <f aca="false">IFERROR(INDEX(rep_intexp,MATCH(M$5,rep_years_is,0)),0)</f>
        <v>2591</v>
      </c>
      <c r="N23" s="42" t="n">
        <f aca="false">IFERROR(INDEX(rep_intexp,MATCH(N$5,rep_years_is,0)),0)</f>
        <v>2346</v>
      </c>
      <c r="O23" s="42" t="n">
        <f aca="false">IFERROR(INDEX(rep_intexp,MATCH(O$5,rep_years_is,0)),0)</f>
        <v>2063</v>
      </c>
      <c r="P23" s="42" t="n">
        <f aca="false">IFERROR(INDEX(rep_intexp,MATCH(P$5,rep_years_is,0)),0)</f>
        <v>1968</v>
      </c>
      <c r="Q23" s="42" t="n">
        <f aca="false">IFERROR(INDEX(rep_intexp,MATCH(Q$5,rep_years_is,0)),0)</f>
        <v>2935</v>
      </c>
      <c r="R23" s="42" t="n">
        <f aca="false">IFERROR(INDEX(rep_intexp,MATCH(R$5,rep_years_is,0)),0)</f>
        <v>2385</v>
      </c>
      <c r="S23" s="42" t="n">
        <f aca="false">IFERROR(INDEX(rep_intexp,MATCH(S$5,rep_years_is,0)),0)</f>
        <v>3051</v>
      </c>
    </row>
    <row r="24" customFormat="false" ht="15" hidden="false" customHeight="true" outlineLevel="0" collapsed="false">
      <c r="A24" s="26" t="s">
        <v>540</v>
      </c>
      <c r="B24" s="44" t="n">
        <f aca="false">IFERROR(INDEX(rep_taxrate,MATCH(B$5,rep_years_is,0)),0)</f>
        <v>0.264971</v>
      </c>
      <c r="C24" s="44" t="n">
        <f aca="false">IFERROR(INDEX(rep_taxrate,MATCH(C$5,rep_years_is,0)),0)</f>
        <v>0.24999</v>
      </c>
      <c r="D24" s="44" t="n">
        <f aca="false">IFERROR(INDEX(rep_taxrate,MATCH(D$5,rep_years_is,0)),0)</f>
        <v>0.175305</v>
      </c>
      <c r="E24" s="44" t="n">
        <f aca="false">IFERROR(INDEX(rep_taxrate,MATCH(E$5,rep_years_is,0)),0)</f>
        <v>0.237526</v>
      </c>
      <c r="F24" s="44" t="n">
        <f aca="false">IFERROR(INDEX(rep_taxrate,MATCH(F$5,rep_years_is,0)),0)</f>
        <v>0.191816</v>
      </c>
      <c r="G24" s="44" t="n">
        <f aca="false">IFERROR(INDEX(rep_taxrate,MATCH(G$5,rep_years_is,0)),0)</f>
        <v>0.206542</v>
      </c>
      <c r="H24" s="44" t="n">
        <f aca="false">IFERROR(INDEX(rep_taxrate,MATCH(H$5,rep_years_is,0)),0)</f>
        <v>0.341168</v>
      </c>
      <c r="I24" s="44" t="n">
        <f aca="false">IFERROR(INDEX(rep_taxrate,MATCH(I$5,rep_years_is,0)),0)</f>
        <v>0.198916</v>
      </c>
      <c r="J24" s="44" t="n">
        <f aca="false">IFERROR(INDEX(rep_taxrate,MATCH(J$5,rep_years_is,0)),0)</f>
        <v>0.147554</v>
      </c>
      <c r="K24" s="44" t="n">
        <f aca="false">IFERROR(INDEX(rep_taxrate,MATCH(K$5,rep_years_is,0)),0)</f>
        <v>0.545676</v>
      </c>
      <c r="L24" s="44" t="n">
        <f aca="false">IFERROR(INDEX(rep_taxrate,MATCH(L$5,rep_years_is,0)),0)</f>
        <v>0.101813</v>
      </c>
      <c r="M24" s="44" t="n">
        <f aca="false">IFERROR(INDEX(rep_taxrate,MATCH(M$5,rep_years_is,0)),0)</f>
        <v>0.165077</v>
      </c>
      <c r="N24" s="44" t="n">
        <f aca="false">IFERROR(INDEX(rep_taxrate,MATCH(N$5,rep_years_is,0)),0)</f>
        <v>0.138266</v>
      </c>
      <c r="O24" s="44" t="n">
        <f aca="false">IFERROR(INDEX(rep_taxrate,MATCH(O$5,rep_years_is,0)),0)</f>
        <v>0.131134</v>
      </c>
      <c r="P24" s="44" t="n">
        <f aca="false">IFERROR(INDEX(rep_taxrate,MATCH(P$5,rep_years_is,0)),0)</f>
        <v>0.189786</v>
      </c>
      <c r="Q24" s="44" t="n">
        <f aca="false">IFERROR(INDEX(rep_taxrate,MATCH(Q$5,rep_years_is,0)),0)</f>
        <v>0.182313</v>
      </c>
      <c r="R24" s="44" t="n">
        <f aca="false">IFERROR(INDEX(rep_taxrate,MATCH(R$5,rep_years_is,0)),0)</f>
        <v>0.176296</v>
      </c>
      <c r="S24" s="44" t="n">
        <f aca="false">IFERROR(INDEX(rep_taxrate,MATCH(S$5,rep_years_is,0)),0)</f>
        <v>0.193963</v>
      </c>
    </row>
    <row r="25" customFormat="false" ht="15" hidden="false" customHeight="true" outlineLevel="0" collapsed="false">
      <c r="A25" s="26" t="s">
        <v>541</v>
      </c>
      <c r="B25" s="42" t="n">
        <f aca="false">IFERROR(INDEX(rep_oci,MATCH(B$5,rep_years_bs,0)),0)</f>
        <v>969</v>
      </c>
      <c r="C25" s="42" t="n">
        <f aca="false">IFERROR(INDEX(rep_oci,MATCH(C$5,rep_years_bs,0)),0)</f>
        <v>-8629</v>
      </c>
      <c r="D25" s="42" t="n">
        <f aca="false">IFERROR(INDEX(rep_oci,MATCH(D$5,rep_years_bs,0)),0)</f>
        <v>1863</v>
      </c>
      <c r="E25" s="42" t="n">
        <f aca="false">IFERROR(INDEX(rep_oci,MATCH(E$5,rep_years_bs,0)),0)</f>
        <v>1422</v>
      </c>
      <c r="F25" s="42" t="n">
        <f aca="false">IFERROR(INDEX(rep_oci,MATCH(F$5,rep_years_bs,0)),0)</f>
        <v>1743</v>
      </c>
      <c r="G25" s="42" t="n">
        <f aca="false">IFERROR(INDEX(rep_oci,MATCH(G$5,rep_years_bs,0)),0)</f>
        <v>3708</v>
      </c>
      <c r="H25" s="42" t="n">
        <f aca="false">IFERROR(INDEX(rep_oci,MATCH(H$5,rep_years_bs,0)),0)</f>
        <v>2522</v>
      </c>
      <c r="I25" s="42" t="n">
        <f aca="false">IFERROR(INDEX(rep_oci,MATCH(I$5,rep_years_bs,0)),0)</f>
        <v>1537</v>
      </c>
      <c r="J25" s="42" t="n">
        <f aca="false">IFERROR(INDEX(rep_oci,MATCH(J$5,rep_years_bs,0)),0)</f>
        <v>431</v>
      </c>
      <c r="K25" s="42" t="n">
        <f aca="false">IFERROR(INDEX(rep_oci,MATCH(K$5,rep_years_bs,0)),0)</f>
        <v>-2187</v>
      </c>
      <c r="L25" s="42" t="n">
        <f aca="false">IFERROR(INDEX(rep_oci,MATCH(L$5,rep_years_bs,0)),0)</f>
        <v>-340</v>
      </c>
      <c r="M25" s="42" t="n">
        <f aca="false">IFERROR(INDEX(rep_oci,MATCH(M$5,rep_years_bs,0)),0)</f>
        <v>3186</v>
      </c>
      <c r="N25" s="42" t="n">
        <f aca="false">IFERROR(INDEX(rep_oci,MATCH(N$5,rep_years_bs,0)),0)</f>
        <v>1822</v>
      </c>
      <c r="O25" s="42" t="n">
        <f aca="false">IFERROR(INDEX(rep_oci,MATCH(O$5,rep_years_bs,0)),0)</f>
        <v>-4678</v>
      </c>
      <c r="P25" s="42" t="n">
        <f aca="false">IFERROR(INDEX(rep_oci,MATCH(P$5,rep_years_bs,0)),0)</f>
        <v>-6343</v>
      </c>
      <c r="Q25" s="42" t="n">
        <f aca="false">IFERROR(INDEX(rep_oci,MATCH(Q$5,rep_years_bs,0)),0)</f>
        <v>-5590</v>
      </c>
      <c r="R25" s="42" t="n">
        <f aca="false">IFERROR(INDEX(rep_oci,MATCH(R$5,rep_years_bs,0)),0)</f>
        <v>-3347</v>
      </c>
      <c r="S25" s="42" t="n">
        <f aca="false">IFERROR(INDEX(rep_oci,MATCH(S$5,rep_years_bs,0)),0)</f>
        <v>-3284</v>
      </c>
    </row>
    <row r="26" customFormat="false" ht="15" hidden="false" customHeight="true" outlineLevel="0" collapsed="false">
      <c r="A26" s="26" t="s">
        <v>542</v>
      </c>
      <c r="B26" s="42" t="n">
        <f aca="false">IFERROR(INDEX(rep_div,MATCH(B$5,rep_years_cf,0)),0)</f>
        <v>-4468</v>
      </c>
      <c r="C26" s="42" t="n">
        <f aca="false">IFERROR(INDEX(rep_div,MATCH(C$5,rep_years_cf,0)),0)</f>
        <v>-4578</v>
      </c>
      <c r="D26" s="42" t="n">
        <f aca="false">IFERROR(INDEX(rep_div,MATCH(D$5,rep_years_cf,0)),0)</f>
        <v>-5180</v>
      </c>
      <c r="E26" s="42" t="n">
        <f aca="false">IFERROR(INDEX(rep_div,MATCH(E$5,rep_years_cf,0)),0)</f>
        <v>-6385</v>
      </c>
      <c r="F26" s="42" t="n">
        <f aca="false">IFERROR(INDEX(rep_div,MATCH(F$5,rep_years_cf,0)),0)</f>
        <v>-7455</v>
      </c>
      <c r="G26" s="42" t="n">
        <f aca="false">IFERROR(INDEX(rep_div,MATCH(G$5,rep_years_cf,0)),0)</f>
        <v>-8879</v>
      </c>
      <c r="H26" s="42" t="n">
        <f aca="false">IFERROR(INDEX(rep_div,MATCH(H$5,rep_years_cf,0)),0)</f>
        <v>-9882</v>
      </c>
      <c r="I26" s="42" t="n">
        <f aca="false">IFERROR(INDEX(rep_div,MATCH(I$5,rep_years_cf,0)),0)</f>
        <v>-11006</v>
      </c>
      <c r="J26" s="42" t="n">
        <f aca="false">IFERROR(INDEX(rep_div,MATCH(J$5,rep_years_cf,0)),0)</f>
        <v>-11845</v>
      </c>
      <c r="K26" s="42" t="n">
        <f aca="false">IFERROR(INDEX(rep_div,MATCH(K$5,rep_years_cf,0)),0)</f>
        <v>-12699</v>
      </c>
      <c r="L26" s="42" t="n">
        <f aca="false">IFERROR(INDEX(rep_div,MATCH(L$5,rep_years_cf,0)),0)</f>
        <v>-13811</v>
      </c>
      <c r="M26" s="42" t="n">
        <f aca="false">IFERROR(INDEX(rep_div,MATCH(M$5,rep_years_cf,0)),0)</f>
        <v>-15137</v>
      </c>
      <c r="N26" s="42" t="n">
        <f aca="false">IFERROR(INDEX(rep_div,MATCH(N$5,rep_years_cf,0)),0)</f>
        <v>-16521</v>
      </c>
      <c r="O26" s="42" t="n">
        <f aca="false">IFERROR(INDEX(rep_div,MATCH(O$5,rep_years_cf,0)),0)</f>
        <v>-18135</v>
      </c>
      <c r="P26" s="42" t="n">
        <f aca="false">IFERROR(INDEX(rep_div,MATCH(P$5,rep_years_cf,0)),0)</f>
        <v>-19800</v>
      </c>
      <c r="Q26" s="42" t="n">
        <f aca="false">IFERROR(INDEX(rep_div,MATCH(Q$5,rep_years_cf,0)),0)</f>
        <v>-21771</v>
      </c>
      <c r="R26" s="42" t="n">
        <f aca="false">IFERROR(INDEX(rep_div,MATCH(R$5,rep_years_cf,0)),0)</f>
        <v>-24082</v>
      </c>
      <c r="S26" s="42" t="n">
        <f aca="false">IFERROR(INDEX(rep_div,MATCH(S$5,rep_years_cf,0)),0)</f>
        <v>-26445</v>
      </c>
    </row>
    <row r="27" customFormat="false" ht="15" hidden="false" customHeight="true" outlineLevel="0" collapsed="false">
      <c r="A27" s="26" t="s">
        <v>543</v>
      </c>
      <c r="B27" s="42" t="n">
        <f aca="false">IFERROR(INDEX(rep_repurch,MATCH(B$5,rep_years_cf,0)),0)</f>
        <v>-9353</v>
      </c>
      <c r="C27" s="42" t="n">
        <f aca="false">IFERROR(INDEX(rep_repurch,MATCH(C$5,rep_years_cf,0)),0)</f>
        <v>-11269</v>
      </c>
      <c r="D27" s="42" t="n">
        <f aca="false">IFERROR(INDEX(rep_repurch,MATCH(D$5,rep_years_cf,0)),0)</f>
        <v>-11555</v>
      </c>
      <c r="E27" s="42" t="n">
        <f aca="false">IFERROR(INDEX(rep_repurch,MATCH(E$5,rep_years_cf,0)),0)</f>
        <v>-5029</v>
      </c>
      <c r="F27" s="42" t="n">
        <f aca="false">IFERROR(INDEX(rep_repurch,MATCH(F$5,rep_years_cf,0)),0)</f>
        <v>-5360</v>
      </c>
      <c r="G27" s="42" t="n">
        <f aca="false">IFERROR(INDEX(rep_repurch,MATCH(G$5,rep_years_cf,0)),0)</f>
        <v>-7316</v>
      </c>
      <c r="H27" s="42" t="n">
        <f aca="false">IFERROR(INDEX(rep_repurch,MATCH(H$5,rep_years_cf,0)),0)</f>
        <v>-14443</v>
      </c>
      <c r="I27" s="42" t="n">
        <f aca="false">IFERROR(INDEX(rep_repurch,MATCH(I$5,rep_years_cf,0)),0)</f>
        <v>-15969</v>
      </c>
      <c r="J27" s="42" t="n">
        <f aca="false">IFERROR(INDEX(rep_repurch,MATCH(J$5,rep_years_cf,0)),0)</f>
        <v>-11788</v>
      </c>
      <c r="K27" s="42" t="n">
        <f aca="false">IFERROR(INDEX(rep_repurch,MATCH(K$5,rep_years_cf,0)),0)</f>
        <v>-10721</v>
      </c>
      <c r="L27" s="42" t="n">
        <f aca="false">IFERROR(INDEX(rep_repurch,MATCH(L$5,rep_years_cf,0)),0)</f>
        <v>-19543</v>
      </c>
      <c r="M27" s="42" t="n">
        <f aca="false">IFERROR(INDEX(rep_repurch,MATCH(M$5,rep_years_cf,0)),0)</f>
        <v>-22968</v>
      </c>
      <c r="N27" s="42" t="n">
        <f aca="false">IFERROR(INDEX(rep_repurch,MATCH(N$5,rep_years_cf,0)),0)</f>
        <v>-27385</v>
      </c>
      <c r="O27" s="42" t="n">
        <f aca="false">IFERROR(INDEX(rep_repurch,MATCH(O$5,rep_years_cf,0)),0)</f>
        <v>-32696</v>
      </c>
      <c r="P27" s="42" t="n">
        <f aca="false">IFERROR(INDEX(rep_repurch,MATCH(P$5,rep_years_cf,0)),0)</f>
        <v>-22245</v>
      </c>
      <c r="Q27" s="42" t="n">
        <f aca="false">IFERROR(INDEX(rep_repurch,MATCH(Q$5,rep_years_cf,0)),0)</f>
        <v>-17254</v>
      </c>
      <c r="R27" s="42" t="n">
        <f aca="false">IFERROR(INDEX(rep_repurch,MATCH(R$5,rep_years_cf,0)),0)</f>
        <v>-18420</v>
      </c>
      <c r="S27" s="42" t="n">
        <f aca="false">IFERROR(INDEX(rep_repurch,MATCH(S$5,rep_years_cf,0)),0)</f>
        <v>-22271</v>
      </c>
    </row>
    <row r="29" customFormat="false" ht="15" hidden="false" customHeight="true" outlineLevel="0" collapsed="false">
      <c r="A29" s="4" t="s">
        <v>544</v>
      </c>
    </row>
    <row r="30" customFormat="false" ht="15" hidden="false" customHeight="true" outlineLevel="0" collapsed="false">
      <c r="A30" s="26" t="s">
        <v>545</v>
      </c>
      <c r="B30" s="42" t="n">
        <f aca="false">B14+B15</f>
        <v>5756</v>
      </c>
      <c r="C30" s="42" t="n">
        <f aca="false">C14+C15</f>
        <v>5939</v>
      </c>
      <c r="D30" s="42" t="n">
        <f aca="false">D14+D15</f>
        <v>17284</v>
      </c>
      <c r="E30" s="42" t="n">
        <f aca="false">E14+E15</f>
        <v>11944</v>
      </c>
      <c r="F30" s="42" t="n">
        <f aca="false">F14+F15</f>
        <v>15600</v>
      </c>
      <c r="G30" s="42" t="n">
        <f aca="false">G14+G15</f>
        <v>22645</v>
      </c>
      <c r="H30" s="42" t="n">
        <f aca="false">H14+H15</f>
        <v>35292</v>
      </c>
      <c r="I30" s="42" t="n">
        <f aca="false">I14+I15</f>
        <v>53687</v>
      </c>
      <c r="J30" s="42" t="n">
        <f aca="false">J14+J15</f>
        <v>86194</v>
      </c>
      <c r="K30" s="42" t="n">
        <f aca="false">K14+K15</f>
        <v>81808</v>
      </c>
      <c r="L30" s="42" t="n">
        <f aca="false">L14+L15</f>
        <v>78366</v>
      </c>
      <c r="M30" s="42" t="n">
        <f aca="false">M14+M15</f>
        <v>70998</v>
      </c>
      <c r="N30" s="42" t="n">
        <f aca="false">N14+N15</f>
        <v>67775</v>
      </c>
      <c r="O30" s="42" t="n">
        <f aca="false">O14+O15</f>
        <v>61270</v>
      </c>
      <c r="P30" s="42" t="n">
        <f aca="false">P14+P15</f>
        <v>59965</v>
      </c>
      <c r="Q30" s="42" t="n">
        <f aca="false">Q14+Q15</f>
        <v>67127</v>
      </c>
      <c r="R30" s="42" t="n">
        <f aca="false">R14+R15</f>
        <v>60588</v>
      </c>
      <c r="S30" s="42" t="n">
        <f aca="false">S14+S15</f>
        <v>128808.3</v>
      </c>
    </row>
    <row r="31" customFormat="false" ht="15" hidden="false" customHeight="true" outlineLevel="0" collapsed="false">
      <c r="A31" s="26" t="s">
        <v>546</v>
      </c>
      <c r="B31" s="42" t="n">
        <f aca="false">B12+B13</f>
        <v>31447</v>
      </c>
      <c r="C31" s="42" t="n">
        <f aca="false">C12+C13</f>
        <v>36788</v>
      </c>
      <c r="D31" s="42" t="n">
        <f aca="false">D12+D13</f>
        <v>52772</v>
      </c>
      <c r="E31" s="42" t="n">
        <f aca="false">E12+E13</f>
        <v>63040</v>
      </c>
      <c r="F31" s="42" t="n">
        <f aca="false">F12+F13</f>
        <v>77022</v>
      </c>
      <c r="G31" s="42" t="n">
        <f aca="false">G12+G13</f>
        <v>85709</v>
      </c>
      <c r="H31" s="42" t="n">
        <f aca="false">H12+H13</f>
        <v>96526</v>
      </c>
      <c r="I31" s="42" t="n">
        <f aca="false">I12+I13</f>
        <v>113240</v>
      </c>
      <c r="J31" s="42" t="n">
        <f aca="false">J12+J13</f>
        <v>132981</v>
      </c>
      <c r="K31" s="42" t="n">
        <f aca="false">K12+K13</f>
        <v>133768</v>
      </c>
      <c r="L31" s="42" t="n">
        <f aca="false">L12+L13</f>
        <v>133819</v>
      </c>
      <c r="M31" s="42" t="n">
        <f aca="false">M12+M13</f>
        <v>136527</v>
      </c>
      <c r="N31" s="42" t="n">
        <f aca="false">N12+N13</f>
        <v>130334</v>
      </c>
      <c r="O31" s="42" t="n">
        <f aca="false">O12+O13</f>
        <v>104757</v>
      </c>
      <c r="P31" s="42" t="n">
        <f aca="false">P12+P13</f>
        <v>111262</v>
      </c>
      <c r="Q31" s="42" t="n">
        <f aca="false">Q12+Q13</f>
        <v>75531</v>
      </c>
      <c r="R31" s="42" t="n">
        <f aca="false">R12+R13</f>
        <v>94555</v>
      </c>
      <c r="S31" s="42" t="n">
        <f aca="false">S12+S13</f>
        <v>76843</v>
      </c>
    </row>
    <row r="32" customFormat="false" ht="15" hidden="false" customHeight="true" outlineLevel="0" collapsed="false">
      <c r="A32" s="26" t="s">
        <v>547</v>
      </c>
      <c r="B32" s="42" t="n">
        <f aca="false">B30-B31+B16</f>
        <v>-25691</v>
      </c>
      <c r="C32" s="42" t="n">
        <f aca="false">C30-C31+C16</f>
        <v>-30849</v>
      </c>
      <c r="D32" s="42" t="n">
        <f aca="false">D30-D31+D16</f>
        <v>-35488</v>
      </c>
      <c r="E32" s="42" t="n">
        <f aca="false">E30-E31+E16</f>
        <v>-51096</v>
      </c>
      <c r="F32" s="42" t="n">
        <f aca="false">F30-F31+F16</f>
        <v>-61422</v>
      </c>
      <c r="G32" s="42" t="n">
        <f aca="false">G30-G31+G16</f>
        <v>-63064</v>
      </c>
      <c r="H32" s="42" t="n">
        <f aca="false">H30-H31+H16</f>
        <v>-61234</v>
      </c>
      <c r="I32" s="42" t="n">
        <f aca="false">I30-I31+I16</f>
        <v>-59553</v>
      </c>
      <c r="J32" s="42" t="n">
        <f aca="false">J30-J31+J16</f>
        <v>-46787</v>
      </c>
      <c r="K32" s="42" t="n">
        <f aca="false">K30-K31+K16</f>
        <v>-51960</v>
      </c>
      <c r="L32" s="42" t="n">
        <f aca="false">L30-L31+L16</f>
        <v>-55453</v>
      </c>
      <c r="M32" s="42" t="n">
        <f aca="false">M30-M31+M16</f>
        <v>-65529</v>
      </c>
      <c r="N32" s="42" t="n">
        <f aca="false">N30-N31+N16</f>
        <v>-62559</v>
      </c>
      <c r="O32" s="42" t="n">
        <f aca="false">O30-O31+O16</f>
        <v>-43487</v>
      </c>
      <c r="P32" s="42" t="n">
        <f aca="false">P30-P31+P16</f>
        <v>-51297</v>
      </c>
      <c r="Q32" s="42" t="n">
        <f aca="false">Q30-Q31+Q16</f>
        <v>-8404</v>
      </c>
      <c r="R32" s="42" t="n">
        <f aca="false">R30-R31+R16</f>
        <v>-33967</v>
      </c>
      <c r="S32" s="42" t="n">
        <f aca="false">S30-S31+S16</f>
        <v>51965.3</v>
      </c>
    </row>
    <row r="33" customFormat="false" ht="15" hidden="false" customHeight="true" outlineLevel="0" collapsed="false">
      <c r="A33" s="26" t="s">
        <v>548</v>
      </c>
      <c r="B33" s="42" t="n">
        <f aca="false">B10-B31</f>
        <v>46441</v>
      </c>
      <c r="C33" s="42" t="n">
        <f aca="false">C10-C31</f>
        <v>49325</v>
      </c>
      <c r="D33" s="42" t="n">
        <f aca="false">D10-D31</f>
        <v>55932</v>
      </c>
      <c r="E33" s="42" t="n">
        <f aca="false">E10-E31</f>
        <v>58231</v>
      </c>
      <c r="F33" s="42" t="n">
        <f aca="false">F10-F31</f>
        <v>65409</v>
      </c>
      <c r="G33" s="42" t="n">
        <f aca="false">G10-G31</f>
        <v>86675</v>
      </c>
      <c r="H33" s="42" t="n">
        <f aca="false">H10-H31</f>
        <v>77946</v>
      </c>
      <c r="I33" s="42" t="n">
        <f aca="false">I10-I31</f>
        <v>80454</v>
      </c>
      <c r="J33" s="42" t="n">
        <f aca="false">J10-J31</f>
        <v>108105</v>
      </c>
      <c r="K33" s="42" t="n">
        <f aca="false">K10-K31</f>
        <v>125080</v>
      </c>
      <c r="L33" s="42" t="n">
        <f aca="false">L10-L31</f>
        <v>152737</v>
      </c>
      <c r="M33" s="42" t="n">
        <f aca="false">M10-M31</f>
        <v>164784</v>
      </c>
      <c r="N33" s="42" t="n">
        <f aca="false">N10-N31</f>
        <v>203445</v>
      </c>
      <c r="O33" s="42" t="n">
        <f aca="false">O10-O31</f>
        <v>260083</v>
      </c>
      <c r="P33" s="42" t="n">
        <f aca="false">P10-P31</f>
        <v>300714</v>
      </c>
      <c r="Q33" s="42" t="n">
        <f aca="false">Q10-Q31</f>
        <v>436632</v>
      </c>
      <c r="R33" s="42" t="n">
        <f aca="false">R10-R31</f>
        <v>524448</v>
      </c>
      <c r="S33" s="42" t="n">
        <f aca="false">S10-S31</f>
        <v>681533</v>
      </c>
    </row>
    <row r="34" customFormat="false" ht="15" hidden="false" customHeight="true" outlineLevel="0" collapsed="false">
      <c r="A34" s="26" t="s">
        <v>549</v>
      </c>
      <c r="B34" s="42" t="n">
        <f aca="false">B11-B30</f>
        <v>32574</v>
      </c>
      <c r="C34" s="42" t="n">
        <f aca="false">C11-C30</f>
        <v>33999</v>
      </c>
      <c r="D34" s="42" t="n">
        <f aca="false">D11-D30</f>
        <v>34337</v>
      </c>
      <c r="E34" s="42" t="n">
        <f aca="false">E11-E30</f>
        <v>42964</v>
      </c>
      <c r="F34" s="42" t="n">
        <f aca="false">F11-F30</f>
        <v>47887</v>
      </c>
      <c r="G34" s="42" t="n">
        <f aca="false">G11-G30</f>
        <v>59955</v>
      </c>
      <c r="H34" s="42" t="n">
        <f aca="false">H11-H30</f>
        <v>59097</v>
      </c>
      <c r="I34" s="42" t="n">
        <f aca="false">I11-I30</f>
        <v>68010</v>
      </c>
      <c r="J34" s="42" t="n">
        <f aca="false">J11-J30</f>
        <v>82498</v>
      </c>
      <c r="K34" s="42" t="n">
        <f aca="false">K11-K30</f>
        <v>94322</v>
      </c>
      <c r="L34" s="42" t="n">
        <f aca="false">L11-L30</f>
        <v>105860</v>
      </c>
      <c r="M34" s="42" t="n">
        <f aca="false">M11-M30</f>
        <v>112009</v>
      </c>
      <c r="N34" s="42" t="n">
        <f aca="false">N11-N30</f>
        <v>124016</v>
      </c>
      <c r="O34" s="42" t="n">
        <f aca="false">O11-O30</f>
        <v>137028</v>
      </c>
      <c r="P34" s="42" t="n">
        <f aca="false">P11-P30</f>
        <v>145788</v>
      </c>
      <c r="Q34" s="42" t="n">
        <f aca="false">Q11-Q30</f>
        <v>176559</v>
      </c>
      <c r="R34" s="42" t="n">
        <f aca="false">R11-R30</f>
        <v>214936</v>
      </c>
      <c r="S34" s="42" t="n">
        <f aca="false">S11-S30</f>
        <v>187180.7</v>
      </c>
    </row>
    <row r="35" customFormat="false" ht="15" hidden="false" customHeight="true" outlineLevel="0" collapsed="false">
      <c r="A35" s="26" t="s">
        <v>550</v>
      </c>
      <c r="B35" s="42" t="n">
        <f aca="false">B33-B34</f>
        <v>13867</v>
      </c>
      <c r="C35" s="42" t="n">
        <f aca="false">C33-C34</f>
        <v>15326</v>
      </c>
      <c r="D35" s="42" t="n">
        <f aca="false">D33-D34</f>
        <v>21595</v>
      </c>
      <c r="E35" s="42" t="n">
        <f aca="false">E33-E34</f>
        <v>15267</v>
      </c>
      <c r="F35" s="42" t="n">
        <f aca="false">F33-F34</f>
        <v>17522</v>
      </c>
      <c r="G35" s="42" t="n">
        <f aca="false">G33-G34</f>
        <v>26720</v>
      </c>
      <c r="H35" s="42" t="n">
        <f aca="false">H33-H34</f>
        <v>18849</v>
      </c>
      <c r="I35" s="42" t="n">
        <f aca="false">I33-I34</f>
        <v>12444</v>
      </c>
      <c r="J35" s="42" t="n">
        <f aca="false">J33-J34</f>
        <v>25607</v>
      </c>
      <c r="K35" s="42" t="n">
        <f aca="false">K33-K34</f>
        <v>30758</v>
      </c>
      <c r="L35" s="42" t="n">
        <f aca="false">L33-L34</f>
        <v>46877</v>
      </c>
      <c r="M35" s="42" t="n">
        <f aca="false">M33-M34</f>
        <v>52775</v>
      </c>
      <c r="N35" s="42" t="n">
        <f aca="false">N33-N34</f>
        <v>79429</v>
      </c>
      <c r="O35" s="42" t="n">
        <f aca="false">O33-O34</f>
        <v>123055</v>
      </c>
      <c r="P35" s="42" t="n">
        <f aca="false">P33-P34</f>
        <v>154926</v>
      </c>
      <c r="Q35" s="42" t="n">
        <f aca="false">Q33-Q34</f>
        <v>260073</v>
      </c>
      <c r="R35" s="42" t="n">
        <f aca="false">R33-R34</f>
        <v>309512</v>
      </c>
      <c r="S35" s="42" t="n">
        <f aca="false">S33-S34</f>
        <v>494352.3</v>
      </c>
    </row>
    <row r="36" customFormat="false" ht="15" hidden="false" customHeight="true" outlineLevel="0" collapsed="false">
      <c r="A36" s="26" t="s">
        <v>551</v>
      </c>
      <c r="B36" s="42" t="n">
        <f aca="false">B18</f>
        <v>39558</v>
      </c>
      <c r="C36" s="42" t="n">
        <f aca="false">C18</f>
        <v>46175</v>
      </c>
      <c r="D36" s="42" t="n">
        <f aca="false">D18</f>
        <v>57083</v>
      </c>
      <c r="E36" s="42" t="n">
        <f aca="false">E18</f>
        <v>66363</v>
      </c>
      <c r="F36" s="42" t="n">
        <f aca="false">F18</f>
        <v>78944</v>
      </c>
      <c r="G36" s="42" t="n">
        <f aca="false">G18</f>
        <v>89784</v>
      </c>
      <c r="H36" s="42" t="n">
        <f aca="false">H18</f>
        <v>80083</v>
      </c>
      <c r="I36" s="42" t="n">
        <f aca="false">I18</f>
        <v>71997</v>
      </c>
      <c r="J36" s="42" t="n">
        <f aca="false">J18</f>
        <v>72394</v>
      </c>
      <c r="K36" s="42" t="n">
        <f aca="false">K18</f>
        <v>82718</v>
      </c>
      <c r="L36" s="42" t="n">
        <f aca="false">L18</f>
        <v>102330</v>
      </c>
      <c r="M36" s="42" t="n">
        <f aca="false">M18</f>
        <v>118304</v>
      </c>
      <c r="N36" s="42" t="n">
        <f aca="false">N18</f>
        <v>141988</v>
      </c>
      <c r="O36" s="42" t="n">
        <f aca="false">O18</f>
        <v>166542</v>
      </c>
      <c r="P36" s="42" t="n">
        <f aca="false">P18</f>
        <v>206223</v>
      </c>
      <c r="Q36" s="42" t="n">
        <f aca="false">Q18</f>
        <v>268477</v>
      </c>
      <c r="R36" s="42" t="n">
        <f aca="false">R18</f>
        <v>343479</v>
      </c>
      <c r="S36" s="42" t="n">
        <f aca="false">S18</f>
        <v>442387</v>
      </c>
    </row>
    <row r="37" customFormat="false" ht="15" hidden="false" customHeight="true" outlineLevel="0" collapsed="false">
      <c r="A37" s="26" t="s">
        <v>552</v>
      </c>
      <c r="B37" s="45" t="n">
        <f aca="false">B35-B32-B18</f>
        <v>0</v>
      </c>
      <c r="C37" s="45" t="n">
        <f aca="false">C35-C32-C18</f>
        <v>0</v>
      </c>
      <c r="D37" s="45" t="n">
        <f aca="false">D35-D32-D18</f>
        <v>0</v>
      </c>
      <c r="E37" s="45" t="n">
        <f aca="false">E35-E32-E18</f>
        <v>0</v>
      </c>
      <c r="F37" s="45" t="n">
        <f aca="false">F35-F32-F18</f>
        <v>0</v>
      </c>
      <c r="G37" s="45" t="n">
        <f aca="false">G35-G32-G18</f>
        <v>0</v>
      </c>
      <c r="H37" s="45" t="n">
        <f aca="false">H35-H32-H18</f>
        <v>0</v>
      </c>
      <c r="I37" s="45" t="n">
        <f aca="false">I35-I32-I18</f>
        <v>0</v>
      </c>
      <c r="J37" s="45" t="n">
        <f aca="false">J35-J32-J18</f>
        <v>0</v>
      </c>
      <c r="K37" s="45" t="n">
        <f aca="false">K35-K32-K18</f>
        <v>0</v>
      </c>
      <c r="L37" s="45" t="n">
        <f aca="false">L35-L32-L18</f>
        <v>0</v>
      </c>
      <c r="M37" s="45" t="n">
        <f aca="false">M35-M32-M18</f>
        <v>0</v>
      </c>
      <c r="N37" s="45" t="n">
        <f aca="false">N35-N32-N18</f>
        <v>0</v>
      </c>
      <c r="O37" s="45" t="n">
        <f aca="false">O35-O32-O18</f>
        <v>0</v>
      </c>
      <c r="P37" s="45" t="n">
        <f aca="false">P35-P32-P18</f>
        <v>0</v>
      </c>
      <c r="Q37" s="45" t="n">
        <f aca="false">Q35-Q32-Q18</f>
        <v>0</v>
      </c>
      <c r="R37" s="45" t="n">
        <f aca="false">R35-R32-R18</f>
        <v>0</v>
      </c>
      <c r="S37" s="45" t="n">
        <f aca="false">S35-S32-S18</f>
        <v>0</v>
      </c>
    </row>
    <row r="39" customFormat="false" ht="15" hidden="false" customHeight="true" outlineLevel="0" collapsed="false">
      <c r="A39" s="4" t="s">
        <v>553</v>
      </c>
    </row>
    <row r="40" customFormat="false" ht="15" hidden="false" customHeight="true" outlineLevel="0" collapsed="false">
      <c r="A40" s="26" t="s">
        <v>554</v>
      </c>
      <c r="B40" s="42" t="n">
        <f aca="false">IFERROR(INDEX(ce_real_net_series,MATCH(VALUE(B$5),ce_years,0)),0)</f>
        <v>13601.9123105877</v>
      </c>
      <c r="C40" s="42" t="n">
        <f aca="false">IFERROR(INDEX(ce_real_net_series,MATCH(VALUE(C$5),ce_years,0)),0)</f>
        <v>14150.3462679416</v>
      </c>
      <c r="D40" s="42" t="n">
        <f aca="false">IFERROR(INDEX(ce_real_net_series,MATCH(VALUE(D$5),ce_years,0)),0)</f>
        <v>14985.4830380806</v>
      </c>
      <c r="E40" s="42" t="n">
        <f aca="false">IFERROR(INDEX(ce_real_net_series,MATCH(VALUE(E$5),ce_years,0)),0)</f>
        <v>15570.2346844376</v>
      </c>
      <c r="F40" s="42" t="n">
        <f aca="false">IFERROR(INDEX(ce_real_net_series,MATCH(VALUE(F$5),ce_years,0)),0)</f>
        <v>18335.4489427008</v>
      </c>
      <c r="G40" s="42" t="n">
        <f aca="false">IFERROR(INDEX(ce_real_net_series,MATCH(VALUE(G$5),ce_years,0)),0)</f>
        <v>22123.5345610307</v>
      </c>
      <c r="H40" s="42" t="n">
        <f aca="false">IFERROR(INDEX(ce_real_net_series,MATCH(VALUE(H$5),ce_years,0)),0)</f>
        <v>25951.0903638392</v>
      </c>
      <c r="I40" s="42" t="n">
        <f aca="false">IFERROR(INDEX(ce_real_net_series,MATCH(VALUE(I$5),ce_years,0)),0)</f>
        <v>32159.5494719826</v>
      </c>
      <c r="J40" s="42" t="n">
        <f aca="false">IFERROR(INDEX(ce_real_net_series,MATCH(VALUE(J$5),ce_years,0)),0)</f>
        <v>37249.6991221467</v>
      </c>
      <c r="K40" s="42" t="n">
        <f aca="false">IFERROR(INDEX(ce_real_net_series,MATCH(VALUE(K$5),ce_years,0)),0)</f>
        <v>45723.8328310942</v>
      </c>
      <c r="L40" s="42" t="n">
        <f aca="false">IFERROR(INDEX(ce_real_net_series,MATCH(VALUE(L$5),ce_years,0)),0)</f>
        <v>55742.998218882</v>
      </c>
      <c r="M40" s="42" t="n">
        <f aca="false">IFERROR(INDEX(ce_real_net_series,MATCH(VALUE(M$5),ce_years,0)),0)</f>
        <v>66258.3915835307</v>
      </c>
      <c r="N40" s="42" t="n">
        <f aca="false">IFERROR(INDEX(ce_real_net_series,MATCH(VALUE(N$5),ce_years,0)),0)</f>
        <v>81125.4690646337</v>
      </c>
      <c r="O40" s="42" t="n">
        <f aca="false">IFERROR(INDEX(ce_real_net_series,MATCH(VALUE(O$5),ce_years,0)),0)</f>
        <v>96206.9742730939</v>
      </c>
      <c r="P40" s="42" t="n">
        <f aca="false">IFERROR(INDEX(ce_real_net_series,MATCH(VALUE(P$5),ce_years,0)),0)</f>
        <v>112752.391971755</v>
      </c>
      <c r="Q40" s="42" t="n">
        <f aca="false">IFERROR(INDEX(ce_real_net_series,MATCH(VALUE(Q$5),ce_years,0)),0)</f>
        <v>143377.902053614</v>
      </c>
      <c r="R40" s="42" t="n">
        <f aca="false">IFERROR(INDEX(ce_real_net_series,MATCH(VALUE(R$5),ce_years,0)),0)</f>
        <v>189952.10955587</v>
      </c>
      <c r="S40" s="42" t="n">
        <f aca="false">IFERROR(INDEX(ce_real_net_series,MATCH(VALUE(S$5),ce_years,0)),0)</f>
        <v>165316.109248531</v>
      </c>
    </row>
    <row r="41" customFormat="false" ht="15" hidden="false" customHeight="true" outlineLevel="0" collapsed="false">
      <c r="A41" s="26" t="s">
        <v>555</v>
      </c>
      <c r="B41" s="42" t="n">
        <f aca="false">B33-B17-B34</f>
        <v>6332</v>
      </c>
      <c r="C41" s="42" t="n">
        <f aca="false">C33-C17-C34</f>
        <v>7696</v>
      </c>
      <c r="D41" s="42" t="n">
        <f aca="false">D33-D17-D34</f>
        <v>13433</v>
      </c>
      <c r="E41" s="42" t="n">
        <f aca="false">E33-E17-E34</f>
        <v>6998</v>
      </c>
      <c r="F41" s="42" t="n">
        <f aca="false">F33-F17-F34</f>
        <v>7531</v>
      </c>
      <c r="G41" s="42" t="n">
        <f aca="false">G33-G17-G34</f>
        <v>13709</v>
      </c>
      <c r="H41" s="42" t="n">
        <f aca="false">H33-H17-H34</f>
        <v>4118</v>
      </c>
      <c r="I41" s="42" t="n">
        <f aca="false">I33-I17-I34</f>
        <v>-5912</v>
      </c>
      <c r="J41" s="42" t="n">
        <f aca="false">J33-J17-J34</f>
        <v>1873</v>
      </c>
      <c r="K41" s="42" t="n">
        <f aca="false">K33-K17-K34</f>
        <v>1298</v>
      </c>
      <c r="L41" s="42" t="n">
        <f aca="false">L33-L17-L34</f>
        <v>10400</v>
      </c>
      <c r="M41" s="42" t="n">
        <f aca="false">M33-M17-M34</f>
        <v>8624</v>
      </c>
      <c r="N41" s="42" t="n">
        <f aca="false">N33-N17-N34</f>
        <v>8626</v>
      </c>
      <c r="O41" s="42" t="n">
        <f aca="false">O33-O17-O34</f>
        <v>35509</v>
      </c>
      <c r="P41" s="42" t="n">
        <f aca="false">P33-P17-P34</f>
        <v>44939</v>
      </c>
      <c r="Q41" s="42" t="n">
        <f aca="false">Q33-Q17-Q34</f>
        <v>105521</v>
      </c>
      <c r="R41" s="42" t="n">
        <f aca="false">R33-R17-R34</f>
        <v>79723</v>
      </c>
      <c r="S41" s="42" t="n">
        <f aca="false">S33-S17-S34</f>
        <v>157099.3</v>
      </c>
    </row>
    <row r="42" customFormat="false" ht="15" hidden="false" customHeight="true" outlineLevel="0" collapsed="false">
      <c r="A42" s="26" t="s">
        <v>556</v>
      </c>
      <c r="B42" s="42" t="n">
        <f aca="false">B41*B6</f>
        <v>9891.06231559125</v>
      </c>
      <c r="C42" s="42" t="n">
        <f aca="false">C41*C6</f>
        <v>11827.7259419599</v>
      </c>
      <c r="D42" s="42" t="n">
        <f aca="false">D41*D6</f>
        <v>20013.0135681229</v>
      </c>
      <c r="E42" s="42" t="n">
        <f aca="false">E41*E6</f>
        <v>10214.5123740167</v>
      </c>
      <c r="F42" s="42" t="n">
        <f aca="false">F41*F6</f>
        <v>10833.8075825152</v>
      </c>
      <c r="G42" s="42" t="n">
        <f aca="false">G41*G6</f>
        <v>19406.4325113206</v>
      </c>
      <c r="H42" s="42" t="n">
        <f aca="false">H41*H6</f>
        <v>5822.52122843509</v>
      </c>
      <c r="I42" s="42" t="n">
        <f aca="false">I41*I6</f>
        <v>-8254.95579712258</v>
      </c>
      <c r="J42" s="42" t="n">
        <f aca="false">J41*J6</f>
        <v>2560.7269051893</v>
      </c>
      <c r="K42" s="42" t="n">
        <f aca="false">K41*K6</f>
        <v>1732.28804453878</v>
      </c>
      <c r="L42" s="42" t="n">
        <f aca="false">L41*L6</f>
        <v>13632.6374791224</v>
      </c>
      <c r="M42" s="42" t="n">
        <f aca="false">M41*M6</f>
        <v>11166.8389365212</v>
      </c>
      <c r="N42" s="42" t="n">
        <f aca="false">N41*N6</f>
        <v>10668.2326382994</v>
      </c>
      <c r="O42" s="42" t="n">
        <f aca="false">O41*O6</f>
        <v>40661.8120551503</v>
      </c>
      <c r="P42" s="42" t="n">
        <f aca="false">P41*P6</f>
        <v>49425.6437338777</v>
      </c>
      <c r="Q42" s="42" t="n">
        <f aca="false">Q41*Q6</f>
        <v>112731.125678618</v>
      </c>
      <c r="R42" s="42" t="n">
        <f aca="false">R41*R6</f>
        <v>82986.7738357411</v>
      </c>
      <c r="S42" s="42" t="n">
        <f aca="false">S41*S6</f>
        <v>158969.504547323</v>
      </c>
    </row>
    <row r="43" customFormat="false" ht="15" hidden="false" customHeight="true" outlineLevel="0" collapsed="false">
      <c r="A43" s="26" t="s">
        <v>557</v>
      </c>
      <c r="B43" s="42" t="n">
        <f aca="false">B42+B40</f>
        <v>23492.9746261789</v>
      </c>
      <c r="C43" s="42" t="n">
        <f aca="false">C42+C40</f>
        <v>25978.0722099014</v>
      </c>
      <c r="D43" s="42" t="n">
        <f aca="false">D42+D40</f>
        <v>34998.4966062035</v>
      </c>
      <c r="E43" s="42" t="n">
        <f aca="false">E42+E40</f>
        <v>25784.7470584543</v>
      </c>
      <c r="F43" s="42" t="n">
        <f aca="false">F42+F40</f>
        <v>29169.256525216</v>
      </c>
      <c r="G43" s="42" t="n">
        <f aca="false">G42+G40</f>
        <v>41529.9670723514</v>
      </c>
      <c r="H43" s="42" t="n">
        <f aca="false">H42+H40</f>
        <v>31773.6115922743</v>
      </c>
      <c r="I43" s="42" t="n">
        <f aca="false">I42+I40</f>
        <v>23904.59367486</v>
      </c>
      <c r="J43" s="42" t="n">
        <f aca="false">J42+J40</f>
        <v>39810.426027336</v>
      </c>
      <c r="K43" s="42" t="n">
        <f aca="false">K42+K40</f>
        <v>47456.1208756329</v>
      </c>
      <c r="L43" s="42" t="n">
        <f aca="false">L42+L40</f>
        <v>69375.6356980045</v>
      </c>
      <c r="M43" s="42" t="n">
        <f aca="false">M42+M40</f>
        <v>77425.230520052</v>
      </c>
      <c r="N43" s="42" t="n">
        <f aca="false">N42+N40</f>
        <v>91793.7017029331</v>
      </c>
      <c r="O43" s="42" t="n">
        <f aca="false">O42+O40</f>
        <v>136868.786328244</v>
      </c>
      <c r="P43" s="42" t="n">
        <f aca="false">P42+P40</f>
        <v>162178.035705633</v>
      </c>
      <c r="Q43" s="42" t="n">
        <f aca="false">Q42+Q40</f>
        <v>256109.027732232</v>
      </c>
      <c r="R43" s="42" t="n">
        <f aca="false">R42+R40</f>
        <v>272938.883391612</v>
      </c>
      <c r="S43" s="42" t="n">
        <f aca="false">S42+S40</f>
        <v>324285.613795854</v>
      </c>
    </row>
    <row r="44" customFormat="false" ht="15" hidden="false" customHeight="true" outlineLevel="0" collapsed="false">
      <c r="A44" s="26" t="s">
        <v>558</v>
      </c>
      <c r="B44" s="42" t="n">
        <f aca="false">B32*B6</f>
        <v>-40131.2826831735</v>
      </c>
      <c r="C44" s="42" t="n">
        <f aca="false">C32*C6</f>
        <v>-47410.8001018087</v>
      </c>
      <c r="D44" s="42" t="n">
        <f aca="false">D32*D6</f>
        <v>-52871.4230257981</v>
      </c>
      <c r="E44" s="42" t="n">
        <f aca="false">E32*E6</f>
        <v>-74581.4124410917</v>
      </c>
      <c r="F44" s="42" t="n">
        <f aca="false">F32*F6</f>
        <v>-88359.3320054774</v>
      </c>
      <c r="G44" s="42" t="n">
        <f aca="false">G32*G6</f>
        <v>-89273.2701067856</v>
      </c>
      <c r="H44" s="42" t="n">
        <f aca="false">H32*H6</f>
        <v>-86579.9574798432</v>
      </c>
      <c r="I44" s="42" t="n">
        <f aca="false">I32*I6</f>
        <v>-83154.1580828893</v>
      </c>
      <c r="J44" s="42" t="n">
        <f aca="false">J32*J6</f>
        <v>-63966.2198147846</v>
      </c>
      <c r="K44" s="42" t="n">
        <f aca="false">K32*K6</f>
        <v>-69344.9050803044</v>
      </c>
      <c r="L44" s="42" t="n">
        <f aca="false">L32*L6</f>
        <v>-72689.4852047861</v>
      </c>
      <c r="M44" s="42" t="n">
        <f aca="false">M32*M6</f>
        <v>-84850.6248459301</v>
      </c>
      <c r="N44" s="42" t="n">
        <f aca="false">N32*N6</f>
        <v>-77370.0400671661</v>
      </c>
      <c r="O44" s="42" t="n">
        <f aca="false">O32*O6</f>
        <v>-49797.5223420068</v>
      </c>
      <c r="P44" s="42" t="n">
        <f aca="false">P32*P6</f>
        <v>-56418.4171124574</v>
      </c>
      <c r="Q44" s="42" t="n">
        <f aca="false">Q32*Q6</f>
        <v>-8978.23542425778</v>
      </c>
      <c r="R44" s="42" t="n">
        <f aca="false">R32*R6</f>
        <v>-35357.5724305234</v>
      </c>
      <c r="S44" s="42" t="n">
        <f aca="false">S32*S6</f>
        <v>52583.9261833313</v>
      </c>
    </row>
    <row r="45" customFormat="false" ht="15" hidden="false" customHeight="true" outlineLevel="0" collapsed="false">
      <c r="A45" s="26" t="s">
        <v>559</v>
      </c>
      <c r="B45" s="42" t="n">
        <f aca="false">B43-B44</f>
        <v>63624.2573093524</v>
      </c>
      <c r="C45" s="42" t="n">
        <f aca="false">C43-C44</f>
        <v>73388.8723117101</v>
      </c>
      <c r="D45" s="42" t="n">
        <f aca="false">D43-D44</f>
        <v>87869.9196320016</v>
      </c>
      <c r="E45" s="42" t="n">
        <f aca="false">E43-E44</f>
        <v>100366.159499546</v>
      </c>
      <c r="F45" s="42" t="n">
        <f aca="false">F43-F44</f>
        <v>117528.588530693</v>
      </c>
      <c r="G45" s="42" t="n">
        <f aca="false">G43-G44</f>
        <v>130803.237179137</v>
      </c>
      <c r="H45" s="42" t="n">
        <f aca="false">H43-H44</f>
        <v>118353.569072117</v>
      </c>
      <c r="I45" s="42" t="n">
        <f aca="false">I43-I44</f>
        <v>107058.751757749</v>
      </c>
      <c r="J45" s="42" t="n">
        <f aca="false">J43-J44</f>
        <v>103776.645842121</v>
      </c>
      <c r="K45" s="42" t="n">
        <f aca="false">K43-K44</f>
        <v>116801.025955937</v>
      </c>
      <c r="L45" s="42" t="n">
        <f aca="false">L43-L44</f>
        <v>142065.120902791</v>
      </c>
      <c r="M45" s="42" t="n">
        <f aca="false">M43-M44</f>
        <v>162275.855365982</v>
      </c>
      <c r="N45" s="42" t="n">
        <f aca="false">N43-N44</f>
        <v>169163.741770099</v>
      </c>
      <c r="O45" s="42" t="n">
        <f aca="false">O43-O44</f>
        <v>186666.308670251</v>
      </c>
      <c r="P45" s="42" t="n">
        <f aca="false">P43-P44</f>
        <v>218596.45281809</v>
      </c>
      <c r="Q45" s="42" t="n">
        <f aca="false">Q43-Q44</f>
        <v>265087.263156489</v>
      </c>
      <c r="R45" s="42" t="n">
        <f aca="false">R43-R44</f>
        <v>308296.455822135</v>
      </c>
      <c r="S45" s="42" t="n">
        <f aca="false">S43-S44</f>
        <v>271701.687612523</v>
      </c>
    </row>
    <row r="46" customFormat="false" ht="15" hidden="false" customHeight="true" outlineLevel="0" collapsed="false">
      <c r="A46" s="26" t="s">
        <v>560</v>
      </c>
      <c r="B46" s="45" t="n">
        <f aca="false">B43-B44-B45</f>
        <v>0</v>
      </c>
      <c r="C46" s="45" t="n">
        <f aca="false">C43-C44-C45</f>
        <v>0</v>
      </c>
      <c r="D46" s="45" t="n">
        <f aca="false">D43-D44-D45</f>
        <v>0</v>
      </c>
      <c r="E46" s="45" t="n">
        <f aca="false">E43-E44-E45</f>
        <v>0</v>
      </c>
      <c r="F46" s="45" t="n">
        <f aca="false">F43-F44-F45</f>
        <v>0</v>
      </c>
      <c r="G46" s="45" t="n">
        <f aca="false">G43-G44-G45</f>
        <v>0</v>
      </c>
      <c r="H46" s="45" t="n">
        <f aca="false">H43-H44-H45</f>
        <v>0</v>
      </c>
      <c r="I46" s="45" t="n">
        <f aca="false">I43-I44-I45</f>
        <v>0</v>
      </c>
      <c r="J46" s="45" t="n">
        <f aca="false">J43-J44-J45</f>
        <v>0</v>
      </c>
      <c r="K46" s="45" t="n">
        <f aca="false">K43-K44-K45</f>
        <v>0</v>
      </c>
      <c r="L46" s="45" t="n">
        <f aca="false">L43-L44-L45</f>
        <v>0</v>
      </c>
      <c r="M46" s="45" t="n">
        <f aca="false">M43-M44-M45</f>
        <v>0</v>
      </c>
      <c r="N46" s="45" t="n">
        <f aca="false">N43-N44-N45</f>
        <v>0</v>
      </c>
      <c r="O46" s="45" t="n">
        <f aca="false">O43-O44-O45</f>
        <v>0</v>
      </c>
      <c r="P46" s="45" t="n">
        <f aca="false">P43-P44-P45</f>
        <v>0</v>
      </c>
      <c r="Q46" s="45" t="n">
        <f aca="false">Q43-Q44-Q45</f>
        <v>0</v>
      </c>
      <c r="R46" s="45" t="n">
        <f aca="false">R43-R44-R45</f>
        <v>0</v>
      </c>
      <c r="S46" s="45" t="n">
        <f aca="false">S43-S44-S45</f>
        <v>0</v>
      </c>
    </row>
    <row r="48" customFormat="false" ht="15" hidden="false" customHeight="true" outlineLevel="0" collapsed="false">
      <c r="A48" s="4" t="s">
        <v>561</v>
      </c>
    </row>
    <row r="49" customFormat="false" ht="15" hidden="false" customHeight="true" outlineLevel="0" collapsed="false">
      <c r="A49" s="26" t="s">
        <v>562</v>
      </c>
      <c r="B49" s="42" t="n">
        <f aca="false">(B20+B21)*B6</f>
        <v>31808.5442091574</v>
      </c>
      <c r="C49" s="42" t="n">
        <f aca="false">(C20+C21)*C6</f>
        <v>37035.4131690942</v>
      </c>
      <c r="D49" s="42" t="n">
        <f aca="false">(D20+D21)*D6</f>
        <v>40465.5297791846</v>
      </c>
      <c r="E49" s="42" t="n">
        <f aca="false">(E20+E21)*E6</f>
        <v>31765.9949693807</v>
      </c>
      <c r="F49" s="42" t="n">
        <f aca="false">(F20+F21)*F6</f>
        <v>38501.6632769138</v>
      </c>
      <c r="G49" s="42" t="n">
        <f aca="false">(G20+G21)*G6</f>
        <v>39295.5839289335</v>
      </c>
      <c r="H49" s="42" t="n">
        <f aca="false">(H20+H21)*H6</f>
        <v>25678.1952475983</v>
      </c>
      <c r="I49" s="42" t="n">
        <f aca="false">(I20+I21)*I6</f>
        <v>36412.8446003658</v>
      </c>
      <c r="J49" s="42" t="n">
        <f aca="false">(J20+J21)*J6</f>
        <v>51683.4806176567</v>
      </c>
      <c r="K49" s="42" t="n">
        <f aca="false">(K20+K21)*K6</f>
        <v>60481.9429048175</v>
      </c>
      <c r="L49" s="42" t="n">
        <f aca="false">(L20+L21)*L6</f>
        <v>71625.0908169931</v>
      </c>
      <c r="M49" s="42" t="n">
        <f aca="false">(M20+M21)*M6</f>
        <v>85143.2623226988</v>
      </c>
      <c r="N49" s="42" t="n">
        <f aca="false">(N20+N21)*N6</f>
        <v>100921.530228439</v>
      </c>
      <c r="O49" s="42" t="n">
        <f aca="false">(O20+O21)*O6</f>
        <v>112041.276209188</v>
      </c>
      <c r="P49" s="42" t="n">
        <f aca="false">(P20+P21)*P6</f>
        <v>112605.868133455</v>
      </c>
      <c r="Q49" s="42" t="n">
        <f aca="false">(Q20+Q21)*Q6</f>
        <v>140720.272499195</v>
      </c>
      <c r="R49" s="42" t="n">
        <f aca="false">(R20+R21)*R6</f>
        <v>169340.985090528</v>
      </c>
      <c r="S49" s="42" t="n">
        <f aca="false">(S20+S21)*S6</f>
        <v>196077.766518625</v>
      </c>
    </row>
    <row r="50" customFormat="false" ht="15" hidden="false" customHeight="true" outlineLevel="0" collapsed="false">
      <c r="A50" s="26" t="s">
        <v>563</v>
      </c>
      <c r="B50" s="42" t="n">
        <f aca="false">IFERROR(INDEX(ce_econ_dep_series,MATCH(VALUE(B$5),ce_years,0)),0)</f>
        <v>1890.381152586</v>
      </c>
      <c r="C50" s="42" t="n">
        <f aca="false">IFERROR(INDEX(ce_econ_dep_series,MATCH(VALUE(C$5),ce_years,0)),0)</f>
        <v>2046.64753203237</v>
      </c>
      <c r="D50" s="42" t="n">
        <f aca="false">IFERROR(INDEX(ce_econ_dep_series,MATCH(VALUE(D$5),ce_years,0)),0)</f>
        <v>2207.98955275685</v>
      </c>
      <c r="E50" s="42" t="n">
        <f aca="false">IFERROR(INDEX(ce_econ_dep_series,MATCH(VALUE(E$5),ce_years,0)),0)</f>
        <v>2332.50488205646</v>
      </c>
      <c r="F50" s="42" t="n">
        <f aca="false">IFERROR(INDEX(ce_econ_dep_series,MATCH(VALUE(F$5),ce_years,0)),0)</f>
        <v>2714.79851204941</v>
      </c>
      <c r="G50" s="42" t="n">
        <f aca="false">IFERROR(INDEX(ce_econ_dep_series,MATCH(VALUE(G$5),ce_years,0)),0)</f>
        <v>3213.07260246993</v>
      </c>
      <c r="H50" s="42" t="n">
        <f aca="false">IFERROR(INDEX(ce_econ_dep_series,MATCH(VALUE(H$5),ce_years,0)),0)</f>
        <v>3735.63795905357</v>
      </c>
      <c r="I50" s="42" t="n">
        <f aca="false">IFERROR(INDEX(ce_econ_dep_series,MATCH(VALUE(I$5),ce_years,0)),0)</f>
        <v>4570.92550340781</v>
      </c>
      <c r="J50" s="42" t="n">
        <f aca="false">IFERROR(INDEX(ce_econ_dep_series,MATCH(VALUE(J$5),ce_years,0)),0)</f>
        <v>5290.52344774636</v>
      </c>
      <c r="K50" s="42" t="n">
        <f aca="false">IFERROR(INDEX(ce_econ_dep_series,MATCH(VALUE(K$5),ce_years,0)),0)</f>
        <v>6318.20025761503</v>
      </c>
      <c r="L50" s="42" t="n">
        <f aca="false">IFERROR(INDEX(ce_econ_dep_series,MATCH(VALUE(L$5),ce_years,0)),0)</f>
        <v>7485.51684141385</v>
      </c>
      <c r="M50" s="42" t="n">
        <f aca="false">IFERROR(INDEX(ce_econ_dep_series,MATCH(VALUE(M$5),ce_years,0)),0)</f>
        <v>8814.11093056389</v>
      </c>
      <c r="N50" s="42" t="n">
        <f aca="false">IFERROR(INDEX(ce_econ_dep_series,MATCH(VALUE(N$5),ce_years,0)),0)</f>
        <v>10805.2873784141</v>
      </c>
      <c r="O50" s="42" t="n">
        <f aca="false">IFERROR(INDEX(ce_econ_dep_series,MATCH(VALUE(O$5),ce_years,0)),0)</f>
        <v>12961.9532766511</v>
      </c>
      <c r="P50" s="42" t="n">
        <f aca="false">IFERROR(INDEX(ce_econ_dep_series,MATCH(VALUE(P$5),ce_years,0)),0)</f>
        <v>15468.5138271822</v>
      </c>
      <c r="Q50" s="42" t="n">
        <f aca="false">IFERROR(INDEX(ce_econ_dep_series,MATCH(VALUE(Q$5),ce_years,0)),0)</f>
        <v>19308.6152427765</v>
      </c>
      <c r="R50" s="42" t="n">
        <f aca="false">IFERROR(INDEX(ce_econ_dep_series,MATCH(VALUE(R$5),ce_years,0)),0)</f>
        <v>24872.5776433501</v>
      </c>
      <c r="S50" s="42" t="n">
        <f aca="false">IFERROR(INDEX(ce_econ_dep_series,MATCH(VALUE(S$5),ce_years,0)),0)</f>
        <v>24215.4183766548</v>
      </c>
    </row>
    <row r="51" customFormat="false" ht="15" hidden="false" customHeight="true" outlineLevel="0" collapsed="false">
      <c r="A51" s="26" t="s">
        <v>564</v>
      </c>
      <c r="B51" s="42" t="n">
        <f aca="false">B49-B50</f>
        <v>29918.1630565714</v>
      </c>
      <c r="C51" s="42" t="n">
        <f aca="false">C49-C50</f>
        <v>34988.7656370618</v>
      </c>
      <c r="D51" s="42" t="n">
        <f aca="false">D49-D50</f>
        <v>38257.5402264277</v>
      </c>
      <c r="E51" s="42" t="n">
        <f aca="false">E49-E50</f>
        <v>29433.4900873243</v>
      </c>
      <c r="F51" s="42" t="n">
        <f aca="false">F49-F50</f>
        <v>35786.8647648644</v>
      </c>
      <c r="G51" s="42" t="n">
        <f aca="false">G49-G50</f>
        <v>36082.5113264636</v>
      </c>
      <c r="H51" s="42" t="n">
        <f aca="false">H49-H50</f>
        <v>21942.5572885447</v>
      </c>
      <c r="I51" s="42" t="n">
        <f aca="false">I49-I50</f>
        <v>31841.919096958</v>
      </c>
      <c r="J51" s="42" t="n">
        <f aca="false">J49-J50</f>
        <v>46392.9571699103</v>
      </c>
      <c r="K51" s="42" t="n">
        <f aca="false">K49-K50</f>
        <v>54163.7426472024</v>
      </c>
      <c r="L51" s="42" t="n">
        <f aca="false">L49-L50</f>
        <v>64139.5739755792</v>
      </c>
      <c r="M51" s="42" t="n">
        <f aca="false">M49-M50</f>
        <v>76329.1513921349</v>
      </c>
      <c r="N51" s="42" t="n">
        <f aca="false">N49-N50</f>
        <v>90116.2428500245</v>
      </c>
      <c r="O51" s="42" t="n">
        <f aca="false">O49-O50</f>
        <v>99079.3229325372</v>
      </c>
      <c r="P51" s="42" t="n">
        <f aca="false">P49-P50</f>
        <v>97137.3543062728</v>
      </c>
      <c r="Q51" s="42" t="n">
        <f aca="false">Q49-Q50</f>
        <v>121411.657256419</v>
      </c>
      <c r="R51" s="42" t="n">
        <f aca="false">R49-R50</f>
        <v>144468.407447178</v>
      </c>
      <c r="S51" s="42" t="n">
        <f aca="false">S49-S50</f>
        <v>171862.34814197</v>
      </c>
    </row>
    <row r="52" customFormat="false" ht="15" hidden="false" customHeight="true" outlineLevel="0" collapsed="false">
      <c r="A52" s="26" t="s">
        <v>565</v>
      </c>
      <c r="B52" s="42" t="n">
        <f aca="false">(B51*(1-B24)-B24*B50*(1-SUMPRODUCT('Cap Engine'!$B$7:$B$43,'Cap Engine'!$F$7:$F$43)/'Cap Engine'!$B$46))</f>
        <v>21954.6760751626</v>
      </c>
      <c r="C52" s="42" t="n">
        <f aca="false">(C51*(1-C24)-C24*C50*(1-SUMPRODUCT('Cap Engine'!$B$7:$B$43,'Cap Engine'!$F$7:$F$43)/'Cap Engine'!$B$46))</f>
        <v>26205.1095567154</v>
      </c>
      <c r="D52" s="42" t="n">
        <f aca="false">(D51*(1-D24)-D24*D50*(1-SUMPRODUCT('Cap Engine'!$B$7:$B$43,'Cap Engine'!$F$7:$F$43)/'Cap Engine'!$B$46))</f>
        <v>31522.9508528963</v>
      </c>
      <c r="E52" s="42" t="n">
        <f aca="false">(E51*(1-E24)-E24*E50*(1-SUMPRODUCT('Cap Engine'!$B$7:$B$43,'Cap Engine'!$F$7:$F$43)/'Cap Engine'!$B$46))</f>
        <v>22402.4063013334</v>
      </c>
      <c r="F52" s="42" t="n">
        <f aca="false">(F51*(1-F24)-F24*F50*(1-SUMPRODUCT('Cap Engine'!$B$7:$B$43,'Cap Engine'!$F$7:$F$43)/'Cap Engine'!$B$46))</f>
        <v>28884.9021475783</v>
      </c>
      <c r="G52" s="42" t="n">
        <f aca="false">(G51*(1-G24)-G24*G50*(1-SUMPRODUCT('Cap Engine'!$B$7:$B$43,'Cap Engine'!$F$7:$F$43)/'Cap Engine'!$B$46))</f>
        <v>28582.2062332874</v>
      </c>
      <c r="H52" s="42" t="n">
        <f aca="false">(H51*(1-H24)-H24*H50*(1-SUMPRODUCT('Cap Engine'!$B$7:$B$43,'Cap Engine'!$F$7:$F$43)/'Cap Engine'!$B$46))</f>
        <v>14364.7551787418</v>
      </c>
      <c r="I52" s="42" t="n">
        <f aca="false">(I51*(1-I24)-I24*I50*(1-SUMPRODUCT('Cap Engine'!$B$7:$B$43,'Cap Engine'!$F$7:$F$43)/'Cap Engine'!$B$46))</f>
        <v>25442.6293227375</v>
      </c>
      <c r="J52" s="42" t="n">
        <f aca="false">(J51*(1-J24)-J24*J50*(1-SUMPRODUCT('Cap Engine'!$B$7:$B$43,'Cap Engine'!$F$7:$F$43)/'Cap Engine'!$B$46))</f>
        <v>39491.3208823158</v>
      </c>
      <c r="K52" s="42" t="n">
        <f aca="false">(K51*(1-K24)-K24*K50*(1-SUMPRODUCT('Cap Engine'!$B$7:$B$43,'Cap Engine'!$F$7:$F$43)/'Cap Engine'!$B$46))</f>
        <v>24359.8137019351</v>
      </c>
      <c r="L52" s="42" t="n">
        <f aca="false">(L51*(1-L24)-L24*L50*(1-SUMPRODUCT('Cap Engine'!$B$7:$B$43,'Cap Engine'!$F$7:$F$43)/'Cap Engine'!$B$46))</f>
        <v>57554.4938680797</v>
      </c>
      <c r="M52" s="42" t="n">
        <f aca="false">(M51*(1-M24)-M24*M50*(1-SUMPRODUCT('Cap Engine'!$B$7:$B$43,'Cap Engine'!$F$7:$F$43)/'Cap Engine'!$B$46))</f>
        <v>63624.2707443485</v>
      </c>
      <c r="N52" s="42" t="n">
        <f aca="false">(N51*(1-N24)-N24*N50*(1-SUMPRODUCT('Cap Engine'!$B$7:$B$43,'Cap Engine'!$F$7:$F$43)/'Cap Engine'!$B$46))</f>
        <v>77548.7311182706</v>
      </c>
      <c r="O52" s="42" t="n">
        <f aca="false">(O51*(1-O24)-O24*O50*(1-SUMPRODUCT('Cap Engine'!$B$7:$B$43,'Cap Engine'!$F$7:$F$43)/'Cap Engine'!$B$46))</f>
        <v>85964.3512790113</v>
      </c>
      <c r="P52" s="42" t="n">
        <f aca="false">(P51*(1-P24)-P24*P50*(1-SUMPRODUCT('Cap Engine'!$B$7:$B$43,'Cap Engine'!$F$7:$F$43)/'Cap Engine'!$B$46))</f>
        <v>78490.8089976281</v>
      </c>
      <c r="Q52" s="42" t="n">
        <f aca="false">(Q51*(1-Q24)-Q24*Q50*(1-SUMPRODUCT('Cap Engine'!$B$7:$B$43,'Cap Engine'!$F$7:$F$43)/'Cap Engine'!$B$46))</f>
        <v>99023.4410873925</v>
      </c>
      <c r="R52" s="42" t="n">
        <f aca="false">(R51*(1-R24)-R24*R50*(1-SUMPRODUCT('Cap Engine'!$B$7:$B$43,'Cap Engine'!$F$7:$F$43)/'Cap Engine'!$B$46))</f>
        <v>118683.692158681</v>
      </c>
      <c r="S52" s="42" t="n">
        <f aca="false">(S51*(1-S24)-S24*S50*(1-SUMPRODUCT('Cap Engine'!$B$7:$B$43,'Cap Engine'!$F$7:$F$43)/'Cap Engine'!$B$46))</f>
        <v>138189.451918008</v>
      </c>
    </row>
    <row r="53" customFormat="false" ht="15" hidden="false" customHeight="true" outlineLevel="0" collapsed="false">
      <c r="A53" s="26" t="s">
        <v>566</v>
      </c>
      <c r="B53" s="42" t="n">
        <f aca="false">B23*B6*(1-B24)</f>
        <v>43.6304912231736</v>
      </c>
      <c r="C53" s="42" t="n">
        <f aca="false">C23*C6*(1-C24)</f>
        <v>174.052471776654</v>
      </c>
      <c r="D53" s="42" t="n">
        <f aca="false">D23*D6*(1-D24)</f>
        <v>362.455632118374</v>
      </c>
      <c r="E53" s="42" t="n">
        <f aca="false">E23*E6*(1-E24)</f>
        <v>422.914267074749</v>
      </c>
      <c r="F53" s="42" t="n">
        <f aca="false">F23*F6*(1-F24)</f>
        <v>498.7650467903</v>
      </c>
      <c r="G53" s="42" t="n">
        <f aca="false">G23*G6*(1-G24)</f>
        <v>670.560865793111</v>
      </c>
      <c r="H53" s="42" t="n">
        <f aca="false">H23*H6*(1-H24)</f>
        <v>727.529247684411</v>
      </c>
      <c r="I53" s="42" t="n">
        <f aca="false">I23*I6*(1-I24)</f>
        <v>1390.36719742206</v>
      </c>
      <c r="J53" s="42" t="n">
        <f aca="false">J23*J6*(1-J24)</f>
        <v>2589.6222569618</v>
      </c>
      <c r="K53" s="42" t="n">
        <f aca="false">K23*K6*(1-K24)</f>
        <v>1657.10766693687</v>
      </c>
      <c r="L53" s="42" t="n">
        <f aca="false">L23*L6*(1-L24)</f>
        <v>3162.41834056836</v>
      </c>
      <c r="M53" s="42" t="n">
        <f aca="false">M23*M6*(1-M24)</f>
        <v>2801.14339912384</v>
      </c>
      <c r="N53" s="42" t="n">
        <f aca="false">N23*N6*(1-N24)</f>
        <v>2500.25474473031</v>
      </c>
      <c r="O53" s="42" t="n">
        <f aca="false">O23*O6*(1-O24)</f>
        <v>2052.58106237253</v>
      </c>
      <c r="P53" s="42" t="n">
        <f aca="false">P23*P6*(1-P24)</f>
        <v>1753.69380431273</v>
      </c>
      <c r="Q53" s="42" t="n">
        <f aca="false">Q23*Q6*(1-Q24)</f>
        <v>2563.89446129904</v>
      </c>
      <c r="R53" s="42" t="n">
        <f aca="false">R23*R6*(1-R24)</f>
        <v>2044.95994970203</v>
      </c>
      <c r="S53" s="42" t="n">
        <f aca="false">S23*S6*(1-S24)</f>
        <v>2488.49490761455</v>
      </c>
    </row>
    <row r="54" customFormat="false" ht="15" hidden="false" customHeight="true" outlineLevel="0" collapsed="false">
      <c r="A54" s="26" t="s">
        <v>567</v>
      </c>
      <c r="B54" s="42" t="n">
        <f aca="false">B52-B53</f>
        <v>21911.0455839395</v>
      </c>
      <c r="C54" s="42" t="n">
        <f aca="false">C52-C53</f>
        <v>26031.0570849387</v>
      </c>
      <c r="D54" s="42" t="n">
        <f aca="false">D52-D53</f>
        <v>31160.4952207779</v>
      </c>
      <c r="E54" s="42" t="n">
        <f aca="false">E52-E53</f>
        <v>21979.4920342587</v>
      </c>
      <c r="F54" s="42" t="n">
        <f aca="false">F52-F53</f>
        <v>28386.137100788</v>
      </c>
      <c r="G54" s="42" t="n">
        <f aca="false">G52-G53</f>
        <v>27911.6453674943</v>
      </c>
      <c r="H54" s="42" t="n">
        <f aca="false">H52-H53</f>
        <v>13637.2259310574</v>
      </c>
      <c r="I54" s="42" t="n">
        <f aca="false">I52-I53</f>
        <v>24052.2621253155</v>
      </c>
      <c r="J54" s="42" t="n">
        <f aca="false">J52-J53</f>
        <v>36901.698625354</v>
      </c>
      <c r="K54" s="42" t="n">
        <f aca="false">K52-K53</f>
        <v>22702.7060349982</v>
      </c>
      <c r="L54" s="42" t="n">
        <f aca="false">L52-L53</f>
        <v>54392.0755275113</v>
      </c>
      <c r="M54" s="42" t="n">
        <f aca="false">M52-M53</f>
        <v>60823.1273452246</v>
      </c>
      <c r="N54" s="42" t="n">
        <f aca="false">N52-N53</f>
        <v>75048.4763735403</v>
      </c>
      <c r="O54" s="42" t="n">
        <f aca="false">O52-O53</f>
        <v>83911.7702166387</v>
      </c>
      <c r="P54" s="42" t="n">
        <f aca="false">P52-P53</f>
        <v>76737.1151933153</v>
      </c>
      <c r="Q54" s="42" t="n">
        <f aca="false">Q52-Q53</f>
        <v>96459.5466260935</v>
      </c>
      <c r="R54" s="42" t="n">
        <f aca="false">R52-R53</f>
        <v>116638.732208979</v>
      </c>
      <c r="S54" s="42" t="n">
        <f aca="false">S52-S53</f>
        <v>135700.957010393</v>
      </c>
    </row>
    <row r="55" customFormat="false" ht="15" hidden="false" customHeight="true" outlineLevel="0" collapsed="false">
      <c r="A55" s="26" t="s">
        <v>568</v>
      </c>
      <c r="B55" s="42" t="n">
        <f aca="false">B25*B6</f>
        <v>1513.6511976955</v>
      </c>
      <c r="C55" s="42" t="n">
        <f aca="false">C25*C6</f>
        <v>-13261.6225510878</v>
      </c>
      <c r="D55" s="42" t="n">
        <f aca="false">D25*D6</f>
        <v>2775.57092811829</v>
      </c>
      <c r="E55" s="42" t="n">
        <f aca="false">E25*E6</f>
        <v>2075.59825605199</v>
      </c>
      <c r="F55" s="42" t="n">
        <f aca="false">F25*F6</f>
        <v>2507.41290882008</v>
      </c>
      <c r="G55" s="42" t="n">
        <f aca="false">G25*G6</f>
        <v>5249.037256691</v>
      </c>
      <c r="H55" s="42" t="n">
        <f aca="false">H25*H6</f>
        <v>3565.90542450542</v>
      </c>
      <c r="I55" s="42" t="n">
        <f aca="false">I25*I6</f>
        <v>2146.12095063894</v>
      </c>
      <c r="J55" s="42" t="n">
        <f aca="false">J25*J6</f>
        <v>589.254295855091</v>
      </c>
      <c r="K55" s="42" t="n">
        <f aca="false">K25*K6</f>
        <v>-2918.7318593269</v>
      </c>
      <c r="L55" s="42" t="n">
        <f aca="false">L25*L6</f>
        <v>-445.682379125156</v>
      </c>
      <c r="M55" s="42" t="n">
        <f aca="false">M25*M6</f>
        <v>4125.4115087844</v>
      </c>
      <c r="N55" s="42" t="n">
        <f aca="false">N25*N6</f>
        <v>2253.36423220283</v>
      </c>
      <c r="O55" s="42" t="n">
        <f aca="false">O25*O6</f>
        <v>-5356.8378944491</v>
      </c>
      <c r="P55" s="42" t="n">
        <f aca="false">P25*P6</f>
        <v>-6976.27580061831</v>
      </c>
      <c r="Q55" s="42" t="n">
        <f aca="false">Q25*Q6</f>
        <v>-5971.95811775357</v>
      </c>
      <c r="R55" s="42" t="n">
        <f aca="false">R25*R6</f>
        <v>-3484.02257853098</v>
      </c>
      <c r="S55" s="42" t="n">
        <f aca="false">S25*S6</f>
        <v>-3323.09471101023</v>
      </c>
    </row>
    <row r="56" customFormat="false" ht="15" hidden="false" customHeight="true" outlineLevel="0" collapsed="false">
      <c r="A56" s="26" t="s">
        <v>569</v>
      </c>
      <c r="B56" s="42" t="n">
        <f aca="false">B54+B55</f>
        <v>23424.696781635</v>
      </c>
      <c r="C56" s="42" t="n">
        <f aca="false">C54+C55</f>
        <v>12769.4345338509</v>
      </c>
      <c r="D56" s="42" t="n">
        <f aca="false">D54+D55</f>
        <v>33936.0661488962</v>
      </c>
      <c r="E56" s="42" t="n">
        <f aca="false">E54+E55</f>
        <v>24055.0902903106</v>
      </c>
      <c r="F56" s="42" t="n">
        <f aca="false">F54+F55</f>
        <v>30893.550009608</v>
      </c>
      <c r="G56" s="42" t="n">
        <f aca="false">G54+G55</f>
        <v>33160.6826241853</v>
      </c>
      <c r="H56" s="42" t="n">
        <f aca="false">H54+H55</f>
        <v>17203.1313555628</v>
      </c>
      <c r="I56" s="42" t="n">
        <f aca="false">I54+I55</f>
        <v>26198.3830759544</v>
      </c>
      <c r="J56" s="42" t="n">
        <f aca="false">J54+J55</f>
        <v>37490.9529212091</v>
      </c>
      <c r="K56" s="42" t="n">
        <f aca="false">K54+K55</f>
        <v>19783.9741756713</v>
      </c>
      <c r="L56" s="42" t="n">
        <f aca="false">L54+L55</f>
        <v>53946.3931483862</v>
      </c>
      <c r="M56" s="42" t="n">
        <f aca="false">M54+M55</f>
        <v>64948.538854009</v>
      </c>
      <c r="N56" s="42" t="n">
        <f aca="false">N54+N55</f>
        <v>77301.8406057431</v>
      </c>
      <c r="O56" s="42" t="n">
        <f aca="false">O54+O55</f>
        <v>78554.9323221896</v>
      </c>
      <c r="P56" s="42" t="n">
        <f aca="false">P54+P55</f>
        <v>69760.839392697</v>
      </c>
      <c r="Q56" s="42" t="n">
        <f aca="false">Q54+Q55</f>
        <v>90487.5885083399</v>
      </c>
      <c r="R56" s="42" t="n">
        <f aca="false">R54+R55</f>
        <v>113154.709630448</v>
      </c>
      <c r="S56" s="42" t="n">
        <f aca="false">S54+S55</f>
        <v>132377.862299383</v>
      </c>
    </row>
    <row r="58" customFormat="false" ht="15" hidden="false" customHeight="true" outlineLevel="0" collapsed="false">
      <c r="A58" s="4" t="s">
        <v>570</v>
      </c>
    </row>
    <row r="59" customFormat="false" ht="15" hidden="false" customHeight="true" outlineLevel="0" collapsed="false">
      <c r="A59" s="26" t="s">
        <v>571</v>
      </c>
      <c r="B59" s="44" t="n">
        <f aca="false">B52/B43</f>
        <v>0.934520912081431</v>
      </c>
      <c r="C59" s="44" t="n">
        <f aca="false">C52/C43</f>
        <v>1.00873957640042</v>
      </c>
      <c r="D59" s="44" t="n">
        <f aca="false">D52/D43</f>
        <v>0.900694427180304</v>
      </c>
      <c r="E59" s="44" t="n">
        <f aca="false">E52/E43</f>
        <v>0.868823969866638</v>
      </c>
      <c r="F59" s="44" t="n">
        <f aca="false">F52/F43</f>
        <v>0.990251572665489</v>
      </c>
      <c r="G59" s="44" t="n">
        <f aca="false">G52/G43</f>
        <v>0.688230890804536</v>
      </c>
      <c r="H59" s="44" t="n">
        <f aca="false">H52/H43</f>
        <v>0.452097021990242</v>
      </c>
      <c r="I59" s="44" t="n">
        <f aca="false">I52/I43</f>
        <v>1.06434058946148</v>
      </c>
      <c r="J59" s="44" t="n">
        <f aca="false">J52/J43</f>
        <v>0.991984382563476</v>
      </c>
      <c r="K59" s="44" t="n">
        <f aca="false">K52/K43</f>
        <v>0.513312366296736</v>
      </c>
      <c r="L59" s="44" t="n">
        <f aca="false">L52/L43</f>
        <v>0.829606724162027</v>
      </c>
      <c r="M59" s="44" t="n">
        <f aca="false">M52/M43</f>
        <v>0.821751130955571</v>
      </c>
      <c r="N59" s="44" t="n">
        <f aca="false">N52/N43</f>
        <v>0.84481538144346</v>
      </c>
      <c r="O59" s="44" t="n">
        <f aca="false">O52/O43</f>
        <v>0.628078567693646</v>
      </c>
      <c r="P59" s="44" t="n">
        <f aca="false">P52/P43</f>
        <v>0.483979280277482</v>
      </c>
      <c r="Q59" s="44" t="n">
        <f aca="false">Q52/Q43</f>
        <v>0.386645648395198</v>
      </c>
      <c r="R59" s="44" t="n">
        <f aca="false">R52/R43</f>
        <v>0.434836146040776</v>
      </c>
      <c r="S59" s="44" t="n">
        <f aca="false">S52/S43</f>
        <v>0.426135005806953</v>
      </c>
    </row>
    <row r="60" customFormat="false" ht="15" hidden="false" customHeight="true" outlineLevel="0" collapsed="false">
      <c r="A60" s="26" t="s">
        <v>572</v>
      </c>
      <c r="B60" s="46" t="n">
        <f aca="false">B44/B45</f>
        <v>-0.630754438327635</v>
      </c>
      <c r="C60" s="46" t="n">
        <f aca="false">C44/C45</f>
        <v>-0.646021646175966</v>
      </c>
      <c r="D60" s="46" t="n">
        <f aca="false">D44/D45</f>
        <v>-0.60170105136346</v>
      </c>
      <c r="E60" s="46" t="n">
        <f aca="false">E44/E45</f>
        <v>-0.743093218002718</v>
      </c>
      <c r="F60" s="46" t="n">
        <f aca="false">F44/F45</f>
        <v>-0.751811394232832</v>
      </c>
      <c r="G60" s="46" t="n">
        <f aca="false">G44/G45</f>
        <v>-0.682500464300624</v>
      </c>
      <c r="H60" s="46" t="n">
        <f aca="false">H44/H45</f>
        <v>-0.731536515194457</v>
      </c>
      <c r="I60" s="46" t="n">
        <f aca="false">I44/I45</f>
        <v>-0.776715184117307</v>
      </c>
      <c r="J60" s="46" t="n">
        <f aca="false">J44/J45</f>
        <v>-0.616383573546006</v>
      </c>
      <c r="K60" s="46" t="n">
        <f aca="false">K44/K45</f>
        <v>-0.593701164118751</v>
      </c>
      <c r="L60" s="46" t="n">
        <f aca="false">L44/L45</f>
        <v>-0.511663135489284</v>
      </c>
      <c r="M60" s="46" t="n">
        <f aca="false">M44/M45</f>
        <v>-0.522878925238544</v>
      </c>
      <c r="N60" s="46" t="n">
        <f aca="false">N44/N45</f>
        <v>-0.457367750663232</v>
      </c>
      <c r="O60" s="46" t="n">
        <f aca="false">O44/O45</f>
        <v>-0.266772952745184</v>
      </c>
      <c r="P60" s="46" t="n">
        <f aca="false">P44/P45</f>
        <v>-0.258093927806812</v>
      </c>
      <c r="Q60" s="46" t="n">
        <f aca="false">Q44/Q45</f>
        <v>-0.0338689807927801</v>
      </c>
      <c r="R60" s="46" t="n">
        <f aca="false">R44/R45</f>
        <v>-0.114686924753109</v>
      </c>
      <c r="S60" s="46" t="n">
        <f aca="false">S44/S45</f>
        <v>0.193535515533205</v>
      </c>
    </row>
    <row r="61" customFormat="false" ht="15" hidden="false" customHeight="true" outlineLevel="0" collapsed="false">
      <c r="A61" s="26" t="s">
        <v>573</v>
      </c>
      <c r="B61" s="44" t="n">
        <f aca="false">B53/B44</f>
        <v>-0.00108719403682223</v>
      </c>
      <c r="C61" s="44" t="n">
        <f aca="false">C53/C44</f>
        <v>-0.00367115660151058</v>
      </c>
      <c r="D61" s="44" t="n">
        <f aca="false">D53/D44</f>
        <v>-0.00685541661970244</v>
      </c>
      <c r="E61" s="44" t="n">
        <f aca="false">E53/E44</f>
        <v>-0.00567050493189291</v>
      </c>
      <c r="F61" s="44" t="n">
        <f aca="false">F53/F44</f>
        <v>-0.00564473537169093</v>
      </c>
      <c r="G61" s="44" t="n">
        <f aca="false">G53/G44</f>
        <v>-0.00751132858683242</v>
      </c>
      <c r="H61" s="44" t="n">
        <f aca="false">H53/H44</f>
        <v>-0.00840297534049711</v>
      </c>
      <c r="I61" s="44" t="n">
        <f aca="false">I53/I44</f>
        <v>-0.0167203568585965</v>
      </c>
      <c r="J61" s="44" t="n">
        <f aca="false">J53/J44</f>
        <v>-0.0404842159574241</v>
      </c>
      <c r="K61" s="44" t="n">
        <f aca="false">K53/K44</f>
        <v>-0.0238966030023095</v>
      </c>
      <c r="L61" s="44" t="n">
        <f aca="false">L53/L44</f>
        <v>-0.0435058568878149</v>
      </c>
      <c r="M61" s="44" t="n">
        <f aca="false">M53/M44</f>
        <v>-0.0330126431503609</v>
      </c>
      <c r="N61" s="44" t="n">
        <f aca="false">N53/N44</f>
        <v>-0.0323155415527742</v>
      </c>
      <c r="O61" s="44" t="n">
        <f aca="false">O53/O44</f>
        <v>-0.0412185379078805</v>
      </c>
      <c r="P61" s="44" t="n">
        <f aca="false">P53/P44</f>
        <v>-0.0310837115620797</v>
      </c>
      <c r="Q61" s="44" t="n">
        <f aca="false">Q53/Q44</f>
        <v>-0.285567746906235</v>
      </c>
      <c r="R61" s="44" t="n">
        <f aca="false">R53/R44</f>
        <v>-0.0578365484146377</v>
      </c>
      <c r="S61" s="44" t="n">
        <f aca="false">S53/S44</f>
        <v>0.0473242507403979</v>
      </c>
    </row>
    <row r="62" customFormat="false" ht="15" hidden="false" customHeight="true" outlineLevel="0" collapsed="false">
      <c r="A62" s="26" t="s">
        <v>574</v>
      </c>
      <c r="B62" s="44" t="n">
        <f aca="false">B59-B61</f>
        <v>0.935608106118253</v>
      </c>
      <c r="C62" s="44" t="n">
        <f aca="false">C59-C61</f>
        <v>1.01241073300193</v>
      </c>
      <c r="D62" s="44" t="n">
        <f aca="false">D59-D61</f>
        <v>0.907549843800007</v>
      </c>
      <c r="E62" s="44" t="n">
        <f aca="false">E59-E61</f>
        <v>0.874494474798531</v>
      </c>
      <c r="F62" s="44" t="n">
        <f aca="false">F59-F61</f>
        <v>0.99589630803718</v>
      </c>
      <c r="G62" s="44" t="n">
        <f aca="false">G59-G61</f>
        <v>0.695742219391369</v>
      </c>
      <c r="H62" s="44" t="n">
        <f aca="false">H59-H61</f>
        <v>0.460499997330739</v>
      </c>
      <c r="I62" s="44" t="n">
        <f aca="false">I59-I61</f>
        <v>1.08106094632007</v>
      </c>
      <c r="J62" s="44" t="n">
        <f aca="false">J59-J61</f>
        <v>1.0324685985209</v>
      </c>
      <c r="K62" s="44" t="n">
        <f aca="false">K59-K61</f>
        <v>0.537208969299046</v>
      </c>
      <c r="L62" s="44" t="n">
        <f aca="false">L59-L61</f>
        <v>0.873112581049842</v>
      </c>
      <c r="M62" s="44" t="n">
        <f aca="false">M59-M61</f>
        <v>0.854763774105931</v>
      </c>
      <c r="N62" s="44" t="n">
        <f aca="false">N59-N61</f>
        <v>0.877130922996234</v>
      </c>
      <c r="O62" s="44" t="n">
        <f aca="false">O59-O61</f>
        <v>0.669297105601526</v>
      </c>
      <c r="P62" s="44" t="n">
        <f aca="false">P59-P61</f>
        <v>0.515062991839562</v>
      </c>
      <c r="Q62" s="44" t="n">
        <f aca="false">Q59-Q61</f>
        <v>0.672213395301433</v>
      </c>
      <c r="R62" s="44" t="n">
        <f aca="false">R59-R61</f>
        <v>0.492672694455414</v>
      </c>
      <c r="S62" s="44" t="n">
        <f aca="false">S59-S61</f>
        <v>0.378810755066555</v>
      </c>
    </row>
    <row r="63" customFormat="false" ht="15" hidden="false" customHeight="true" outlineLevel="0" collapsed="false">
      <c r="A63" s="26" t="s">
        <v>575</v>
      </c>
      <c r="B63" s="44" t="n">
        <f aca="false">B56/B45</f>
        <v>0.368172419958317</v>
      </c>
      <c r="C63" s="44" t="n">
        <f aca="false">C56/C45</f>
        <v>0.173996876251407</v>
      </c>
      <c r="D63" s="44" t="n">
        <f aca="false">D56/D45</f>
        <v>0.386208002590877</v>
      </c>
      <c r="E63" s="44" t="n">
        <f aca="false">E56/E45</f>
        <v>0.239673316287642</v>
      </c>
      <c r="F63" s="44" t="n">
        <f aca="false">F56/F45</f>
        <v>0.26285987431509</v>
      </c>
      <c r="G63" s="44" t="n">
        <f aca="false">G56/G45</f>
        <v>0.253515764130297</v>
      </c>
      <c r="H63" s="44" t="n">
        <f aca="false">H56/H45</f>
        <v>0.145353718442409</v>
      </c>
      <c r="I63" s="44" t="n">
        <f aca="false">I56/I45</f>
        <v>0.244710335641085</v>
      </c>
      <c r="J63" s="44" t="n">
        <f aca="false">J56/J45</f>
        <v>0.361265799419318</v>
      </c>
      <c r="K63" s="44" t="n">
        <f aca="false">K56/K45</f>
        <v>0.169381852717071</v>
      </c>
      <c r="L63" s="44" t="n">
        <f aca="false">L56/L45</f>
        <v>0.379730033702639</v>
      </c>
      <c r="M63" s="44" t="n">
        <f aca="false">M56/M45</f>
        <v>0.400235381335874</v>
      </c>
      <c r="N63" s="44" t="n">
        <f aca="false">N56/N45</f>
        <v>0.456964594166991</v>
      </c>
      <c r="O63" s="44" t="n">
        <f aca="false">O56/O45</f>
        <v>0.420830801668437</v>
      </c>
      <c r="P63" s="44" t="n">
        <f aca="false">P56/P45</f>
        <v>0.319130701771954</v>
      </c>
      <c r="Q63" s="44" t="n">
        <f aca="false">Q56/Q45</f>
        <v>0.341350193256634</v>
      </c>
      <c r="R63" s="44" t="n">
        <f aca="false">R56/R45</f>
        <v>0.367032145500013</v>
      </c>
      <c r="S63" s="44" t="n">
        <f aca="false">S56/S45</f>
        <v>0.487217666782286</v>
      </c>
    </row>
    <row r="64" customFormat="false" ht="15" hidden="false" customHeight="true" outlineLevel="0" collapsed="false">
      <c r="A64" s="26" t="s">
        <v>576</v>
      </c>
      <c r="B64" s="44" t="n">
        <f aca="false">B22/B18</f>
        <v>0.368294655948228</v>
      </c>
      <c r="C64" s="44" t="n">
        <f aca="false">C22/C18</f>
        <v>0.406280454791554</v>
      </c>
      <c r="D64" s="44" t="n">
        <f aca="false">D22/D18</f>
        <v>0.405549813429568</v>
      </c>
      <c r="E64" s="44" t="n">
        <f aca="false">E22/E18</f>
        <v>0.255835329927821</v>
      </c>
      <c r="F64" s="44" t="n">
        <f aca="false">F22/F18</f>
        <v>0.276943149574382</v>
      </c>
      <c r="G64" s="44" t="n">
        <f aca="false">G22/G18</f>
        <v>0.24585672280139</v>
      </c>
      <c r="H64" s="44" t="n">
        <f aca="false">H22/H18</f>
        <v>0.152254535918984</v>
      </c>
      <c r="I64" s="44" t="n">
        <f aca="false">I22/I18</f>
        <v>0.233315277025432</v>
      </c>
      <c r="J64" s="44" t="n">
        <f aca="false">J22/J18</f>
        <v>0.352087189546095</v>
      </c>
      <c r="K64" s="44" t="n">
        <f aca="false">K22/K18</f>
        <v>0.200331245919872</v>
      </c>
      <c r="L64" s="44" t="n">
        <f aca="false">L22/L18</f>
        <v>0.383465259454705</v>
      </c>
      <c r="M64" s="44" t="n">
        <f aca="false">M22/M18</f>
        <v>0.374298417635921</v>
      </c>
      <c r="N64" s="44" t="n">
        <f aca="false">N22/N18</f>
        <v>0.431522382173141</v>
      </c>
      <c r="O64" s="44" t="n">
        <f aca="false">O22/O18</f>
        <v>0.436754692509998</v>
      </c>
      <c r="P64" s="44" t="n">
        <f aca="false">P22/P18</f>
        <v>0.350887146438564</v>
      </c>
      <c r="Q64" s="44" t="n">
        <f aca="false">Q22/Q18</f>
        <v>0.328281379782998</v>
      </c>
      <c r="R64" s="44" t="n">
        <f aca="false">R22/R18</f>
        <v>0.296472273414095</v>
      </c>
      <c r="S64" s="44" t="n">
        <f aca="false">S22/S18</f>
        <v>0.30233483352811</v>
      </c>
    </row>
    <row r="66" customFormat="false" ht="15" hidden="false" customHeight="true" outlineLevel="0" collapsed="false">
      <c r="A66" s="4" t="s">
        <v>577</v>
      </c>
    </row>
    <row r="67" customFormat="false" ht="15" hidden="false" customHeight="true" outlineLevel="0" collapsed="false">
      <c r="A67" s="26" t="s">
        <v>578</v>
      </c>
      <c r="B67" s="42" t="n">
        <f aca="false">-(B26+B27)</f>
        <v>13821</v>
      </c>
      <c r="C67" s="42" t="n">
        <f aca="false">-(C26+C27)</f>
        <v>15847</v>
      </c>
      <c r="D67" s="42" t="n">
        <f aca="false">-(D26+D27)</f>
        <v>16735</v>
      </c>
      <c r="E67" s="42" t="n">
        <f aca="false">-(E26+E27)</f>
        <v>11414</v>
      </c>
      <c r="F67" s="42" t="n">
        <f aca="false">-(F26+F27)</f>
        <v>12815</v>
      </c>
      <c r="G67" s="42" t="n">
        <f aca="false">-(G26+G27)</f>
        <v>16195</v>
      </c>
      <c r="H67" s="42" t="n">
        <f aca="false">-(H26+H27)</f>
        <v>24325</v>
      </c>
      <c r="I67" s="42" t="n">
        <f aca="false">-(I26+I27)</f>
        <v>26975</v>
      </c>
      <c r="J67" s="42" t="n">
        <f aca="false">-(J26+J27)</f>
        <v>23633</v>
      </c>
      <c r="K67" s="42" t="n">
        <f aca="false">-(K26+K27)</f>
        <v>23420</v>
      </c>
      <c r="L67" s="42" t="n">
        <f aca="false">-(L26+L27)</f>
        <v>33354</v>
      </c>
      <c r="M67" s="42" t="n">
        <f aca="false">-(M26+M27)</f>
        <v>38105</v>
      </c>
      <c r="N67" s="42" t="n">
        <f aca="false">-(N26+N27)</f>
        <v>43906</v>
      </c>
      <c r="O67" s="42" t="n">
        <f aca="false">-(O26+O27)</f>
        <v>50831</v>
      </c>
      <c r="P67" s="42" t="n">
        <f aca="false">-(P26+P27)</f>
        <v>42045</v>
      </c>
      <c r="Q67" s="42" t="n">
        <f aca="false">-(Q26+Q27)</f>
        <v>39025</v>
      </c>
      <c r="R67" s="42" t="n">
        <f aca="false">-(R26+R27)</f>
        <v>42502</v>
      </c>
      <c r="S67" s="42" t="n">
        <f aca="false">-(S26+S27)</f>
        <v>48716</v>
      </c>
    </row>
    <row r="68" customFormat="false" ht="15" hidden="false" customHeight="true" outlineLevel="0" collapsed="false">
      <c r="A68" s="26" t="s">
        <v>579</v>
      </c>
      <c r="B68" s="42" t="n">
        <f aca="false">B22+B25</f>
        <v>15538</v>
      </c>
      <c r="C68" s="42" t="n">
        <f aca="false">C22+C25</f>
        <v>10131</v>
      </c>
      <c r="D68" s="42" t="n">
        <f aca="false">D22+D25</f>
        <v>25013</v>
      </c>
      <c r="E68" s="42" t="n">
        <f aca="false">E22+E25</f>
        <v>18400</v>
      </c>
      <c r="F68" s="42" t="n">
        <f aca="false">F22+F25</f>
        <v>23606</v>
      </c>
      <c r="G68" s="42" t="n">
        <f aca="false">G22+G25</f>
        <v>25782</v>
      </c>
      <c r="H68" s="42" t="n">
        <f aca="false">H22+H25</f>
        <v>14715</v>
      </c>
      <c r="I68" s="42" t="n">
        <f aca="false">I22+I25</f>
        <v>18335</v>
      </c>
      <c r="J68" s="42" t="n">
        <f aca="false">J22+J25</f>
        <v>25920</v>
      </c>
      <c r="K68" s="42" t="n">
        <f aca="false">K22+K25</f>
        <v>14384</v>
      </c>
      <c r="L68" s="42" t="n">
        <f aca="false">L22+L25</f>
        <v>38900</v>
      </c>
      <c r="M68" s="42" t="n">
        <f aca="false">M22+M25</f>
        <v>47467</v>
      </c>
      <c r="N68" s="42" t="n">
        <f aca="false">N22+N25</f>
        <v>63093</v>
      </c>
      <c r="O68" s="42" t="n">
        <f aca="false">O22+O25</f>
        <v>68060</v>
      </c>
      <c r="P68" s="42" t="n">
        <f aca="false">P22+P25</f>
        <v>66018</v>
      </c>
      <c r="Q68" s="42" t="n">
        <f aca="false">Q22+Q25</f>
        <v>82546</v>
      </c>
      <c r="R68" s="42" t="n">
        <f aca="false">R22+R25</f>
        <v>98485</v>
      </c>
      <c r="S68" s="42" t="n">
        <f aca="false">S22+S25</f>
        <v>130465</v>
      </c>
    </row>
    <row r="69" customFormat="false" ht="15" hidden="false" customHeight="true" outlineLevel="0" collapsed="false">
      <c r="A69" s="26" t="s">
        <v>580</v>
      </c>
      <c r="B69" s="26" t="str">
        <f aca="false">""</f>
        <v/>
      </c>
      <c r="C69" s="42" t="n">
        <f aca="false">C18-B18</f>
        <v>6617</v>
      </c>
      <c r="D69" s="42" t="n">
        <f aca="false">D18-C18</f>
        <v>10908</v>
      </c>
      <c r="E69" s="42" t="n">
        <f aca="false">E18-D18</f>
        <v>9280</v>
      </c>
      <c r="F69" s="42" t="n">
        <f aca="false">F18-E18</f>
        <v>12581</v>
      </c>
      <c r="G69" s="42" t="n">
        <f aca="false">G18-F18</f>
        <v>10840</v>
      </c>
      <c r="H69" s="42" t="n">
        <f aca="false">H18-G18</f>
        <v>-9701</v>
      </c>
      <c r="I69" s="42" t="n">
        <f aca="false">I18-H18</f>
        <v>-8086</v>
      </c>
      <c r="J69" s="42" t="n">
        <f aca="false">J18-I18</f>
        <v>397</v>
      </c>
      <c r="K69" s="42" t="n">
        <f aca="false">K18-J18</f>
        <v>10324</v>
      </c>
      <c r="L69" s="42" t="n">
        <f aca="false">L18-K18</f>
        <v>19612</v>
      </c>
      <c r="M69" s="42" t="n">
        <f aca="false">M18-L18</f>
        <v>15974</v>
      </c>
      <c r="N69" s="42" t="n">
        <f aca="false">N18-M18</f>
        <v>23684</v>
      </c>
      <c r="O69" s="42" t="n">
        <f aca="false">O18-N18</f>
        <v>24554</v>
      </c>
      <c r="P69" s="42" t="n">
        <f aca="false">P18-O18</f>
        <v>39681</v>
      </c>
      <c r="Q69" s="42" t="n">
        <f aca="false">Q18-P18</f>
        <v>62254</v>
      </c>
      <c r="R69" s="42" t="n">
        <f aca="false">R18-Q18</f>
        <v>75002</v>
      </c>
      <c r="S69" s="42" t="n">
        <f aca="false">S18-R18</f>
        <v>98908</v>
      </c>
    </row>
    <row r="70" customFormat="false" ht="15" hidden="false" customHeight="true" outlineLevel="0" collapsed="false">
      <c r="A70" s="26" t="s">
        <v>581</v>
      </c>
      <c r="B70" s="26" t="str">
        <f aca="false">""</f>
        <v/>
      </c>
      <c r="C70" s="42" t="n">
        <f aca="false">C69-(C68-C67)</f>
        <v>12333</v>
      </c>
      <c r="D70" s="42" t="n">
        <f aca="false">D69-(D68-D67)</f>
        <v>2630</v>
      </c>
      <c r="E70" s="42" t="n">
        <f aca="false">E69-(E68-E67)</f>
        <v>2294</v>
      </c>
      <c r="F70" s="42" t="n">
        <f aca="false">F69-(F68-F67)</f>
        <v>1790</v>
      </c>
      <c r="G70" s="42" t="n">
        <f aca="false">G69-(G68-G67)</f>
        <v>1253</v>
      </c>
      <c r="H70" s="42" t="n">
        <f aca="false">H69-(H68-H67)</f>
        <v>-91</v>
      </c>
      <c r="I70" s="42" t="n">
        <f aca="false">I69-(I68-I67)</f>
        <v>554</v>
      </c>
      <c r="J70" s="42" t="n">
        <f aca="false">J69-(J68-J67)</f>
        <v>-1890</v>
      </c>
      <c r="K70" s="42" t="n">
        <f aca="false">K69-(K68-K67)</f>
        <v>19360</v>
      </c>
      <c r="L70" s="42" t="n">
        <f aca="false">L69-(L68-L67)</f>
        <v>14066</v>
      </c>
      <c r="M70" s="42" t="n">
        <f aca="false">M69-(M68-M67)</f>
        <v>6612</v>
      </c>
      <c r="N70" s="42" t="n">
        <f aca="false">N69-(N68-N67)</f>
        <v>4497</v>
      </c>
      <c r="O70" s="42" t="n">
        <f aca="false">O69-(O68-O67)</f>
        <v>7325</v>
      </c>
      <c r="P70" s="42" t="n">
        <f aca="false">P69-(P68-P67)</f>
        <v>15708</v>
      </c>
      <c r="Q70" s="42" t="n">
        <f aca="false">Q69-(Q68-Q67)</f>
        <v>18733</v>
      </c>
      <c r="R70" s="42" t="n">
        <f aca="false">R69-(R68-R67)</f>
        <v>19019</v>
      </c>
      <c r="S70" s="42" t="n">
        <f aca="false">S69-(S68-S67)</f>
        <v>17159</v>
      </c>
    </row>
    <row r="72" customFormat="false" ht="15" hidden="false" customHeight="true" outlineLevel="0" collapsed="false">
      <c r="A72" s="4" t="s">
        <v>582</v>
      </c>
    </row>
    <row r="73" customFormat="false" ht="15" hidden="false" customHeight="true" outlineLevel="0" collapsed="false">
      <c r="A73" s="26" t="s">
        <v>583</v>
      </c>
      <c r="B73" s="42" t="n">
        <f aca="false">IF(cfg_restatement="Economic",B43,B35)</f>
        <v>23492.9746261789</v>
      </c>
      <c r="C73" s="42" t="n">
        <f aca="false">IF(cfg_restatement="Economic",C43,C35)</f>
        <v>25978.0722099014</v>
      </c>
      <c r="D73" s="42" t="n">
        <f aca="false">IF(cfg_restatement="Economic",D43,D35)</f>
        <v>34998.4966062035</v>
      </c>
      <c r="E73" s="42" t="n">
        <f aca="false">IF(cfg_restatement="Economic",E43,E35)</f>
        <v>25784.7470584543</v>
      </c>
      <c r="F73" s="42" t="n">
        <f aca="false">IF(cfg_restatement="Economic",F43,F35)</f>
        <v>29169.256525216</v>
      </c>
      <c r="G73" s="42" t="n">
        <f aca="false">IF(cfg_restatement="Economic",G43,G35)</f>
        <v>41529.9670723514</v>
      </c>
      <c r="H73" s="42" t="n">
        <f aca="false">IF(cfg_restatement="Economic",H43,H35)</f>
        <v>31773.6115922743</v>
      </c>
      <c r="I73" s="42" t="n">
        <f aca="false">IF(cfg_restatement="Economic",I43,I35)</f>
        <v>23904.59367486</v>
      </c>
      <c r="J73" s="42" t="n">
        <f aca="false">IF(cfg_restatement="Economic",J43,J35)</f>
        <v>39810.426027336</v>
      </c>
      <c r="K73" s="42" t="n">
        <f aca="false">IF(cfg_restatement="Economic",K43,K35)</f>
        <v>47456.1208756329</v>
      </c>
      <c r="L73" s="42" t="n">
        <f aca="false">IF(cfg_restatement="Economic",L43,L35)</f>
        <v>69375.6356980045</v>
      </c>
      <c r="M73" s="42" t="n">
        <f aca="false">IF(cfg_restatement="Economic",M43,M35)</f>
        <v>77425.230520052</v>
      </c>
      <c r="N73" s="42" t="n">
        <f aca="false">IF(cfg_restatement="Economic",N43,N35)</f>
        <v>91793.7017029331</v>
      </c>
      <c r="O73" s="42" t="n">
        <f aca="false">IF(cfg_restatement="Economic",O43,O35)</f>
        <v>136868.786328244</v>
      </c>
      <c r="P73" s="42" t="n">
        <f aca="false">IF(cfg_restatement="Economic",P43,P35)</f>
        <v>162178.035705633</v>
      </c>
      <c r="Q73" s="42" t="n">
        <f aca="false">IF(cfg_restatement="Economic",Q43,Q35)</f>
        <v>256109.027732232</v>
      </c>
      <c r="R73" s="42" t="n">
        <f aca="false">IF(cfg_restatement="Economic",R43,R35)</f>
        <v>272938.883391612</v>
      </c>
      <c r="S73" s="42" t="n">
        <f aca="false">IF(cfg_restatement="Economic",S43,S35)</f>
        <v>324285.613795854</v>
      </c>
    </row>
    <row r="74" customFormat="false" ht="15" hidden="false" customHeight="true" outlineLevel="0" collapsed="false">
      <c r="A74" s="26" t="s">
        <v>584</v>
      </c>
      <c r="B74" s="42" t="n">
        <f aca="false">IF(cfg_restatement="Economic",B44,B32)</f>
        <v>-40131.2826831735</v>
      </c>
      <c r="C74" s="42" t="n">
        <f aca="false">IF(cfg_restatement="Economic",C44,C32)</f>
        <v>-47410.8001018087</v>
      </c>
      <c r="D74" s="42" t="n">
        <f aca="false">IF(cfg_restatement="Economic",D44,D32)</f>
        <v>-52871.4230257981</v>
      </c>
      <c r="E74" s="42" t="n">
        <f aca="false">IF(cfg_restatement="Economic",E44,E32)</f>
        <v>-74581.4124410917</v>
      </c>
      <c r="F74" s="42" t="n">
        <f aca="false">IF(cfg_restatement="Economic",F44,F32)</f>
        <v>-88359.3320054774</v>
      </c>
      <c r="G74" s="42" t="n">
        <f aca="false">IF(cfg_restatement="Economic",G44,G32)</f>
        <v>-89273.2701067856</v>
      </c>
      <c r="H74" s="42" t="n">
        <f aca="false">IF(cfg_restatement="Economic",H44,H32)</f>
        <v>-86579.9574798432</v>
      </c>
      <c r="I74" s="42" t="n">
        <f aca="false">IF(cfg_restatement="Economic",I44,I32)</f>
        <v>-83154.1580828893</v>
      </c>
      <c r="J74" s="42" t="n">
        <f aca="false">IF(cfg_restatement="Economic",J44,J32)</f>
        <v>-63966.2198147846</v>
      </c>
      <c r="K74" s="42" t="n">
        <f aca="false">IF(cfg_restatement="Economic",K44,K32)</f>
        <v>-69344.9050803044</v>
      </c>
      <c r="L74" s="42" t="n">
        <f aca="false">IF(cfg_restatement="Economic",L44,L32)</f>
        <v>-72689.4852047861</v>
      </c>
      <c r="M74" s="42" t="n">
        <f aca="false">IF(cfg_restatement="Economic",M44,M32)</f>
        <v>-84850.6248459301</v>
      </c>
      <c r="N74" s="42" t="n">
        <f aca="false">IF(cfg_restatement="Economic",N44,N32)</f>
        <v>-77370.0400671661</v>
      </c>
      <c r="O74" s="42" t="n">
        <f aca="false">IF(cfg_restatement="Economic",O44,O32)</f>
        <v>-49797.5223420068</v>
      </c>
      <c r="P74" s="42" t="n">
        <f aca="false">IF(cfg_restatement="Economic",P44,P32)</f>
        <v>-56418.4171124574</v>
      </c>
      <c r="Q74" s="42" t="n">
        <f aca="false">IF(cfg_restatement="Economic",Q44,Q32)</f>
        <v>-8978.23542425778</v>
      </c>
      <c r="R74" s="42" t="n">
        <f aca="false">IF(cfg_restatement="Economic",R44,R32)</f>
        <v>-35357.5724305234</v>
      </c>
      <c r="S74" s="42" t="n">
        <f aca="false">IF(cfg_restatement="Economic",S44,S32)</f>
        <v>52583.9261833313</v>
      </c>
    </row>
    <row r="75" customFormat="false" ht="15" hidden="false" customHeight="true" outlineLevel="0" collapsed="false">
      <c r="A75" s="26" t="s">
        <v>585</v>
      </c>
      <c r="B75" s="42" t="n">
        <f aca="false">IF(cfg_restatement="Economic",B45,B18)</f>
        <v>63624.2573093524</v>
      </c>
      <c r="C75" s="42" t="n">
        <f aca="false">IF(cfg_restatement="Economic",C45,C18)</f>
        <v>73388.8723117101</v>
      </c>
      <c r="D75" s="42" t="n">
        <f aca="false">IF(cfg_restatement="Economic",D45,D18)</f>
        <v>87869.9196320016</v>
      </c>
      <c r="E75" s="42" t="n">
        <f aca="false">IF(cfg_restatement="Economic",E45,E18)</f>
        <v>100366.159499546</v>
      </c>
      <c r="F75" s="42" t="n">
        <f aca="false">IF(cfg_restatement="Economic",F45,F18)</f>
        <v>117528.588530693</v>
      </c>
      <c r="G75" s="42" t="n">
        <f aca="false">IF(cfg_restatement="Economic",G45,G18)</f>
        <v>130803.237179137</v>
      </c>
      <c r="H75" s="42" t="n">
        <f aca="false">IF(cfg_restatement="Economic",H45,H18)</f>
        <v>118353.569072117</v>
      </c>
      <c r="I75" s="42" t="n">
        <f aca="false">IF(cfg_restatement="Economic",I45,I18)</f>
        <v>107058.751757749</v>
      </c>
      <c r="J75" s="42" t="n">
        <f aca="false">IF(cfg_restatement="Economic",J45,J18)</f>
        <v>103776.645842121</v>
      </c>
      <c r="K75" s="42" t="n">
        <f aca="false">IF(cfg_restatement="Economic",K45,K18)</f>
        <v>116801.025955937</v>
      </c>
      <c r="L75" s="42" t="n">
        <f aca="false">IF(cfg_restatement="Economic",L45,L18)</f>
        <v>142065.120902791</v>
      </c>
      <c r="M75" s="42" t="n">
        <f aca="false">IF(cfg_restatement="Economic",M45,M18)</f>
        <v>162275.855365982</v>
      </c>
      <c r="N75" s="42" t="n">
        <f aca="false">IF(cfg_restatement="Economic",N45,N18)</f>
        <v>169163.741770099</v>
      </c>
      <c r="O75" s="42" t="n">
        <f aca="false">IF(cfg_restatement="Economic",O45,O18)</f>
        <v>186666.308670251</v>
      </c>
      <c r="P75" s="42" t="n">
        <f aca="false">IF(cfg_restatement="Economic",P45,P18)</f>
        <v>218596.45281809</v>
      </c>
      <c r="Q75" s="42" t="n">
        <f aca="false">IF(cfg_restatement="Economic",Q45,Q18)</f>
        <v>265087.263156489</v>
      </c>
      <c r="R75" s="42" t="n">
        <f aca="false">IF(cfg_restatement="Economic",R45,R18)</f>
        <v>308296.455822135</v>
      </c>
      <c r="S75" s="42" t="n">
        <f aca="false">IF(cfg_restatement="Economic",S45,S18)</f>
        <v>271701.687612523</v>
      </c>
    </row>
    <row r="76" customFormat="false" ht="15" hidden="false" customHeight="true" outlineLevel="0" collapsed="false">
      <c r="A76" s="26" t="s">
        <v>586</v>
      </c>
      <c r="B76" s="42" t="n">
        <f aca="false">IF(cfg_restatement="Economic",B52,B20*(1-B24))</f>
        <v>21954.6760751626</v>
      </c>
      <c r="C76" s="42" t="n">
        <f aca="false">IF(cfg_restatement="Economic",C52,C20*(1-C24))</f>
        <v>26205.1095567154</v>
      </c>
      <c r="D76" s="42" t="n">
        <f aca="false">IF(cfg_restatement="Economic",D52,D20*(1-D24))</f>
        <v>31522.9508528963</v>
      </c>
      <c r="E76" s="42" t="n">
        <f aca="false">IF(cfg_restatement="Economic",E52,E20*(1-E24))</f>
        <v>22402.4063013334</v>
      </c>
      <c r="F76" s="42" t="n">
        <f aca="false">IF(cfg_restatement="Economic",F52,F20*(1-F24))</f>
        <v>28884.9021475783</v>
      </c>
      <c r="G76" s="42" t="n">
        <f aca="false">IF(cfg_restatement="Economic",G52,G20*(1-G24))</f>
        <v>28582.2062332874</v>
      </c>
      <c r="H76" s="42" t="n">
        <f aca="false">IF(cfg_restatement="Economic",H52,H20*(1-H24))</f>
        <v>14364.7551787418</v>
      </c>
      <c r="I76" s="42" t="n">
        <f aca="false">IF(cfg_restatement="Economic",I52,I20*(1-I24))</f>
        <v>25442.6293227375</v>
      </c>
      <c r="J76" s="42" t="n">
        <f aca="false">IF(cfg_restatement="Economic",J52,J20*(1-J24))</f>
        <v>39491.3208823158</v>
      </c>
      <c r="K76" s="42" t="n">
        <f aca="false">IF(cfg_restatement="Economic",K52,K20*(1-K24))</f>
        <v>24359.8137019351</v>
      </c>
      <c r="L76" s="42" t="n">
        <f aca="false">IF(cfg_restatement="Economic",L52,L20*(1-L24))</f>
        <v>57554.4938680797</v>
      </c>
      <c r="M76" s="42" t="n">
        <f aca="false">IF(cfg_restatement="Economic",M52,M20*(1-M24))</f>
        <v>63624.2707443485</v>
      </c>
      <c r="N76" s="42" t="n">
        <f aca="false">IF(cfg_restatement="Economic",N52,N20*(1-N24))</f>
        <v>77548.7311182706</v>
      </c>
      <c r="O76" s="42" t="n">
        <f aca="false">IF(cfg_restatement="Economic",O52,O20*(1-O24))</f>
        <v>85964.3512790113</v>
      </c>
      <c r="P76" s="42" t="n">
        <f aca="false">IF(cfg_restatement="Economic",P52,P20*(1-P24))</f>
        <v>78490.8089976281</v>
      </c>
      <c r="Q76" s="42" t="n">
        <f aca="false">IF(cfg_restatement="Economic",Q52,Q20*(1-Q24))</f>
        <v>99023.4410873925</v>
      </c>
      <c r="R76" s="42" t="n">
        <f aca="false">IF(cfg_restatement="Economic",R52,R20*(1-R24))</f>
        <v>118683.692158681</v>
      </c>
      <c r="S76" s="42" t="n">
        <f aca="false">IF(cfg_restatement="Economic",S52,S20*(1-S24))</f>
        <v>138189.451918008</v>
      </c>
    </row>
    <row r="77" customFormat="false" ht="15" hidden="false" customHeight="true" outlineLevel="0" collapsed="false">
      <c r="A77" s="26" t="s">
        <v>587</v>
      </c>
      <c r="B77" s="42" t="n">
        <f aca="false">IF(cfg_restatement="Economic",B54,B22)</f>
        <v>21911.0455839395</v>
      </c>
      <c r="C77" s="42" t="n">
        <f aca="false">IF(cfg_restatement="Economic",C54,C22)</f>
        <v>26031.0570849387</v>
      </c>
      <c r="D77" s="42" t="n">
        <f aca="false">IF(cfg_restatement="Economic",D54,D22)</f>
        <v>31160.4952207779</v>
      </c>
      <c r="E77" s="42" t="n">
        <f aca="false">IF(cfg_restatement="Economic",E54,E22)</f>
        <v>21979.4920342587</v>
      </c>
      <c r="F77" s="42" t="n">
        <f aca="false">IF(cfg_restatement="Economic",F54,F22)</f>
        <v>28386.137100788</v>
      </c>
      <c r="G77" s="42" t="n">
        <f aca="false">IF(cfg_restatement="Economic",G54,G22)</f>
        <v>27911.6453674943</v>
      </c>
      <c r="H77" s="42" t="n">
        <f aca="false">IF(cfg_restatement="Economic",H54,H22)</f>
        <v>13637.2259310574</v>
      </c>
      <c r="I77" s="42" t="n">
        <f aca="false">IF(cfg_restatement="Economic",I54,I22)</f>
        <v>24052.2621253155</v>
      </c>
      <c r="J77" s="42" t="n">
        <f aca="false">IF(cfg_restatement="Economic",J54,J22)</f>
        <v>36901.698625354</v>
      </c>
      <c r="K77" s="42" t="n">
        <f aca="false">IF(cfg_restatement="Economic",K54,K22)</f>
        <v>22702.7060349982</v>
      </c>
      <c r="L77" s="42" t="n">
        <f aca="false">IF(cfg_restatement="Economic",L54,L22)</f>
        <v>54392.0755275113</v>
      </c>
      <c r="M77" s="42" t="n">
        <f aca="false">IF(cfg_restatement="Economic",M54,M22)</f>
        <v>60823.1273452246</v>
      </c>
      <c r="N77" s="42" t="n">
        <f aca="false">IF(cfg_restatement="Economic",N54,N22)</f>
        <v>75048.4763735403</v>
      </c>
      <c r="O77" s="42" t="n">
        <f aca="false">IF(cfg_restatement="Economic",O54,O22)</f>
        <v>83911.7702166387</v>
      </c>
      <c r="P77" s="42" t="n">
        <f aca="false">IF(cfg_restatement="Economic",P54,P22)</f>
        <v>76737.1151933153</v>
      </c>
      <c r="Q77" s="42" t="n">
        <f aca="false">IF(cfg_restatement="Economic",Q54,Q22)</f>
        <v>96459.5466260935</v>
      </c>
      <c r="R77" s="42" t="n">
        <f aca="false">IF(cfg_restatement="Economic",R54,R22)</f>
        <v>116638.732208979</v>
      </c>
      <c r="S77" s="42" t="n">
        <f aca="false">IF(cfg_restatement="Economic",S54,S22)</f>
        <v>135700.957010393</v>
      </c>
    </row>
    <row r="78" customFormat="false" ht="15" hidden="false" customHeight="true" outlineLevel="0" collapsed="false">
      <c r="A78" s="26" t="s">
        <v>588</v>
      </c>
      <c r="B78" s="44" t="n">
        <f aca="false">B76/B73</f>
        <v>0.934520912081431</v>
      </c>
      <c r="C78" s="44" t="n">
        <f aca="false">C76/C73</f>
        <v>1.00873957640042</v>
      </c>
      <c r="D78" s="44" t="n">
        <f aca="false">D76/D73</f>
        <v>0.900694427180304</v>
      </c>
      <c r="E78" s="44" t="n">
        <f aca="false">E76/E73</f>
        <v>0.868823969866638</v>
      </c>
      <c r="F78" s="44" t="n">
        <f aca="false">F76/F73</f>
        <v>0.990251572665489</v>
      </c>
      <c r="G78" s="44" t="n">
        <f aca="false">G76/G73</f>
        <v>0.688230890804536</v>
      </c>
      <c r="H78" s="44" t="n">
        <f aca="false">H76/H73</f>
        <v>0.452097021990242</v>
      </c>
      <c r="I78" s="44" t="n">
        <f aca="false">I76/I73</f>
        <v>1.06434058946148</v>
      </c>
      <c r="J78" s="44" t="n">
        <f aca="false">J76/J73</f>
        <v>0.991984382563476</v>
      </c>
      <c r="K78" s="44" t="n">
        <f aca="false">K76/K73</f>
        <v>0.513312366296736</v>
      </c>
      <c r="L78" s="44" t="n">
        <f aca="false">L76/L73</f>
        <v>0.829606724162027</v>
      </c>
      <c r="M78" s="44" t="n">
        <f aca="false">M76/M73</f>
        <v>0.821751130955571</v>
      </c>
      <c r="N78" s="44" t="n">
        <f aca="false">N76/N73</f>
        <v>0.84481538144346</v>
      </c>
      <c r="O78" s="44" t="n">
        <f aca="false">O76/O73</f>
        <v>0.628078567693646</v>
      </c>
      <c r="P78" s="44" t="n">
        <f aca="false">P76/P73</f>
        <v>0.483979280277482</v>
      </c>
      <c r="Q78" s="44" t="n">
        <f aca="false">Q76/Q73</f>
        <v>0.386645648395198</v>
      </c>
      <c r="R78" s="44" t="n">
        <f aca="false">R76/R73</f>
        <v>0.434836146040776</v>
      </c>
      <c r="S78" s="44" t="n">
        <f aca="false">S76/S73</f>
        <v>0.426135005806953</v>
      </c>
    </row>
    <row r="80" customFormat="false" ht="15" hidden="false" customHeight="true" outlineLevel="0" collapsed="false">
      <c r="A80" s="4" t="s">
        <v>589</v>
      </c>
    </row>
    <row r="81" customFormat="false" ht="15" hidden="false" customHeight="true" outlineLevel="0" collapsed="false">
      <c r="A81" s="26" t="s">
        <v>590</v>
      </c>
      <c r="B81" s="42" t="n">
        <f aca="false">IFERROR(INDEX(rep_revenue,MATCH(B$5,rep_years_is,0)),0)*B6</f>
        <v>91283.0082969371</v>
      </c>
      <c r="C81" s="42" t="n">
        <f aca="false">IFERROR(INDEX(rep_revenue,MATCH(C$5,rep_years_is,0)),0)*C6</f>
        <v>96029.5774113072</v>
      </c>
      <c r="D81" s="42" t="n">
        <f aca="false">IFERROR(INDEX(rep_revenue,MATCH(D$5,rep_years_is,0)),0)*D6</f>
        <v>104203.841881577</v>
      </c>
      <c r="E81" s="42" t="n">
        <f aca="false">IFERROR(INDEX(rep_revenue,MATCH(E$5,rep_years_is,0)),0)*E6</f>
        <v>107608.530401491</v>
      </c>
      <c r="F81" s="42" t="n">
        <f aca="false">IFERROR(INDEX(rep_revenue,MATCH(F$5,rep_years_is,0)),0)*F6</f>
        <v>111990.583785849</v>
      </c>
      <c r="G81" s="42" t="n">
        <f aca="false">IFERROR(INDEX(rep_revenue,MATCH(G$5,rep_years_is,0)),0)*G6</f>
        <v>122920.61815271</v>
      </c>
      <c r="H81" s="42" t="n">
        <f aca="false">IFERROR(INDEX(rep_revenue,MATCH(H$5,rep_years_is,0)),0)*H6</f>
        <v>132314.603340689</v>
      </c>
      <c r="I81" s="42" t="n">
        <f aca="false">IFERROR(INDEX(rep_revenue,MATCH(I$5,rep_years_is,0)),0)*I6</f>
        <v>127278.795793456</v>
      </c>
      <c r="J81" s="42" t="n">
        <f aca="false">IFERROR(INDEX(rep_revenue,MATCH(J$5,rep_years_is,0)),0)*J6</f>
        <v>132029.87611374</v>
      </c>
      <c r="K81" s="42" t="n">
        <f aca="false">IFERROR(INDEX(rep_revenue,MATCH(K$5,rep_years_is,0)),0)*K6</f>
        <v>147284.521259861</v>
      </c>
      <c r="L81" s="42" t="n">
        <f aca="false">IFERROR(INDEX(rep_revenue,MATCH(L$5,rep_years_is,0)),0)*L6</f>
        <v>164958.845988962</v>
      </c>
      <c r="M81" s="42" t="n">
        <f aca="false">IFERROR(INDEX(rep_revenue,MATCH(M$5,rep_years_is,0)),0)*M6</f>
        <v>185183.843982675</v>
      </c>
      <c r="N81" s="42" t="n">
        <f aca="false">IFERROR(INDEX(rep_revenue,MATCH(N$5,rep_years_is,0)),0)*N6</f>
        <v>207883.362822453</v>
      </c>
      <c r="O81" s="42" t="n">
        <f aca="false">IFERROR(INDEX(rep_revenue,MATCH(O$5,rep_years_is,0)),0)*O6</f>
        <v>227041.524012916</v>
      </c>
      <c r="P81" s="42" t="n">
        <f aca="false">IFERROR(INDEX(rep_revenue,MATCH(P$5,rep_years_is,0)),0)*P6</f>
        <v>233072.28224626</v>
      </c>
      <c r="Q81" s="42" t="n">
        <f aca="false">IFERROR(INDEX(rep_revenue,MATCH(Q$5,rep_years_is,0)),0)*Q6</f>
        <v>261870.897627905</v>
      </c>
      <c r="R81" s="42" t="n">
        <f aca="false">IFERROR(INDEX(rep_revenue,MATCH(R$5,rep_years_is,0)),0)*R6</f>
        <v>293257.47741681</v>
      </c>
      <c r="S81" s="42" t="n">
        <f aca="false">IFERROR(INDEX(rep_revenue,MATCH(S$5,rep_years_is,0)),0)*S6</f>
        <v>335789.411025251</v>
      </c>
    </row>
    <row r="82" customFormat="false" ht="15" hidden="false" customHeight="true" outlineLevel="0" collapsed="false">
      <c r="A82" s="26" t="s">
        <v>591</v>
      </c>
      <c r="B82" s="42" t="n">
        <f aca="false">IFERROR(INDEX(rep_cogs,MATCH(B$5,rep_years_is,0)),0)*B6</f>
        <v>18987.028181619</v>
      </c>
      <c r="C82" s="42" t="n">
        <f aca="false">IFERROR(INDEX(rep_cogs,MATCH(C$5,rep_years_is,0)),0)*C6</f>
        <v>19049.4624545988</v>
      </c>
      <c r="D82" s="42" t="n">
        <f aca="false">IFERROR(INDEX(rep_cogs,MATCH(D$5,rep_years_is,0)),0)*D6</f>
        <v>23207.2293866337</v>
      </c>
      <c r="E82" s="42" t="n">
        <f aca="false">IFERROR(INDEX(rep_cogs,MATCH(E$5,rep_years_is,0)),0)*E6</f>
        <v>25587.3680932429</v>
      </c>
      <c r="F82" s="42" t="n">
        <f aca="false">IFERROR(INDEX(rep_cogs,MATCH(F$5,rep_years_is,0)),0)*F6</f>
        <v>29325.078684049</v>
      </c>
      <c r="G82" s="42" t="n">
        <f aca="false">IFERROR(INDEX(rep_cogs,MATCH(G$5,rep_years_is,0)),0)*G6</f>
        <v>38331.5617143147</v>
      </c>
      <c r="H82" s="42" t="n">
        <f aca="false">IFERROR(INDEX(rep_cogs,MATCH(H$5,rep_years_is,0)),0)*H6</f>
        <v>46713.0782770856</v>
      </c>
      <c r="I82" s="42" t="n">
        <f aca="false">IFERROR(INDEX(rep_cogs,MATCH(I$5,rep_years_is,0)),0)*I6</f>
        <v>45770.8814326249</v>
      </c>
      <c r="J82" s="42" t="n">
        <f aca="false">IFERROR(INDEX(rep_cogs,MATCH(J$5,rep_years_is,0)),0)*J6</f>
        <v>46840.9313927872</v>
      </c>
      <c r="K82" s="42" t="n">
        <f aca="false">IFERROR(INDEX(rep_cogs,MATCH(K$5,rep_years_is,0)),0)*K6</f>
        <v>51185.2414269614</v>
      </c>
      <c r="L82" s="42" t="n">
        <f aca="false">IFERROR(INDEX(rep_cogs,MATCH(L$5,rep_years_is,0)),0)*L6</f>
        <v>56247.7379066484</v>
      </c>
      <c r="M82" s="42" t="n">
        <f aca="false">IFERROR(INDEX(rep_cogs,MATCH(M$5,rep_years_is,0)),0)*M6</f>
        <v>59664.3790024381</v>
      </c>
      <c r="N82" s="42" t="n">
        <f aca="false">IFERROR(INDEX(rep_cogs,MATCH(N$5,rep_years_is,0)),0)*N6</f>
        <v>64598.0903273425</v>
      </c>
      <c r="O82" s="42" t="n">
        <f aca="false">IFERROR(INDEX(rep_cogs,MATCH(O$5,rep_years_is,0)),0)*O6</f>
        <v>71741.3198134322</v>
      </c>
      <c r="P82" s="42" t="n">
        <f aca="false">IFERROR(INDEX(rep_cogs,MATCH(P$5,rep_years_is,0)),0)*P6</f>
        <v>72438.6651515251</v>
      </c>
      <c r="Q82" s="42" t="n">
        <f aca="false">IFERROR(INDEX(rep_cogs,MATCH(Q$5,rep_years_is,0)),0)*Q6</f>
        <v>79178.1223504809</v>
      </c>
      <c r="R82" s="42" t="n">
        <f aca="false">IFERROR(INDEX(rep_cogs,MATCH(R$5,rep_years_is,0)),0)*R6</f>
        <v>91426.7066312981</v>
      </c>
      <c r="S82" s="42" t="n">
        <f aca="false">IFERROR(INDEX(rep_cogs,MATCH(S$5,rep_years_is,0)),0)*S6</f>
        <v>107640.340069733</v>
      </c>
    </row>
    <row r="83" customFormat="false" ht="15" hidden="false" customHeight="true" outlineLevel="0" collapsed="false">
      <c r="A83" s="26" t="s">
        <v>592</v>
      </c>
      <c r="B83" s="42" t="n">
        <f aca="false">B81-B82</f>
        <v>72295.9801153181</v>
      </c>
      <c r="C83" s="42" t="n">
        <f aca="false">C81-C82</f>
        <v>76980.1149567084</v>
      </c>
      <c r="D83" s="42" t="n">
        <f aca="false">D81-D82</f>
        <v>80996.6124949431</v>
      </c>
      <c r="E83" s="42" t="n">
        <f aca="false">E81-E82</f>
        <v>82021.1623082485</v>
      </c>
      <c r="F83" s="42" t="n">
        <f aca="false">F81-F82</f>
        <v>82665.5051017999</v>
      </c>
      <c r="G83" s="42" t="n">
        <f aca="false">G81-G82</f>
        <v>84589.0564383955</v>
      </c>
      <c r="H83" s="42" t="n">
        <f aca="false">H81-H82</f>
        <v>85601.525063603</v>
      </c>
      <c r="I83" s="42" t="n">
        <f aca="false">I81-I82</f>
        <v>81507.9143608311</v>
      </c>
      <c r="J83" s="42" t="n">
        <f aca="false">J81-J82</f>
        <v>85188.944720953</v>
      </c>
      <c r="K83" s="42" t="n">
        <f aca="false">K81-K82</f>
        <v>96099.2798328999</v>
      </c>
      <c r="L83" s="42" t="n">
        <f aca="false">L81-L82</f>
        <v>108711.108082313</v>
      </c>
      <c r="M83" s="42" t="n">
        <f aca="false">M81-M82</f>
        <v>125519.464980237</v>
      </c>
      <c r="N83" s="42" t="n">
        <f aca="false">N81-N82</f>
        <v>143285.27249511</v>
      </c>
      <c r="O83" s="42" t="n">
        <f aca="false">O81-O82</f>
        <v>155300.204199484</v>
      </c>
      <c r="P83" s="42" t="n">
        <f aca="false">P81-P82</f>
        <v>160633.617094735</v>
      </c>
      <c r="Q83" s="42" t="n">
        <f aca="false">Q81-Q82</f>
        <v>182692.775277424</v>
      </c>
      <c r="R83" s="42" t="n">
        <f aca="false">R81-R82</f>
        <v>201830.770785512</v>
      </c>
      <c r="S83" s="42" t="n">
        <f aca="false">S81-S82</f>
        <v>228149.070955518</v>
      </c>
    </row>
    <row r="84" customFormat="false" ht="15" hidden="false" customHeight="true" outlineLevel="0" collapsed="false">
      <c r="A84" s="26" t="s">
        <v>593</v>
      </c>
      <c r="B84" s="42" t="n">
        <f aca="false">IFERROR(INDEX(rep_sga,MATCH(B$5,rep_years_is,0)),0)*B6</f>
        <v>6295.1644238523</v>
      </c>
      <c r="C84" s="42" t="n">
        <f aca="false">IFERROR(INDEX(rep_sga,MATCH(C$5,rep_years_is,0)),0)*C6</f>
        <v>6244.2893064167</v>
      </c>
      <c r="D84" s="42" t="n">
        <f aca="false">IFERROR(INDEX(rep_sga,MATCH(D$5,rep_years_is,0)),0)*D6</f>
        <v>6290.10223216072</v>
      </c>
      <c r="E84" s="42" t="n">
        <f aca="false">IFERROR(INDEX(rep_sga,MATCH(E$5,rep_years_is,0)),0)*E6</f>
        <v>6669.06359486746</v>
      </c>
      <c r="F84" s="42" t="n">
        <f aca="false">IFERROR(INDEX(rep_sga,MATCH(F$5,rep_years_is,0)),0)*F6</f>
        <v>7211.50941590079</v>
      </c>
      <c r="G84" s="42" t="n">
        <f aca="false">IFERROR(INDEX(rep_sga,MATCH(G$5,rep_years_is,0)),0)*G6</f>
        <v>6620.75168542174</v>
      </c>
      <c r="H84" s="42" t="n">
        <f aca="false">IFERROR(INDEX(rep_sga,MATCH(H$5,rep_years_is,0)),0)*H6</f>
        <v>6519.58362902239</v>
      </c>
      <c r="I84" s="42" t="n">
        <f aca="false">IFERROR(INDEX(rep_sga,MATCH(I$5,rep_years_is,0)),0)*I6</f>
        <v>6371.34020674397</v>
      </c>
      <c r="J84" s="42" t="n">
        <f aca="false">IFERROR(INDEX(rep_sga,MATCH(J$5,rep_years_is,0)),0)*J6</f>
        <v>6126.33062581593</v>
      </c>
      <c r="K84" s="42" t="n">
        <f aca="false">IFERROR(INDEX(rep_sga,MATCH(K$5,rep_years_is,0)),0)*K6</f>
        <v>6344.60505680845</v>
      </c>
      <c r="L84" s="42" t="n">
        <f aca="false">IFERROR(INDEX(rep_sga,MATCH(L$5,rep_years_is,0)),0)*L6</f>
        <v>6403.40712360702</v>
      </c>
      <c r="M84" s="42" t="n">
        <f aca="false">IFERROR(INDEX(rep_sga,MATCH(M$5,rep_years_is,0)),0)*M6</f>
        <v>6618.00948568647</v>
      </c>
      <c r="N84" s="42" t="n">
        <f aca="false">IFERROR(INDEX(rep_sga,MATCH(N$5,rep_years_is,0)),0)*N6</f>
        <v>6316.09831715688</v>
      </c>
      <c r="O84" s="42" t="n">
        <f aca="false">IFERROR(INDEX(rep_sga,MATCH(O$5,rep_years_is,0)),0)*O6</f>
        <v>6756.16579248603</v>
      </c>
      <c r="P84" s="42" t="n">
        <f aca="false">IFERROR(INDEX(rep_sga,MATCH(P$5,rep_years_is,0)),0)*P6</f>
        <v>8331.27687051611</v>
      </c>
      <c r="Q84" s="42" t="n">
        <f aca="false">IFERROR(INDEX(rep_sga,MATCH(Q$5,rep_years_is,0)),0)*Q6</f>
        <v>8128.91401037333</v>
      </c>
      <c r="R84" s="42" t="n">
        <f aca="false">IFERROR(INDEX(rep_sga,MATCH(R$5,rep_years_is,0)),0)*R6</f>
        <v>7518.70184784263</v>
      </c>
      <c r="S84" s="42" t="n">
        <f aca="false">IFERROR(INDEX(rep_sga,MATCH(S$5,rep_years_is,0)),0)*S6</f>
        <v>8050.71300876901</v>
      </c>
    </row>
    <row r="90" customFormat="false" ht="15" hidden="false" customHeight="true" outlineLevel="0" collapsed="false">
      <c r="A90" s="4" t="s">
        <v>594</v>
      </c>
    </row>
    <row r="91" customFormat="false" ht="15" hidden="false" customHeight="true" outlineLevel="0" collapsed="false">
      <c r="A91" s="7" t="s">
        <v>595</v>
      </c>
    </row>
    <row r="92" customFormat="false" ht="15" hidden="false" customHeight="true" outlineLevel="0" collapsed="false">
      <c r="A92" s="26" t="s">
        <v>596</v>
      </c>
      <c r="B92" s="26" t="n">
        <f aca="false">IF(cfg_buyback="On",1,0)</f>
        <v>1</v>
      </c>
      <c r="C92" s="26" t="n">
        <f aca="false">IF(cfg_buyback="On",1,0)</f>
        <v>1</v>
      </c>
      <c r="D92" s="26" t="n">
        <f aca="false">IF(cfg_buyback="On",1,0)</f>
        <v>1</v>
      </c>
      <c r="E92" s="26" t="n">
        <f aca="false">IF(cfg_buyback="On",1,0)</f>
        <v>1</v>
      </c>
      <c r="F92" s="26" t="n">
        <f aca="false">IF(cfg_buyback="On",1,0)</f>
        <v>1</v>
      </c>
      <c r="G92" s="26" t="n">
        <f aca="false">IF(cfg_buyback="On",1,0)</f>
        <v>1</v>
      </c>
      <c r="H92" s="26" t="n">
        <f aca="false">IF(cfg_buyback="On",1,0)</f>
        <v>1</v>
      </c>
      <c r="I92" s="26" t="n">
        <f aca="false">IF(cfg_buyback="On",1,0)</f>
        <v>1</v>
      </c>
      <c r="J92" s="26" t="n">
        <f aca="false">IF(cfg_buyback="On",1,0)</f>
        <v>1</v>
      </c>
      <c r="K92" s="26" t="n">
        <f aca="false">IF(cfg_buyback="On",1,0)</f>
        <v>1</v>
      </c>
      <c r="L92" s="26" t="n">
        <f aca="false">IF(cfg_buyback="On",1,0)</f>
        <v>1</v>
      </c>
      <c r="M92" s="26" t="n">
        <f aca="false">IF(cfg_buyback="On",1,0)</f>
        <v>1</v>
      </c>
      <c r="N92" s="26" t="n">
        <f aca="false">IF(cfg_buyback="On",1,0)</f>
        <v>1</v>
      </c>
      <c r="O92" s="26" t="n">
        <f aca="false">IF(cfg_buyback="On",1,0)</f>
        <v>1</v>
      </c>
      <c r="P92" s="26" t="n">
        <f aca="false">IF(cfg_buyback="On",1,0)</f>
        <v>1</v>
      </c>
      <c r="Q92" s="26" t="n">
        <f aca="false">IF(cfg_buyback="On",1,0)</f>
        <v>1</v>
      </c>
      <c r="R92" s="26" t="n">
        <f aca="false">IF(cfg_buyback="On",1,0)</f>
        <v>1</v>
      </c>
      <c r="S92" s="26" t="n">
        <f aca="false">IF(cfg_buyback="On",1,0)</f>
        <v>1</v>
      </c>
    </row>
    <row r="93" customFormat="false" ht="15" hidden="false" customHeight="true" outlineLevel="0" collapsed="false">
      <c r="A93" s="26" t="s">
        <v>597</v>
      </c>
      <c r="B93" s="47" t="n">
        <f aca="false">IFERROR(INDEX(md_yeprice,MATCH(B$5,md_years,0)),0)</f>
        <v>30.48</v>
      </c>
      <c r="C93" s="47" t="n">
        <f aca="false">IFERROR(INDEX(md_yeprice,MATCH(C$5,md_years,0)),0)</f>
        <v>27.91</v>
      </c>
      <c r="D93" s="47" t="n">
        <f aca="false">IFERROR(INDEX(md_yeprice,MATCH(D$5,md_years,0)),0)</f>
        <v>25.959999</v>
      </c>
      <c r="E93" s="47" t="n">
        <f aca="false">IFERROR(INDEX(md_yeprice,MATCH(E$5,md_years,0)),0)</f>
        <v>26.709999</v>
      </c>
      <c r="F93" s="47" t="n">
        <f aca="false">IFERROR(INDEX(md_yeprice,MATCH(F$5,md_years,0)),0)</f>
        <v>37.41</v>
      </c>
      <c r="G93" s="47" t="n">
        <f aca="false">IFERROR(INDEX(md_yeprice,MATCH(G$5,md_years,0)),0)</f>
        <v>46.450001</v>
      </c>
      <c r="H93" s="47" t="n">
        <f aca="false">IFERROR(INDEX(md_yeprice,MATCH(H$5,md_years,0)),0)</f>
        <v>55.48</v>
      </c>
      <c r="I93" s="47" t="n">
        <f aca="false">IFERROR(INDEX(md_yeprice,MATCH(I$5,md_years,0)),0)</f>
        <v>62.139999</v>
      </c>
      <c r="J93" s="47" t="n">
        <f aca="false">IFERROR(INDEX(md_yeprice,MATCH(J$5,md_years,0)),0)</f>
        <v>85.540001</v>
      </c>
      <c r="K93" s="47" t="n">
        <f aca="false">IFERROR(INDEX(md_yeprice,MATCH(K$5,md_years,0)),0)</f>
        <v>101.57</v>
      </c>
      <c r="L93" s="47" t="n">
        <f aca="false">IFERROR(INDEX(md_yeprice,MATCH(L$5,md_years,0)),0)</f>
        <v>157.699997</v>
      </c>
      <c r="M93" s="47" t="n">
        <f aca="false">IFERROR(INDEX(md_yeprice,MATCH(M$5,md_years,0)),0)</f>
        <v>222.419998</v>
      </c>
      <c r="N93" s="47" t="n">
        <f aca="false">IFERROR(INDEX(md_yeprice,MATCH(N$5,md_years,0)),0)</f>
        <v>336.320007</v>
      </c>
      <c r="O93" s="47" t="n">
        <f aca="false">IFERROR(INDEX(md_yeprice,MATCH(O$5,md_years,0)),0)</f>
        <v>239.820007</v>
      </c>
      <c r="P93" s="47" t="n">
        <f aca="false">IFERROR(INDEX(md_yeprice,MATCH(P$5,md_years,0)),0)</f>
        <v>376.040009</v>
      </c>
      <c r="Q93" s="47" t="n">
        <f aca="false">IFERROR(INDEX(md_yeprice,MATCH(Q$5,md_years,0)),0)</f>
        <v>421.5</v>
      </c>
      <c r="R93" s="47" t="n">
        <f aca="false">IFERROR(INDEX(md_yeprice,MATCH(R$5,md_years,0)),0)</f>
        <v>483.619995</v>
      </c>
      <c r="S93" s="47" t="n">
        <f aca="false">IFERROR(INDEX(md_yeprice,MATCH(S$5,md_years,0)),0)</f>
        <v>0</v>
      </c>
    </row>
    <row r="94" customFormat="false" ht="15" hidden="false" customHeight="true" outlineLevel="0" collapsed="false">
      <c r="A94" s="26" t="s">
        <v>598</v>
      </c>
      <c r="B94" s="42" t="n">
        <f aca="false">IF(IFERROR(INDEX(md_yeprice_adj,MATCH(B$5,md_years,0)),0)=0,B93*B19,INDEX(md_yeprice_adj,MATCH(B$5,md_years,0))*B19)</f>
        <v>274198.08</v>
      </c>
      <c r="C94" s="42" t="n">
        <f aca="false">IF(IFERROR(INDEX(md_yeprice_adj,MATCH(C$5,md_years,0)),0)=0,C93*C19,INDEX(md_yeprice_adj,MATCH(C$5,md_years,0))*C19)</f>
        <v>249152.57</v>
      </c>
      <c r="D94" s="42" t="n">
        <f aca="false">IF(IFERROR(INDEX(md_yeprice_adj,MATCH(D$5,md_years,0)),0)=0,D93*D19,INDEX(md_yeprice_adj,MATCH(D$5,md_years,0))*D19)</f>
        <v>223074.271407</v>
      </c>
      <c r="E94" s="42" t="n">
        <f aca="false">IF(IFERROR(INDEX(md_yeprice_adj,MATCH(E$5,md_years,0)),0)=0,E93*E19,INDEX(md_yeprice_adj,MATCH(E$5,md_years,0))*E19)</f>
        <v>227195.251494</v>
      </c>
      <c r="F94" s="42" t="n">
        <f aca="false">IF(IFERROR(INDEX(md_yeprice_adj,MATCH(F$5,md_years,0)),0)=0,F93*F19,INDEX(md_yeprice_adj,MATCH(F$5,md_years,0))*F19)</f>
        <v>316862.7</v>
      </c>
      <c r="G94" s="42" t="n">
        <f aca="false">IF(IFERROR(INDEX(md_yeprice_adj,MATCH(G$5,md_years,0)),0)=0,G93*G19,INDEX(md_yeprice_adj,MATCH(G$5,md_years,0))*G19)</f>
        <v>390133.558399</v>
      </c>
      <c r="H94" s="42" t="n">
        <f aca="false">IF(IFERROR(INDEX(md_yeprice_adj,MATCH(H$5,md_years,0)),0)=0,H93*H19,INDEX(md_yeprice_adj,MATCH(H$5,md_years,0))*H19)</f>
        <v>457931.92</v>
      </c>
      <c r="I94" s="42" t="n">
        <f aca="false">IF(IFERROR(INDEX(md_yeprice_adj,MATCH(I$5,md_years,0)),0)=0,I93*I19,INDEX(md_yeprice_adj,MATCH(I$5,md_years,0))*I19)</f>
        <v>497927.811987</v>
      </c>
      <c r="J94" s="42" t="n">
        <f aca="false">IF(IFERROR(INDEX(md_yeprice_adj,MATCH(J$5,md_years,0)),0)=0,J93*J19,INDEX(md_yeprice_adj,MATCH(J$5,md_years,0))*J19)</f>
        <v>669949.287832</v>
      </c>
      <c r="K94" s="42" t="n">
        <f aca="false">IF(IFERROR(INDEX(md_yeprice_adj,MATCH(K$5,md_years,0)),0)=0,K93*K19,INDEX(md_yeprice_adj,MATCH(K$5,md_years,0))*K19)</f>
        <v>791636.58</v>
      </c>
      <c r="L94" s="42" t="n">
        <f aca="false">IF(IFERROR(INDEX(md_yeprice_adj,MATCH(L$5,md_years,0)),0)=0,L93*L19,INDEX(md_yeprice_adj,MATCH(L$5,md_years,0))*L19)</f>
        <v>1222648.076741</v>
      </c>
      <c r="M94" s="42" t="n">
        <f aca="false">IF(IFERROR(INDEX(md_yeprice_adj,MATCH(M$5,md_years,0)),0)=0,M93*M19,INDEX(md_yeprice_adj,MATCH(M$5,md_years,0))*M19)</f>
        <v>1708852.844634</v>
      </c>
      <c r="N94" s="42" t="n">
        <f aca="false">IF(IFERROR(INDEX(md_yeprice_adj,MATCH(N$5,md_years,0)),0)=0,N93*N19,INDEX(md_yeprice_adj,MATCH(N$5,md_years,0))*N19)</f>
        <v>2558722.613256</v>
      </c>
      <c r="O94" s="42" t="n">
        <f aca="false">IF(IFERROR(INDEX(md_yeprice_adj,MATCH(O$5,md_years,0)),0)=0,O93*O19,INDEX(md_yeprice_adj,MATCH(O$5,md_years,0))*O19)</f>
        <v>1808242.85278</v>
      </c>
      <c r="P94" s="42" t="n">
        <f aca="false">IF(IFERROR(INDEX(md_yeprice_adj,MATCH(P$5,md_years,0)),0)=0,P93*P19,INDEX(md_yeprice_adj,MATCH(P$5,md_years,0))*P19)</f>
        <v>2809770.947248</v>
      </c>
      <c r="Q94" s="42" t="n">
        <f aca="false">IF(IFERROR(INDEX(md_yeprice_adj,MATCH(Q$5,md_years,0)),0)=0,Q93*Q19,INDEX(md_yeprice_adj,MATCH(Q$5,md_years,0))*Q19)</f>
        <v>3148183.5</v>
      </c>
      <c r="R94" s="42" t="n">
        <f aca="false">IF(IFERROR(INDEX(md_yeprice_adj,MATCH(R$5,md_years,0)),0)=0,R93*R19,INDEX(md_yeprice_adj,MATCH(R$5,md_years,0))*R19)</f>
        <v>3610223.262675</v>
      </c>
      <c r="S94" s="42" t="n">
        <f aca="false">IF(IFERROR(INDEX(md_yeprice_adj,MATCH(S$5,md_years,0)),0)=0,S93*S19,INDEX(md_yeprice_adj,MATCH(S$5,md_years,0))*S19)</f>
        <v>0</v>
      </c>
    </row>
    <row r="95" customFormat="false" ht="15" hidden="false" customHeight="true" outlineLevel="0" collapsed="false">
      <c r="A95" s="26" t="s">
        <v>599</v>
      </c>
      <c r="B95" s="48" t="n">
        <f aca="false">IF(B94=0,"",B18/B94)</f>
        <v>0.144267968615973</v>
      </c>
      <c r="C95" s="48" t="n">
        <f aca="false">IF(C94=0,"",C18/C94)</f>
        <v>0.185328210742518</v>
      </c>
      <c r="D95" s="48" t="n">
        <f aca="false">IF(D94=0,"",D18/D94)</f>
        <v>0.255892352085068</v>
      </c>
      <c r="E95" s="48" t="n">
        <f aca="false">IF(E94=0,"",E18/E94)</f>
        <v>0.292096773870085</v>
      </c>
      <c r="F95" s="48" t="n">
        <f aca="false">IF(F94=0,"",F18/F94)</f>
        <v>0.249142609717079</v>
      </c>
      <c r="G95" s="48" t="n">
        <f aca="false">IF(G94=0,"",G18/G94)</f>
        <v>0.230136572635404</v>
      </c>
      <c r="H95" s="48" t="n">
        <f aca="false">IF(H94=0,"",H18/H94)</f>
        <v>0.174879707009723</v>
      </c>
      <c r="I95" s="48" t="n">
        <f aca="false">IF(I94=0,"",I18/I94)</f>
        <v>0.144593248793823</v>
      </c>
      <c r="J95" s="48" t="n">
        <f aca="false">IF(J94=0,"",J18/J94)</f>
        <v>0.108058925227418</v>
      </c>
      <c r="K95" s="48" t="n">
        <f aca="false">IF(K94=0,"",K18/K94)</f>
        <v>0.1044898657917</v>
      </c>
      <c r="L95" s="48" t="n">
        <f aca="false">IF(L94=0,"",L18/L94)</f>
        <v>0.0836953837712347</v>
      </c>
      <c r="M95" s="48" t="n">
        <f aca="false">IF(M94=0,"",M18/M94)</f>
        <v>0.0692300687981932</v>
      </c>
      <c r="N95" s="48" t="n">
        <f aca="false">IF(N94=0,"",N18/N94)</f>
        <v>0.0554917517297113</v>
      </c>
      <c r="O95" s="48" t="n">
        <f aca="false">IF(O94=0,"",O18/O94)</f>
        <v>0.0921015668575477</v>
      </c>
      <c r="P95" s="48" t="n">
        <f aca="false">IF(P94=0,"",P18/P94)</f>
        <v>0.0733949506460599</v>
      </c>
      <c r="Q95" s="48" t="n">
        <f aca="false">IF(Q94=0,"",Q18/Q94)</f>
        <v>0.0852799717678465</v>
      </c>
      <c r="R95" s="48" t="n">
        <f aca="false">IF(R94=0,"",R18/R94)</f>
        <v>0.0951406533637753</v>
      </c>
      <c r="S95" s="48" t="str">
        <f aca="false">IF(S94=0,"",S18/S94)</f>
        <v/>
      </c>
    </row>
    <row r="96" customFormat="false" ht="15" hidden="false" customHeight="true" outlineLevel="0" collapsed="false">
      <c r="A96" s="26" t="s">
        <v>600</v>
      </c>
      <c r="B96" s="44" t="n">
        <f aca="false">IF(B94=0,0,1-B18/B94)</f>
        <v>0.855732031384027</v>
      </c>
      <c r="C96" s="44" t="n">
        <f aca="false">IF(C94=0,0,1-C18/C94)</f>
        <v>0.814671789257482</v>
      </c>
      <c r="D96" s="44" t="n">
        <f aca="false">IF(D94=0,0,1-D18/D94)</f>
        <v>0.744107647914932</v>
      </c>
      <c r="E96" s="44" t="n">
        <f aca="false">IF(E94=0,0,1-E18/E94)</f>
        <v>0.707903226129915</v>
      </c>
      <c r="F96" s="44" t="n">
        <f aca="false">IF(F94=0,0,1-F18/F94)</f>
        <v>0.750857390282921</v>
      </c>
      <c r="G96" s="44" t="n">
        <f aca="false">IF(G94=0,0,1-G18/G94)</f>
        <v>0.769863427364596</v>
      </c>
      <c r="H96" s="44" t="n">
        <f aca="false">IF(H94=0,0,1-H18/H94)</f>
        <v>0.825120292990277</v>
      </c>
      <c r="I96" s="44" t="n">
        <f aca="false">IF(I94=0,0,1-I18/I94)</f>
        <v>0.855406751206178</v>
      </c>
      <c r="J96" s="44" t="n">
        <f aca="false">IF(J94=0,0,1-J18/J94)</f>
        <v>0.891941074772582</v>
      </c>
      <c r="K96" s="44" t="n">
        <f aca="false">IF(K94=0,0,1-K18/K94)</f>
        <v>0.895510134208301</v>
      </c>
      <c r="L96" s="44" t="n">
        <f aca="false">IF(L94=0,0,1-L18/L94)</f>
        <v>0.916304616228765</v>
      </c>
      <c r="M96" s="44" t="n">
        <f aca="false">IF(M94=0,0,1-M18/M94)</f>
        <v>0.930769931201807</v>
      </c>
      <c r="N96" s="44" t="n">
        <f aca="false">IF(N94=0,0,1-N18/N94)</f>
        <v>0.944508248270289</v>
      </c>
      <c r="O96" s="44" t="n">
        <f aca="false">IF(O94=0,0,1-O18/O94)</f>
        <v>0.907898433142452</v>
      </c>
      <c r="P96" s="44" t="n">
        <f aca="false">IF(P94=0,0,1-P18/P94)</f>
        <v>0.92660504935394</v>
      </c>
      <c r="Q96" s="44" t="n">
        <f aca="false">IF(Q94=0,0,1-Q18/Q94)</f>
        <v>0.914720028232154</v>
      </c>
      <c r="R96" s="44" t="n">
        <f aca="false">IF(R94=0,0,1-R18/R94)</f>
        <v>0.904859346636225</v>
      </c>
      <c r="S96" s="44" t="n">
        <f aca="false">IF(S94=0,0,1-S18/S94)</f>
        <v>0</v>
      </c>
    </row>
    <row r="97" customFormat="false" ht="15" hidden="false" customHeight="true" outlineLevel="0" collapsed="false">
      <c r="A97" s="26" t="s">
        <v>601</v>
      </c>
      <c r="B97" s="42" t="n">
        <f aca="false">-B27</f>
        <v>9353</v>
      </c>
      <c r="C97" s="42" t="n">
        <f aca="false">-C27</f>
        <v>11269</v>
      </c>
      <c r="D97" s="42" t="n">
        <f aca="false">-D27</f>
        <v>11555</v>
      </c>
      <c r="E97" s="42" t="n">
        <f aca="false">-E27</f>
        <v>5029</v>
      </c>
      <c r="F97" s="42" t="n">
        <f aca="false">-F27</f>
        <v>5360</v>
      </c>
      <c r="G97" s="42" t="n">
        <f aca="false">-G27</f>
        <v>7316</v>
      </c>
      <c r="H97" s="42" t="n">
        <f aca="false">-H27</f>
        <v>14443</v>
      </c>
      <c r="I97" s="42" t="n">
        <f aca="false">-I27</f>
        <v>15969</v>
      </c>
      <c r="J97" s="42" t="n">
        <f aca="false">-J27</f>
        <v>11788</v>
      </c>
      <c r="K97" s="42" t="n">
        <f aca="false">-K27</f>
        <v>10721</v>
      </c>
      <c r="L97" s="42" t="n">
        <f aca="false">-L27</f>
        <v>19543</v>
      </c>
      <c r="M97" s="42" t="n">
        <f aca="false">-M27</f>
        <v>22968</v>
      </c>
      <c r="N97" s="42" t="n">
        <f aca="false">-N27</f>
        <v>27385</v>
      </c>
      <c r="O97" s="42" t="n">
        <f aca="false">-O27</f>
        <v>32696</v>
      </c>
      <c r="P97" s="42" t="n">
        <f aca="false">-P27</f>
        <v>22245</v>
      </c>
      <c r="Q97" s="42" t="n">
        <f aca="false">-Q27</f>
        <v>17254</v>
      </c>
      <c r="R97" s="42" t="n">
        <f aca="false">-R27</f>
        <v>18420</v>
      </c>
      <c r="S97" s="42" t="n">
        <f aca="false">-S27</f>
        <v>22271</v>
      </c>
    </row>
    <row r="98" customFormat="false" ht="15" hidden="false" customHeight="true" outlineLevel="0" collapsed="false">
      <c r="A98" s="26" t="s">
        <v>602</v>
      </c>
      <c r="B98" s="42" t="n">
        <f aca="false">B92*B97*B96*B6</f>
        <v>12502.3241509948</v>
      </c>
      <c r="C98" s="42" t="n">
        <f aca="false">C92*C97*C96*C6</f>
        <v>14109.2604545581</v>
      </c>
      <c r="D98" s="42" t="n">
        <f aca="false">D92*D97*D96*D6</f>
        <v>12809.8838847924</v>
      </c>
      <c r="E98" s="42" t="n">
        <f aca="false">E92*E97*E96*E6</f>
        <v>5196.35996230014</v>
      </c>
      <c r="F98" s="42" t="n">
        <f aca="false">F92*F97*F96*F6</f>
        <v>5789.62879523808</v>
      </c>
      <c r="G98" s="42" t="n">
        <f aca="false">G92*G97*G96*G6</f>
        <v>7973.10191543935</v>
      </c>
      <c r="H98" s="42" t="n">
        <f aca="false">H92*H97*H96*H6</f>
        <v>16849.9810913555</v>
      </c>
      <c r="I98" s="42" t="n">
        <f aca="false">I92*I97*I96*I6</f>
        <v>19073.5143815566</v>
      </c>
      <c r="J98" s="42" t="n">
        <f aca="false">J92*J97*J96*J6</f>
        <v>14374.7989238998</v>
      </c>
      <c r="K98" s="42" t="n">
        <f aca="false">K92*K97*K96*K6</f>
        <v>12813.0115204041</v>
      </c>
      <c r="L98" s="42" t="n">
        <f aca="false">L92*L97*L96*L6</f>
        <v>23473.4893880016</v>
      </c>
      <c r="M98" s="42" t="n">
        <f aca="false">M92*M97*M96*M6</f>
        <v>27681.3348384433</v>
      </c>
      <c r="N98" s="42" t="n">
        <f aca="false">N92*N97*N96*N6</f>
        <v>31989.0633502086</v>
      </c>
      <c r="O98" s="42" t="n">
        <f aca="false">O92*O97*O96*O6</f>
        <v>33992.270808838</v>
      </c>
      <c r="P98" s="42" t="n">
        <f aca="false">P92*P97*P96*P6</f>
        <v>22670.2339980406</v>
      </c>
      <c r="Q98" s="42" t="n">
        <f aca="false">Q92*Q97*Q96*Q6</f>
        <v>16860.984431225</v>
      </c>
      <c r="R98" s="42" t="n">
        <f aca="false">R92*R97*R96*R6</f>
        <v>17349.859055533</v>
      </c>
      <c r="S98" s="42" t="n">
        <f aca="false">S92*S97*S96*S6</f>
        <v>0</v>
      </c>
    </row>
    <row r="99" customFormat="false" ht="15" hidden="false" customHeight="true" outlineLevel="0" collapsed="false">
      <c r="A99" s="26" t="s">
        <v>603</v>
      </c>
      <c r="B99" s="42" t="n">
        <f aca="false">B98</f>
        <v>12502.3241509948</v>
      </c>
      <c r="C99" s="42" t="n">
        <f aca="false">B99+C98</f>
        <v>26611.5846055529</v>
      </c>
      <c r="D99" s="42" t="n">
        <f aca="false">C99+D98</f>
        <v>39421.4684903453</v>
      </c>
      <c r="E99" s="42" t="n">
        <f aca="false">D99+E98</f>
        <v>44617.8284526454</v>
      </c>
      <c r="F99" s="42" t="n">
        <f aca="false">E99+F98</f>
        <v>50407.4572478835</v>
      </c>
      <c r="G99" s="42" t="n">
        <f aca="false">F99+G98</f>
        <v>58380.5591633229</v>
      </c>
      <c r="H99" s="42" t="n">
        <f aca="false">G99+H98</f>
        <v>75230.5402546783</v>
      </c>
      <c r="I99" s="42" t="n">
        <f aca="false">H99+I98</f>
        <v>94304.054636235</v>
      </c>
      <c r="J99" s="42" t="n">
        <f aca="false">I99+J98</f>
        <v>108678.853560135</v>
      </c>
      <c r="K99" s="42" t="n">
        <f aca="false">J99+K98</f>
        <v>121491.865080539</v>
      </c>
      <c r="L99" s="42" t="n">
        <f aca="false">K99+L98</f>
        <v>144965.354468541</v>
      </c>
      <c r="M99" s="42" t="n">
        <f aca="false">L99+M98</f>
        <v>172646.689306984</v>
      </c>
      <c r="N99" s="42" t="n">
        <f aca="false">M99+N98</f>
        <v>204635.752657192</v>
      </c>
      <c r="O99" s="42" t="n">
        <f aca="false">N99+O98</f>
        <v>238628.023466031</v>
      </c>
      <c r="P99" s="42" t="n">
        <f aca="false">O99+P98</f>
        <v>261298.257464071</v>
      </c>
      <c r="Q99" s="42" t="n">
        <f aca="false">P99+Q98</f>
        <v>278159.241895296</v>
      </c>
      <c r="R99" s="42" t="n">
        <f aca="false">Q99+R98</f>
        <v>295509.100950829</v>
      </c>
      <c r="S99" s="42" t="n">
        <f aca="false">R99+S98</f>
        <v>295509.100950829</v>
      </c>
    </row>
    <row r="100" customFormat="false" ht="15" hidden="false" customHeight="true" outlineLevel="0" collapsed="false">
      <c r="A100" s="26" t="s">
        <v>604</v>
      </c>
      <c r="B100" s="42" t="n">
        <f aca="false">B45</f>
        <v>63624.2573093524</v>
      </c>
      <c r="C100" s="42" t="n">
        <f aca="false">C45</f>
        <v>73388.8723117101</v>
      </c>
      <c r="D100" s="42" t="n">
        <f aca="false">D45</f>
        <v>87869.9196320016</v>
      </c>
      <c r="E100" s="42" t="n">
        <f aca="false">E45</f>
        <v>100366.159499546</v>
      </c>
      <c r="F100" s="42" t="n">
        <f aca="false">F45</f>
        <v>117528.588530693</v>
      </c>
      <c r="G100" s="42" t="n">
        <f aca="false">G45</f>
        <v>130803.237179137</v>
      </c>
      <c r="H100" s="42" t="n">
        <f aca="false">H45</f>
        <v>118353.569072117</v>
      </c>
      <c r="I100" s="42" t="n">
        <f aca="false">I45</f>
        <v>107058.751757749</v>
      </c>
      <c r="J100" s="42" t="n">
        <f aca="false">J45</f>
        <v>103776.645842121</v>
      </c>
      <c r="K100" s="42" t="n">
        <f aca="false">K45</f>
        <v>116801.025955937</v>
      </c>
      <c r="L100" s="42" t="n">
        <f aca="false">L45</f>
        <v>142065.120902791</v>
      </c>
      <c r="M100" s="42" t="n">
        <f aca="false">M45</f>
        <v>162275.855365982</v>
      </c>
      <c r="N100" s="42" t="n">
        <f aca="false">N45</f>
        <v>169163.741770099</v>
      </c>
      <c r="O100" s="42" t="n">
        <f aca="false">O45</f>
        <v>186666.308670251</v>
      </c>
      <c r="P100" s="42" t="n">
        <f aca="false">P45</f>
        <v>218596.45281809</v>
      </c>
      <c r="Q100" s="42" t="n">
        <f aca="false">Q45</f>
        <v>265087.263156489</v>
      </c>
      <c r="R100" s="42" t="n">
        <f aca="false">R45</f>
        <v>308296.455822135</v>
      </c>
      <c r="S100" s="42" t="n">
        <f aca="false">S45</f>
        <v>271701.687612523</v>
      </c>
    </row>
    <row r="101" customFormat="false" ht="15" hidden="false" customHeight="true" outlineLevel="0" collapsed="false">
      <c r="A101" s="26" t="s">
        <v>605</v>
      </c>
      <c r="B101" s="42" t="n">
        <f aca="false">B100+B99</f>
        <v>76126.5814603472</v>
      </c>
      <c r="C101" s="42" t="n">
        <f aca="false">C100+C99</f>
        <v>100000.456917263</v>
      </c>
      <c r="D101" s="42" t="n">
        <f aca="false">D100+D99</f>
        <v>127291.388122347</v>
      </c>
      <c r="E101" s="42" t="n">
        <f aca="false">E100+E99</f>
        <v>144983.987952191</v>
      </c>
      <c r="F101" s="42" t="n">
        <f aca="false">F100+F99</f>
        <v>167936.045778577</v>
      </c>
      <c r="G101" s="42" t="n">
        <f aca="false">G100+G99</f>
        <v>189183.79634246</v>
      </c>
      <c r="H101" s="42" t="n">
        <f aca="false">H100+H99</f>
        <v>193584.109326796</v>
      </c>
      <c r="I101" s="42" t="n">
        <f aca="false">I100+I99</f>
        <v>201362.806393984</v>
      </c>
      <c r="J101" s="42" t="n">
        <f aca="false">J100+J99</f>
        <v>212455.499402255</v>
      </c>
      <c r="K101" s="42" t="n">
        <f aca="false">K100+K99</f>
        <v>238292.891036476</v>
      </c>
      <c r="L101" s="42" t="n">
        <f aca="false">L100+L99</f>
        <v>287030.475371331</v>
      </c>
      <c r="M101" s="42" t="n">
        <f aca="false">M100+M99</f>
        <v>334922.544672966</v>
      </c>
      <c r="N101" s="42" t="n">
        <f aca="false">N100+N99</f>
        <v>373799.494427292</v>
      </c>
      <c r="O101" s="42" t="n">
        <f aca="false">O100+O99</f>
        <v>425294.332136282</v>
      </c>
      <c r="P101" s="42" t="n">
        <f aca="false">P100+P99</f>
        <v>479894.710282162</v>
      </c>
      <c r="Q101" s="42" t="n">
        <f aca="false">Q100+Q99</f>
        <v>543246.505051786</v>
      </c>
      <c r="R101" s="42" t="n">
        <f aca="false">R100+R99</f>
        <v>603805.556772964</v>
      </c>
      <c r="S101" s="42" t="n">
        <f aca="false">S100+S99</f>
        <v>567210.788563352</v>
      </c>
    </row>
    <row r="102" customFormat="false" ht="15" hidden="false" customHeight="true" outlineLevel="0" collapsed="false">
      <c r="A102" s="26" t="s">
        <v>606</v>
      </c>
      <c r="B102" s="42" t="n">
        <f aca="false">B56</f>
        <v>23424.696781635</v>
      </c>
      <c r="C102" s="42" t="n">
        <f aca="false">C56</f>
        <v>12769.4345338509</v>
      </c>
      <c r="D102" s="42" t="n">
        <f aca="false">D56</f>
        <v>33936.0661488962</v>
      </c>
      <c r="E102" s="42" t="n">
        <f aca="false">E56</f>
        <v>24055.0902903106</v>
      </c>
      <c r="F102" s="42" t="n">
        <f aca="false">F56</f>
        <v>30893.550009608</v>
      </c>
      <c r="G102" s="42" t="n">
        <f aca="false">G56</f>
        <v>33160.6826241853</v>
      </c>
      <c r="H102" s="42" t="n">
        <f aca="false">H56</f>
        <v>17203.1313555628</v>
      </c>
      <c r="I102" s="42" t="n">
        <f aca="false">I56</f>
        <v>26198.3830759544</v>
      </c>
      <c r="J102" s="42" t="n">
        <f aca="false">J56</f>
        <v>37490.9529212091</v>
      </c>
      <c r="K102" s="42" t="n">
        <f aca="false">K56</f>
        <v>19783.9741756713</v>
      </c>
      <c r="L102" s="42" t="n">
        <f aca="false">L56</f>
        <v>53946.3931483862</v>
      </c>
      <c r="M102" s="42" t="n">
        <f aca="false">M56</f>
        <v>64948.538854009</v>
      </c>
      <c r="N102" s="42" t="n">
        <f aca="false">N56</f>
        <v>77301.8406057431</v>
      </c>
      <c r="O102" s="42" t="n">
        <f aca="false">O56</f>
        <v>78554.9323221896</v>
      </c>
      <c r="P102" s="42" t="n">
        <f aca="false">P56</f>
        <v>69760.839392697</v>
      </c>
      <c r="Q102" s="42" t="n">
        <f aca="false">Q56</f>
        <v>90487.5885083399</v>
      </c>
      <c r="R102" s="42" t="n">
        <f aca="false">R56</f>
        <v>113154.709630448</v>
      </c>
      <c r="S102" s="42" t="n">
        <f aca="false">S56</f>
        <v>132377.862299383</v>
      </c>
    </row>
    <row r="103" customFormat="false" ht="15" hidden="false" customHeight="true" outlineLevel="0" collapsed="false">
      <c r="A103" s="26" t="s">
        <v>607</v>
      </c>
      <c r="C103" s="44" t="n">
        <f aca="false">IF((C100+B100)=0,"",C102/((C100+B100)/2))</f>
        <v>0.186397238996984</v>
      </c>
      <c r="D103" s="44" t="n">
        <f aca="false">IF((D100+C100)=0,"",D102/((D100+C100)/2))</f>
        <v>0.42088949991318</v>
      </c>
      <c r="E103" s="44" t="n">
        <f aca="false">IF((E100+D100)=0,"",E102/((E100+D100)/2))</f>
        <v>0.255584268449407</v>
      </c>
      <c r="F103" s="44" t="n">
        <f aca="false">IF((F100+E100)=0,"",F102/((F100+E100)/2))</f>
        <v>0.283563971035416</v>
      </c>
      <c r="G103" s="44" t="n">
        <f aca="false">IF((G100+F100)=0,"",G102/((G100+F100)/2))</f>
        <v>0.267067521687154</v>
      </c>
      <c r="H103" s="44" t="n">
        <f aca="false">IF((H100+G100)=0,"",H102/((H100+G100)/2))</f>
        <v>0.138090800041921</v>
      </c>
      <c r="I103" s="44" t="n">
        <f aca="false">IF((I100+H100)=0,"",I102/((I100+H100)/2))</f>
        <v>0.23244854566515</v>
      </c>
      <c r="J103" s="44" t="n">
        <f aca="false">IF((J100+I100)=0,"",J102/((J100+I100)/2))</f>
        <v>0.355641921119533</v>
      </c>
      <c r="K103" s="44" t="n">
        <f aca="false">IF((K100+J100)=0,"",K102/((K100+J100)/2))</f>
        <v>0.179383289472598</v>
      </c>
      <c r="L103" s="44" t="n">
        <f aca="false">IF((L100+K100)=0,"",L102/((L100+K100)/2))</f>
        <v>0.416789864592272</v>
      </c>
      <c r="M103" s="44" t="n">
        <f aca="false">IF((M100+L100)=0,"",M102/((M100+L100)/2))</f>
        <v>0.426814290012995</v>
      </c>
      <c r="N103" s="44" t="n">
        <f aca="false">IF((N100+M100)=0,"",N102/((N100+M100)/2))</f>
        <v>0.466461106480315</v>
      </c>
      <c r="O103" s="44" t="n">
        <f aca="false">IF((O100+N100)=0,"",O102/((O100+N100)/2))</f>
        <v>0.441530625223899</v>
      </c>
      <c r="P103" s="44" t="n">
        <f aca="false">IF((P100+O100)=0,"",P102/((P100+O100)/2))</f>
        <v>0.344274609078307</v>
      </c>
      <c r="Q103" s="44" t="n">
        <f aca="false">IF((Q100+P100)=0,"",Q102/((Q100+P100)/2))</f>
        <v>0.374160160947389</v>
      </c>
      <c r="R103" s="44" t="n">
        <f aca="false">IF((R100+Q100)=0,"",R102/((R100+Q100)/2))</f>
        <v>0.394691045054478</v>
      </c>
      <c r="S103" s="44" t="n">
        <f aca="false">IF((S100+R100)=0,"",S102/((S100+R100)/2))</f>
        <v>0.456476848410107</v>
      </c>
    </row>
    <row r="104" customFormat="false" ht="15" hidden="false" customHeight="true" outlineLevel="0" collapsed="false">
      <c r="A104" s="26" t="s">
        <v>608</v>
      </c>
      <c r="C104" s="44" t="n">
        <f aca="false">IF((C101+B101)=0,"",C102/((C101+B101)/2))</f>
        <v>0.145002546474139</v>
      </c>
      <c r="D104" s="44" t="n">
        <f aca="false">IF((D101+C101)=0,"",D102/((D101+C101)/2))</f>
        <v>0.298612263391871</v>
      </c>
      <c r="E104" s="44" t="n">
        <f aca="false">IF((E101+D101)=0,"",E102/((E101+D101)/2))</f>
        <v>0.176696773958181</v>
      </c>
      <c r="F104" s="44" t="n">
        <f aca="false">IF((F101+E101)=0,"",F102/((F101+E101)/2))</f>
        <v>0.197453321484609</v>
      </c>
      <c r="G104" s="44" t="n">
        <f aca="false">IF((G101+F101)=0,"",G102/((G101+F101)/2))</f>
        <v>0.185711790345978</v>
      </c>
      <c r="H104" s="44" t="n">
        <f aca="false">IF((H101+G101)=0,"",H102/((H101+G101)/2))</f>
        <v>0.089888055402575</v>
      </c>
      <c r="I104" s="44" t="n">
        <f aca="false">IF((I101+H101)=0,"",I102/((I101+H101)/2))</f>
        <v>0.132667870202973</v>
      </c>
      <c r="J104" s="44" t="n">
        <f aca="false">IF((J101+I101)=0,"",J102/((J101+I101)/2))</f>
        <v>0.181195236634454</v>
      </c>
      <c r="K104" s="44" t="n">
        <f aca="false">IF((K101+J101)=0,"",K102/((K101+J101)/2))</f>
        <v>0.0877827834567075</v>
      </c>
      <c r="L104" s="44" t="n">
        <f aca="false">IF((L101+K101)=0,"",L102/((L101+K101)/2))</f>
        <v>0.205383566001546</v>
      </c>
      <c r="M104" s="44" t="n">
        <f aca="false">IF((M101+L101)=0,"",M102/((M101+L101)/2))</f>
        <v>0.208853520316963</v>
      </c>
      <c r="N104" s="44" t="n">
        <f aca="false">IF((N101+M101)=0,"",N102/((N101+M101)/2))</f>
        <v>0.218144311425337</v>
      </c>
      <c r="O104" s="44" t="n">
        <f aca="false">IF((O101+N101)=0,"",O102/((O101+N101)/2))</f>
        <v>0.196610034293489</v>
      </c>
      <c r="P104" s="44" t="n">
        <f aca="false">IF((P101+O101)=0,"",P102/((P101+O101)/2))</f>
        <v>0.15413540403961</v>
      </c>
      <c r="Q104" s="44" t="n">
        <f aca="false">IF((Q101+P101)=0,"",Q102/((Q101+P101)/2))</f>
        <v>0.176881914543547</v>
      </c>
      <c r="R104" s="44" t="n">
        <f aca="false">IF((R101+Q101)=0,"",R102/((R101+Q101)/2))</f>
        <v>0.19729655417809</v>
      </c>
      <c r="S104" s="44" t="n">
        <f aca="false">IF((S101+R101)=0,"",S102/((S101+R101)/2))</f>
        <v>0.226090545749579</v>
      </c>
    </row>
    <row r="106" customFormat="false" ht="15" hidden="false" customHeight="true" outlineLevel="0" collapsed="false">
      <c r="A106" s="4" t="s">
        <v>609</v>
      </c>
    </row>
    <row r="107" customFormat="false" ht="15" hidden="false" customHeight="true" outlineLevel="0" collapsed="false">
      <c r="A107" s="26" t="s">
        <v>610</v>
      </c>
      <c r="B107" s="44" t="n">
        <f aca="false">INDEX(finrate_coe,COLUMNS(finrate_coe))</f>
        <v>0.0627282236458418</v>
      </c>
    </row>
    <row r="108" customFormat="false" ht="15" hidden="false" customHeight="true" outlineLevel="0" collapsed="false">
      <c r="A108" s="26" t="s">
        <v>611</v>
      </c>
      <c r="B108" s="48" t="n">
        <f aca="false">1/(1+$B$107)^(B5-$B$5)</f>
        <v>1</v>
      </c>
      <c r="C108" s="48" t="n">
        <f aca="false">1/(1+$B$107)^(C5-$B$5)</f>
        <v>0.940974350497022</v>
      </c>
      <c r="D108" s="48" t="n">
        <f aca="false">1/(1+$B$107)^(D5-$B$5)</f>
        <v>0.885432728293293</v>
      </c>
      <c r="E108" s="48" t="n">
        <f aca="false">1/(1+$B$107)^(E5-$B$5)</f>
        <v>0.833169486414587</v>
      </c>
      <c r="F108" s="48" t="n">
        <f aca="false">1/(1+$B$107)^(F5-$B$5)</f>
        <v>0.783991116332904</v>
      </c>
      <c r="G108" s="48" t="n">
        <f aca="false">1/(1+$B$107)^(G5-$B$5)</f>
        <v>0.73771553148679</v>
      </c>
      <c r="H108" s="48" t="n">
        <f aca="false">1/(1+$B$107)^(H5-$B$5)</f>
        <v>0.694171393092347</v>
      </c>
      <c r="I108" s="48" t="n">
        <f aca="false">1/(1+$B$107)^(I5-$B$5)</f>
        <v>0.653197475748684</v>
      </c>
      <c r="J108" s="48" t="n">
        <f aca="false">1/(1+$B$107)^(J5-$B$5)</f>
        <v>0.614642070488913</v>
      </c>
      <c r="K108" s="48" t="n">
        <f aca="false">1/(1+$B$107)^(K5-$B$5)</f>
        <v>0.57836242306645</v>
      </c>
      <c r="L108" s="48" t="n">
        <f aca="false">1/(1+$B$107)^(L5-$B$5)</f>
        <v>0.544224205396836</v>
      </c>
      <c r="M108" s="48" t="n">
        <f aca="false">1/(1+$B$107)^(M5-$B$5)</f>
        <v>0.512101018198046</v>
      </c>
      <c r="N108" s="48" t="n">
        <f aca="false">1/(1+$B$107)^(N5-$B$5)</f>
        <v>0.48187392298777</v>
      </c>
      <c r="O108" s="48" t="n">
        <f aca="false">1/(1+$B$107)^(O5-$B$5)</f>
        <v>0.453431001704869</v>
      </c>
      <c r="P108" s="48" t="n">
        <f aca="false">1/(1+$B$107)^(P5-$B$5)</f>
        <v>0.426666942324453</v>
      </c>
      <c r="Q108" s="48" t="n">
        <f aca="false">1/(1+$B$107)^(Q5-$B$5)</f>
        <v>0.401482648932303</v>
      </c>
      <c r="R108" s="48" t="n">
        <f aca="false">1/(1+$B$107)^(R5-$B$5)</f>
        <v>0.377784874814898</v>
      </c>
      <c r="S108" s="48" t="n">
        <f aca="false">1/(1+$B$107)^(S5-$B$5)</f>
        <v>0.355485877206547</v>
      </c>
    </row>
    <row r="109" customFormat="false" ht="15" hidden="false" customHeight="true" outlineLevel="0" collapsed="false">
      <c r="A109" s="26" t="s">
        <v>612</v>
      </c>
      <c r="C109" s="42" t="n">
        <f aca="false">C102-$B$107*B100</f>
        <v>8778.39789204929</v>
      </c>
      <c r="D109" s="42" t="n">
        <f aca="false">D102-$B$107*C100</f>
        <v>29332.5125534111</v>
      </c>
      <c r="E109" s="42" t="n">
        <f aca="false">E102-$B$107*D100</f>
        <v>18543.1663198923</v>
      </c>
      <c r="F109" s="42" t="n">
        <f aca="false">F102-$B$107*E100</f>
        <v>24597.7591100463</v>
      </c>
      <c r="G109" s="42" t="n">
        <f aca="false">G102-$B$107*F100</f>
        <v>25788.3230380519</v>
      </c>
      <c r="H109" s="42" t="n">
        <f aca="false">H102-$B$107*G100</f>
        <v>8998.07664018983</v>
      </c>
      <c r="I109" s="42" t="n">
        <f aca="false">I102-$B$107*H100</f>
        <v>18774.273925915</v>
      </c>
      <c r="J109" s="42" t="n">
        <f aca="false">J102-$B$107*I100</f>
        <v>30775.3475977044</v>
      </c>
      <c r="K109" s="42" t="n">
        <f aca="false">K102-$B$107*J100</f>
        <v>13274.2495260715</v>
      </c>
      <c r="L109" s="42" t="n">
        <f aca="false">L102-$B$107*K100</f>
        <v>46619.6722701584</v>
      </c>
      <c r="M109" s="42" t="n">
        <f aca="false">M102-$B$107*L100</f>
        <v>56037.0461777452</v>
      </c>
      <c r="N109" s="42" t="n">
        <f aca="false">N102-$B$107*M100</f>
        <v>67122.5644580255</v>
      </c>
      <c r="O109" s="42" t="n">
        <f aca="false">O102-$B$107*N100</f>
        <v>67943.5912956674</v>
      </c>
      <c r="P109" s="42" t="n">
        <f aca="false">P102-$B$107*O100</f>
        <v>58051.5934352858</v>
      </c>
      <c r="Q109" s="42" t="n">
        <f aca="false">Q102-$B$107*P100</f>
        <v>76775.421327779</v>
      </c>
      <c r="R109" s="42" t="n">
        <f aca="false">R102-$B$107*Q100</f>
        <v>96526.2565015037</v>
      </c>
      <c r="S109" s="42" t="n">
        <f aca="false">S102-$B$107*R100</f>
        <v>113038.973269351</v>
      </c>
    </row>
    <row r="110" customFormat="false" ht="15" hidden="false" customHeight="true" outlineLevel="0" collapsed="false">
      <c r="A110" s="26" t="s">
        <v>613</v>
      </c>
      <c r="C110" s="42" t="n">
        <f aca="false">(C102+(C99-B99))-$B$107*B101</f>
        <v>22103.409761171</v>
      </c>
      <c r="D110" s="42" t="n">
        <f aca="false">(D102+(D99-C99))-$B$107*C101</f>
        <v>40473.0990074962</v>
      </c>
      <c r="E110" s="42" t="n">
        <f aca="false">(E102+(E99-D99))-$B$107*D101</f>
        <v>21266.6875902826</v>
      </c>
      <c r="F110" s="42" t="n">
        <f aca="false">(F102+(F99-E99))-$B$107*E101</f>
        <v>27588.590783515</v>
      </c>
      <c r="G110" s="42" t="n">
        <f aca="false">(G102+(G99-F99))-$B$107*F101</f>
        <v>30599.4547018278</v>
      </c>
      <c r="H110" s="42" t="n">
        <f aca="false">(H102+(H99-G99))-$B$107*G101</f>
        <v>22185.9489597791</v>
      </c>
      <c r="I110" s="42" t="n">
        <f aca="false">(I102+(I99-H99))-$B$107*H101</f>
        <v>33128.7101533787</v>
      </c>
      <c r="J110" s="42" t="n">
        <f aca="false">(J102+(J99-I99))-$B$107*I101</f>
        <v>39234.6206916728</v>
      </c>
      <c r="K110" s="42" t="n">
        <f aca="false">(K102+(K99-J99))-$B$107*J101</f>
        <v>19270.0296147818</v>
      </c>
      <c r="L110" s="42" t="n">
        <f aca="false">(L102+(L99-K99))-$B$107*K101</f>
        <v>62472.1927742375</v>
      </c>
      <c r="M110" s="42" t="n">
        <f aca="false">(M102+(M99-L99))-$B$107*L101</f>
        <v>74624.9618401872</v>
      </c>
      <c r="N110" s="42" t="n">
        <f aca="false">(N102+(N99-M99))-$B$107*M101</f>
        <v>88281.8076696715</v>
      </c>
      <c r="O110" s="42" t="n">
        <f aca="false">(O102+(O99-N99))-$B$107*N101</f>
        <v>89099.4248458899</v>
      </c>
      <c r="P110" s="42" t="n">
        <f aca="false">(P102+(P99-O99))-$B$107*O101</f>
        <v>65753.1154091841</v>
      </c>
      <c r="Q110" s="42" t="n">
        <f aca="false">(Q102+(Q99-P99))-$B$107*P101</f>
        <v>77245.630226529</v>
      </c>
      <c r="R110" s="42" t="n">
        <f aca="false">(R102+(R99-Q99))-$B$107*Q101</f>
        <v>96427.6804222707</v>
      </c>
      <c r="S110" s="42" t="n">
        <f aca="false">(S102+(S99-R99))-$B$107*R101</f>
        <v>94502.2122955262</v>
      </c>
    </row>
    <row r="112" customFormat="false" ht="15" hidden="false" customHeight="true" outlineLevel="0" collapsed="false">
      <c r="A112" s="26" t="s">
        <v>614</v>
      </c>
      <c r="B112" s="42" t="n">
        <f aca="false">B100+SUMPRODUCT(C109:S109,C108:S108)-S108*S100</f>
        <v>349594.636377845</v>
      </c>
    </row>
    <row r="113" customFormat="false" ht="15" hidden="false" customHeight="true" outlineLevel="0" collapsed="false">
      <c r="A113" s="26" t="s">
        <v>615</v>
      </c>
      <c r="B113" s="42" t="n">
        <f aca="false">B101+SUMPRODUCT(C110:S110,C108:S108)-S108*S101</f>
        <v>349594.636377845</v>
      </c>
    </row>
    <row r="114" customFormat="false" ht="15" hidden="false" customHeight="true" outlineLevel="0" collapsed="false">
      <c r="A114" s="23" t="s">
        <v>616</v>
      </c>
      <c r="B114" s="49" t="n">
        <f aca="false">B113-B112</f>
        <v>0</v>
      </c>
      <c r="D114" s="23" t="str">
        <f aca="false">IF(ABS(B114)&lt;in_tie_tol,"invariant ✓","BREAK")</f>
        <v>invariant 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9" min="3" style="1" width="10"/>
  </cols>
  <sheetData>
    <row r="1" customFormat="false" ht="15" hidden="false" customHeight="true" outlineLevel="0" collapsed="false">
      <c r="A1" s="2" t="s">
        <v>617</v>
      </c>
    </row>
    <row r="2" customFormat="false" ht="15" hidden="false" customHeight="true" outlineLevel="0" collapsed="false">
      <c r="A2" s="3" t="s">
        <v>618</v>
      </c>
    </row>
    <row r="3" customFormat="false" ht="15" hidden="false" customHeight="true" outlineLevel="0" collapsed="false">
      <c r="A3" s="23" t="s">
        <v>619</v>
      </c>
      <c r="B3" s="26" t="str">
        <f aca="false">cfg_mode</f>
        <v>Enterprise</v>
      </c>
      <c r="C3" s="23" t="s">
        <v>620</v>
      </c>
      <c r="D3" s="26" t="str">
        <f aca="false">cfg_funding</f>
        <v>Target FLEV</v>
      </c>
    </row>
    <row r="4" customFormat="false" ht="15" hidden="false" customHeight="true" outlineLevel="0" collapsed="false">
      <c r="A4" s="23" t="s">
        <v>621</v>
      </c>
      <c r="C4" s="50" t="n">
        <f aca="false">D4-1</f>
        <v>-3</v>
      </c>
      <c r="D4" s="50" t="n">
        <f aca="false">E4-1</f>
        <v>-2</v>
      </c>
      <c r="E4" s="50" t="n">
        <f aca="false">F4-1</f>
        <v>-1</v>
      </c>
      <c r="F4" s="50" t="n">
        <v>0</v>
      </c>
      <c r="G4" s="50" t="n">
        <f aca="false">F4+1</f>
        <v>1</v>
      </c>
      <c r="H4" s="50" t="n">
        <f aca="false">G4+1</f>
        <v>2</v>
      </c>
      <c r="I4" s="50" t="n">
        <f aca="false">H4+1</f>
        <v>3</v>
      </c>
      <c r="J4" s="50" t="n">
        <f aca="false">I4+1</f>
        <v>4</v>
      </c>
      <c r="K4" s="50" t="n">
        <f aca="false">J4+1</f>
        <v>5</v>
      </c>
      <c r="L4" s="50" t="n">
        <f aca="false">K4+1</f>
        <v>6</v>
      </c>
      <c r="M4" s="50" t="n">
        <f aca="false">L4+1</f>
        <v>7</v>
      </c>
      <c r="N4" s="50" t="n">
        <f aca="false">M4+1</f>
        <v>8</v>
      </c>
      <c r="O4" s="50" t="n">
        <f aca="false">N4+1</f>
        <v>9</v>
      </c>
      <c r="P4" s="50" t="n">
        <f aca="false">O4+1</f>
        <v>10</v>
      </c>
      <c r="Q4" s="50" t="n">
        <f aca="false">P4+1</f>
        <v>11</v>
      </c>
      <c r="R4" s="50" t="n">
        <f aca="false">Q4+1</f>
        <v>12</v>
      </c>
      <c r="S4" s="50" t="n">
        <f aca="false">R4+1</f>
        <v>13</v>
      </c>
      <c r="T4" s="26" t="n">
        <f aca="false">S4+1</f>
        <v>14</v>
      </c>
      <c r="U4" s="26" t="n">
        <f aca="false">T4+1</f>
        <v>15</v>
      </c>
      <c r="V4" s="26" t="n">
        <f aca="false">U4+1</f>
        <v>16</v>
      </c>
      <c r="W4" s="26" t="n">
        <f aca="false">V4+1</f>
        <v>17</v>
      </c>
      <c r="X4" s="26" t="n">
        <f aca="false">W4+1</f>
        <v>18</v>
      </c>
      <c r="Y4" s="26" t="n">
        <f aca="false">X4+1</f>
        <v>19</v>
      </c>
      <c r="Z4" s="26" t="n">
        <f aca="false">Y4+1</f>
        <v>20</v>
      </c>
      <c r="AA4" s="26" t="n">
        <f aca="false">Z4+1</f>
        <v>21</v>
      </c>
      <c r="AB4" s="26" t="n">
        <f aca="false">AA4+1</f>
        <v>22</v>
      </c>
      <c r="AC4" s="26" t="n">
        <f aca="false">AB4+1</f>
        <v>23</v>
      </c>
      <c r="AD4" s="26" t="n">
        <f aca="false">AC4+1</f>
        <v>24</v>
      </c>
      <c r="AE4" s="26" t="n">
        <f aca="false">AD4+1</f>
        <v>25</v>
      </c>
      <c r="AF4" s="26" t="n">
        <f aca="false">AE4+1</f>
        <v>26</v>
      </c>
      <c r="AG4" s="26" t="n">
        <f aca="false">AF4+1</f>
        <v>27</v>
      </c>
      <c r="AH4" s="26" t="n">
        <f aca="false">AG4+1</f>
        <v>28</v>
      </c>
      <c r="AI4" s="26" t="n">
        <f aca="false">AH4+1</f>
        <v>29</v>
      </c>
      <c r="AJ4" s="26" t="n">
        <f aca="false">AI4+1</f>
        <v>30</v>
      </c>
    </row>
    <row r="5" customFormat="false" ht="15" hidden="false" customHeight="true" outlineLevel="0" collapsed="false">
      <c r="A5" s="26" t="s">
        <v>523</v>
      </c>
      <c r="C5" s="51" t="str">
        <f aca="false">TEXT(in_anchor_year+-3,"0")</f>
        <v>2023</v>
      </c>
      <c r="D5" s="51" t="str">
        <f aca="false">TEXT(in_anchor_year+-2,"0")</f>
        <v>2024</v>
      </c>
      <c r="E5" s="51" t="str">
        <f aca="false">TEXT(in_anchor_year+-1,"0")</f>
        <v>2025</v>
      </c>
      <c r="F5" s="51" t="str">
        <f aca="false">TEXT(in_anchor_year+0,"0")</f>
        <v>2026</v>
      </c>
    </row>
    <row r="6" customFormat="false" ht="15" hidden="false" customHeight="true" outlineLevel="0" collapsed="false">
      <c r="A6" s="23" t="s">
        <v>622</v>
      </c>
    </row>
    <row r="7" customFormat="false" ht="15" hidden="false" customHeight="true" outlineLevel="0" collapsed="false">
      <c r="A7" s="26" t="s">
        <v>623</v>
      </c>
      <c r="C7" s="42" t="n">
        <f aca="false">INDEX(es_real_rev,MATCH(C$5,es_years,0))</f>
        <v>233072.28224626</v>
      </c>
      <c r="D7" s="42" t="n">
        <f aca="false">INDEX(es_real_rev,MATCH(D$5,es_years,0))</f>
        <v>261870.897627905</v>
      </c>
      <c r="E7" s="42" t="n">
        <f aca="false">INDEX(es_real_rev,MATCH(E$5,es_years,0))</f>
        <v>293257.47741681</v>
      </c>
      <c r="F7" s="42" t="n">
        <f aca="false">anchor_rev0</f>
        <v>335789.411025251</v>
      </c>
      <c r="G7" s="42" t="n">
        <f aca="false">F7*(1+G8)</f>
        <v>374804.596907555</v>
      </c>
      <c r="H7" s="42" t="n">
        <f aca="false">G7*(1+H8)</f>
        <v>408754.989343249</v>
      </c>
      <c r="I7" s="42" t="n">
        <f aca="false">H7*(1+I8)</f>
        <v>437899.132833225</v>
      </c>
      <c r="J7" s="42" t="n">
        <f aca="false">I7*(1+J8)</f>
        <v>462767.873852422</v>
      </c>
      <c r="K7" s="42" t="n">
        <f aca="false">J7*(1+K8)</f>
        <v>483998.534264088</v>
      </c>
      <c r="L7" s="42" t="n">
        <f aca="false">K7*(1+L8)</f>
        <v>502076.389828655</v>
      </c>
      <c r="M7" s="42" t="n">
        <f aca="false">L7*(1+M8)</f>
        <v>517922.254469793</v>
      </c>
      <c r="N7" s="42" t="n">
        <f aca="false">M7*(1+N8)</f>
        <v>532251.579890407</v>
      </c>
      <c r="O7" s="42" t="n">
        <f aca="false">N7*(1+O8)</f>
        <v>545505.078742062</v>
      </c>
      <c r="P7" s="42" t="n">
        <f aca="false">O7*(1+P8)</f>
        <v>558060.384367337</v>
      </c>
      <c r="Q7" s="42" t="n">
        <f aca="false">P7*(1+Q8)</f>
        <v>570352.189944104</v>
      </c>
      <c r="R7" s="42" t="n">
        <f aca="false">Q7*(1+R8)</f>
        <v>582358.477163055</v>
      </c>
      <c r="S7" s="42" t="n">
        <f aca="false">R7*(1+S8)</f>
        <v>599829.231477946</v>
      </c>
      <c r="T7" s="26" t="n">
        <f aca="false">S7*(1+T8)</f>
        <v>617824.108422285</v>
      </c>
      <c r="U7" s="26" t="n">
        <f aca="false">T7*(1+U8)</f>
        <v>636358.831674953</v>
      </c>
      <c r="V7" s="26" t="n">
        <f aca="false">U7*(1+V8)</f>
        <v>655449.596625202</v>
      </c>
      <c r="W7" s="26" t="n">
        <f aca="false">V7*(1+W8)</f>
        <v>675113.084523958</v>
      </c>
      <c r="X7" s="26" t="n">
        <f aca="false">W7*(1+X8)</f>
        <v>695366.477059677</v>
      </c>
      <c r="Y7" s="26" t="n">
        <f aca="false">X7*(1+Y8)</f>
        <v>716227.471371467</v>
      </c>
      <c r="Z7" s="26" t="n">
        <f aca="false">Y7*(1+Z8)</f>
        <v>737714.295512611</v>
      </c>
      <c r="AA7" s="26" t="n">
        <f aca="false">Z7*(1+AA8)</f>
        <v>759845.724377989</v>
      </c>
      <c r="AB7" s="26" t="n">
        <f aca="false">AA7*(1+AB8)</f>
        <v>782641.096109329</v>
      </c>
      <c r="AC7" s="26" t="n">
        <f aca="false">AB7*(1+AC8)</f>
        <v>806120.328992609</v>
      </c>
      <c r="AD7" s="26" t="n">
        <f aca="false">AC7*(1+AD8)</f>
        <v>830303.938862387</v>
      </c>
      <c r="AE7" s="26" t="n">
        <f aca="false">AD7*(1+AE8)</f>
        <v>855213.057028259</v>
      </c>
      <c r="AF7" s="26" t="n">
        <f aca="false">AE7*(1+AF8)</f>
        <v>880869.448739107</v>
      </c>
      <c r="AG7" s="26" t="n">
        <f aca="false">AF7*(1+AG8)</f>
        <v>907295.53220128</v>
      </c>
      <c r="AH7" s="26" t="n">
        <f aca="false">AG7*(1+AH8)</f>
        <v>934514.398167318</v>
      </c>
      <c r="AI7" s="26" t="n">
        <f aca="false">AH7*(1+AI8)</f>
        <v>962549.830112338</v>
      </c>
      <c r="AJ7" s="26" t="n">
        <f aca="false">AI7*(1+AJ8)</f>
        <v>991426.325015708</v>
      </c>
    </row>
    <row r="8" customFormat="false" ht="15" hidden="false" customHeight="true" outlineLevel="0" collapsed="false">
      <c r="A8" s="26" t="s">
        <v>624</v>
      </c>
      <c r="D8" s="44" t="n">
        <f aca="false">IF(C7=0,"",D7/C7-1)</f>
        <v>0.123560876068553</v>
      </c>
      <c r="E8" s="44" t="n">
        <f aca="false">IF(D7=0,"",E7/D7-1)</f>
        <v>0.119855165553761</v>
      </c>
      <c r="F8" s="44" t="n">
        <f aca="false">IF(E7=0,"",F7/E7-1)</f>
        <v>0.14503273363424</v>
      </c>
      <c r="G8" s="30" t="n">
        <v>0.116189446722516</v>
      </c>
      <c r="H8" s="30" t="n">
        <v>0.090581579617254</v>
      </c>
      <c r="I8" s="30" t="n">
        <v>0.0712997865464635</v>
      </c>
      <c r="J8" s="30" t="n">
        <v>0.0567910259568125</v>
      </c>
      <c r="K8" s="30" t="n">
        <v>0.0458775589474838</v>
      </c>
      <c r="L8" s="30" t="n">
        <v>0.0373510543622895</v>
      </c>
      <c r="M8" s="30" t="n">
        <v>0.0315606647955433</v>
      </c>
      <c r="N8" s="30" t="n">
        <v>0.027666942860531</v>
      </c>
      <c r="O8" s="30" t="n">
        <v>0.0249008163665465</v>
      </c>
      <c r="P8" s="30" t="n">
        <v>0.0230159280170736</v>
      </c>
      <c r="Q8" s="30" t="n">
        <v>0.0220259418534101</v>
      </c>
      <c r="R8" s="30" t="n">
        <v>0.0210506550700318</v>
      </c>
      <c r="S8" s="30" t="n">
        <f aca="false">INDEX(scen_revgrowth,MATCH(cfg_scenario,scen_cols,0))</f>
        <v>0.03</v>
      </c>
      <c r="T8" s="30" t="n">
        <f aca="false">INDEX(scen_revgrowth,MATCH(cfg_scenario,scen_cols,0))</f>
        <v>0.03</v>
      </c>
      <c r="U8" s="30" t="n">
        <f aca="false">INDEX(scen_revgrowth,MATCH(cfg_scenario,scen_cols,0))</f>
        <v>0.03</v>
      </c>
      <c r="V8" s="30" t="n">
        <f aca="false">INDEX(scen_revgrowth,MATCH(cfg_scenario,scen_cols,0))</f>
        <v>0.03</v>
      </c>
      <c r="W8" s="30" t="n">
        <f aca="false">INDEX(scen_revgrowth,MATCH(cfg_scenario,scen_cols,0))</f>
        <v>0.03</v>
      </c>
      <c r="X8" s="30" t="n">
        <f aca="false">INDEX(scen_revgrowth,MATCH(cfg_scenario,scen_cols,0))</f>
        <v>0.03</v>
      </c>
      <c r="Y8" s="30" t="n">
        <f aca="false">INDEX(scen_revgrowth,MATCH(cfg_scenario,scen_cols,0))</f>
        <v>0.03</v>
      </c>
      <c r="Z8" s="30" t="n">
        <f aca="false">INDEX(scen_revgrowth,MATCH(cfg_scenario,scen_cols,0))</f>
        <v>0.03</v>
      </c>
      <c r="AA8" s="30" t="n">
        <f aca="false">INDEX(scen_revgrowth,MATCH(cfg_scenario,scen_cols,0))</f>
        <v>0.03</v>
      </c>
      <c r="AB8" s="30" t="n">
        <f aca="false">INDEX(scen_revgrowth,MATCH(cfg_scenario,scen_cols,0))</f>
        <v>0.03</v>
      </c>
      <c r="AC8" s="30" t="n">
        <f aca="false">INDEX(scen_revgrowth,MATCH(cfg_scenario,scen_cols,0))</f>
        <v>0.03</v>
      </c>
      <c r="AD8" s="30" t="n">
        <f aca="false">INDEX(scen_revgrowth,MATCH(cfg_scenario,scen_cols,0))</f>
        <v>0.03</v>
      </c>
      <c r="AE8" s="30" t="n">
        <f aca="false">INDEX(scen_revgrowth,MATCH(cfg_scenario,scen_cols,0))</f>
        <v>0.03</v>
      </c>
      <c r="AF8" s="30" t="n">
        <f aca="false">INDEX(scen_revgrowth,MATCH(cfg_scenario,scen_cols,0))</f>
        <v>0.03</v>
      </c>
      <c r="AG8" s="30" t="n">
        <f aca="false">INDEX(scen_revgrowth,MATCH(cfg_scenario,scen_cols,0))</f>
        <v>0.03</v>
      </c>
      <c r="AH8" s="30" t="n">
        <f aca="false">INDEX(scen_revgrowth,MATCH(cfg_scenario,scen_cols,0))</f>
        <v>0.03</v>
      </c>
      <c r="AI8" s="30" t="n">
        <f aca="false">INDEX(scen_revgrowth,MATCH(cfg_scenario,scen_cols,0))</f>
        <v>0.03</v>
      </c>
      <c r="AJ8" s="30" t="n">
        <f aca="false">INDEX(scen_revgrowth,MATCH(cfg_scenario,scen_cols,0))</f>
        <v>0.03</v>
      </c>
    </row>
    <row r="9" customFormat="false" ht="15" hidden="false" customHeight="true" outlineLevel="0" collapsed="false">
      <c r="A9" s="26" t="s">
        <v>625</v>
      </c>
      <c r="C9" s="42" t="n">
        <f aca="false">INDEX(es_real_gp,MATCH(C$5,es_years,0))</f>
        <v>160633.617094735</v>
      </c>
      <c r="D9" s="42" t="n">
        <f aca="false">INDEX(es_real_gp,MATCH(D$5,es_years,0))</f>
        <v>182692.775277424</v>
      </c>
      <c r="E9" s="42" t="n">
        <f aca="false">INDEX(es_real_gp,MATCH(E$5,es_years,0))</f>
        <v>201830.770785512</v>
      </c>
      <c r="F9" s="42" t="n">
        <f aca="false">anchor_gp0</f>
        <v>228149.070955518</v>
      </c>
      <c r="G9" s="42" t="n">
        <f aca="false">G7*G10</f>
        <v>254492.32130023</v>
      </c>
      <c r="H9" s="42" t="n">
        <f aca="false">H7*H10</f>
        <v>274438.099845057</v>
      </c>
      <c r="I9" s="42" t="n">
        <f aca="false">I7*I10</f>
        <v>291942.972868583</v>
      </c>
      <c r="J9" s="42" t="n">
        <f aca="false">J7*J10</f>
        <v>307171.431627022</v>
      </c>
      <c r="K9" s="42" t="n">
        <f aca="false">K7*K10</f>
        <v>320387.669741456</v>
      </c>
      <c r="L9" s="42" t="n">
        <f aca="false">L7*L10</f>
        <v>331787.14069047</v>
      </c>
      <c r="M9" s="42" t="n">
        <f aca="false">M7*M10</f>
        <v>341901.197065689</v>
      </c>
      <c r="N9" s="42" t="n">
        <f aca="false">N7*N10</f>
        <v>351126.367253701</v>
      </c>
      <c r="O9" s="42" t="n">
        <f aca="false">O7*O10</f>
        <v>359727.869125665</v>
      </c>
      <c r="P9" s="42" t="n">
        <f aca="false">P7*P10</f>
        <v>367912.469601854</v>
      </c>
      <c r="Q9" s="42" t="n">
        <f aca="false">Q7*Q10</f>
        <v>375959.053045455</v>
      </c>
      <c r="R9" s="42" t="n">
        <f aca="false">R7*R10</f>
        <v>383832.472298169</v>
      </c>
      <c r="S9" s="42" t="n">
        <f aca="false">S7*S10</f>
        <v>407548.53309941</v>
      </c>
      <c r="T9" s="26" t="n">
        <f aca="false">T7*T10</f>
        <v>419774.989092392</v>
      </c>
      <c r="U9" s="26" t="n">
        <f aca="false">U7*U10</f>
        <v>432368.238765164</v>
      </c>
      <c r="V9" s="26" t="n">
        <f aca="false">V7*V10</f>
        <v>445339.285928119</v>
      </c>
      <c r="W9" s="26" t="n">
        <f aca="false">W7*W10</f>
        <v>458699.464505963</v>
      </c>
      <c r="X9" s="26" t="n">
        <f aca="false">X7*X10</f>
        <v>472460.448441142</v>
      </c>
      <c r="Y9" s="26" t="n">
        <f aca="false">Y7*Y10</f>
        <v>486634.261894376</v>
      </c>
      <c r="Z9" s="26" t="n">
        <f aca="false">Z7*Z10</f>
        <v>501233.289751207</v>
      </c>
      <c r="AA9" s="26" t="n">
        <f aca="false">AA7*AA10</f>
        <v>516270.288443743</v>
      </c>
      <c r="AB9" s="26" t="n">
        <f aca="false">AB7*AB10</f>
        <v>531758.397097056</v>
      </c>
      <c r="AC9" s="26" t="n">
        <f aca="false">AC7*AC10</f>
        <v>547711.149009968</v>
      </c>
      <c r="AD9" s="26" t="n">
        <f aca="false">AD7*AD10</f>
        <v>564142.483480266</v>
      </c>
      <c r="AE9" s="26" t="n">
        <f aca="false">AE7*AE10</f>
        <v>581066.757984674</v>
      </c>
      <c r="AF9" s="26" t="n">
        <f aca="false">AF7*AF10</f>
        <v>598498.760724215</v>
      </c>
      <c r="AG9" s="26" t="n">
        <f aca="false">AG7*AG10</f>
        <v>616453.723545941</v>
      </c>
      <c r="AH9" s="26" t="n">
        <f aca="false">AH7*AH10</f>
        <v>634947.335252319</v>
      </c>
      <c r="AI9" s="26" t="n">
        <f aca="false">AI7*AI10</f>
        <v>653995.755309889</v>
      </c>
      <c r="AJ9" s="26" t="n">
        <f aca="false">AJ7*AJ10</f>
        <v>673615.627969186</v>
      </c>
    </row>
    <row r="10" customFormat="false" ht="15" hidden="false" customHeight="true" outlineLevel="0" collapsed="false">
      <c r="A10" s="26" t="s">
        <v>626</v>
      </c>
      <c r="C10" s="44" t="n">
        <f aca="false">IF(C7=0,"",C9/C7)</f>
        <v>0.68920085883491</v>
      </c>
      <c r="D10" s="44" t="n">
        <f aca="false">IF(D7=0,"",D9/D7)</f>
        <v>0.697644438279714</v>
      </c>
      <c r="E10" s="44" t="n">
        <f aca="false">IF(E7=0,"",E9/E7)</f>
        <v>0.688237423861652</v>
      </c>
      <c r="F10" s="44" t="n">
        <f aca="false">IF(F7=0,"",F9/F7)</f>
        <v>0.679440933705803</v>
      </c>
      <c r="G10" s="30" t="n">
        <v>0.679</v>
      </c>
      <c r="H10" s="30" t="n">
        <v>0.6714</v>
      </c>
      <c r="I10" s="30" t="n">
        <v>0.66669</v>
      </c>
      <c r="J10" s="30" t="n">
        <v>0.66377</v>
      </c>
      <c r="K10" s="30" t="n">
        <v>0.66196</v>
      </c>
      <c r="L10" s="30" t="n">
        <v>0.66083</v>
      </c>
      <c r="M10" s="30" t="n">
        <v>0.66014</v>
      </c>
      <c r="N10" s="30" t="n">
        <v>0.6597</v>
      </c>
      <c r="O10" s="30" t="n">
        <v>0.65944</v>
      </c>
      <c r="P10" s="30" t="n">
        <v>0.65927</v>
      </c>
      <c r="Q10" s="30" t="n">
        <v>0.65917</v>
      </c>
      <c r="R10" s="30" t="n">
        <v>0.6591</v>
      </c>
      <c r="S10" s="30" t="n">
        <f aca="false">$F$10</f>
        <v>0.679440933705803</v>
      </c>
      <c r="T10" s="30" t="n">
        <f aca="false">$F$10</f>
        <v>0.679440933705803</v>
      </c>
      <c r="U10" s="30" t="n">
        <f aca="false">$F$10</f>
        <v>0.679440933705803</v>
      </c>
      <c r="V10" s="30" t="n">
        <f aca="false">$F$10</f>
        <v>0.679440933705803</v>
      </c>
      <c r="W10" s="30" t="n">
        <f aca="false">$F$10</f>
        <v>0.679440933705803</v>
      </c>
      <c r="X10" s="30" t="n">
        <f aca="false">$F$10</f>
        <v>0.679440933705803</v>
      </c>
      <c r="Y10" s="30" t="n">
        <f aca="false">$F$10</f>
        <v>0.679440933705803</v>
      </c>
      <c r="Z10" s="30" t="n">
        <f aca="false">$F$10</f>
        <v>0.679440933705803</v>
      </c>
      <c r="AA10" s="30" t="n">
        <f aca="false">$F$10</f>
        <v>0.679440933705803</v>
      </c>
      <c r="AB10" s="30" t="n">
        <f aca="false">$F$10</f>
        <v>0.679440933705803</v>
      </c>
      <c r="AC10" s="30" t="n">
        <f aca="false">$F$10</f>
        <v>0.679440933705803</v>
      </c>
      <c r="AD10" s="30" t="n">
        <f aca="false">$F$10</f>
        <v>0.679440933705803</v>
      </c>
      <c r="AE10" s="30" t="n">
        <f aca="false">$F$10</f>
        <v>0.679440933705803</v>
      </c>
      <c r="AF10" s="30" t="n">
        <f aca="false">$F$10</f>
        <v>0.679440933705803</v>
      </c>
      <c r="AG10" s="30" t="n">
        <f aca="false">$F$10</f>
        <v>0.679440933705803</v>
      </c>
      <c r="AH10" s="30" t="n">
        <f aca="false">$F$10</f>
        <v>0.679440933705803</v>
      </c>
      <c r="AI10" s="30" t="n">
        <f aca="false">$F$10</f>
        <v>0.679440933705803</v>
      </c>
      <c r="AJ10" s="30" t="n">
        <f aca="false">$F$10</f>
        <v>0.679440933705803</v>
      </c>
    </row>
    <row r="11" customFormat="false" ht="15" hidden="false" customHeight="true" outlineLevel="0" collapsed="false">
      <c r="A11" s="26" t="s">
        <v>627</v>
      </c>
      <c r="C11" s="42" t="n">
        <f aca="false">INDEX(es_real_sga,MATCH(C$5,es_years,0))</f>
        <v>8331.27687051611</v>
      </c>
      <c r="D11" s="42" t="n">
        <f aca="false">INDEX(es_real_sga,MATCH(D$5,es_years,0))</f>
        <v>8128.91401037333</v>
      </c>
      <c r="E11" s="42" t="n">
        <f aca="false">INDEX(es_real_sga,MATCH(E$5,es_years,0))</f>
        <v>7518.70184784263</v>
      </c>
      <c r="F11" s="42" t="n">
        <f aca="false">anchor_sga0</f>
        <v>8050.71300876901</v>
      </c>
      <c r="G11" s="42" t="n">
        <f aca="false">G7*G12</f>
        <v>79458.5745444016</v>
      </c>
      <c r="H11" s="42" t="n">
        <f aca="false">H7*H12</f>
        <v>86656.0577407688</v>
      </c>
      <c r="I11" s="42" t="n">
        <f aca="false">I7*I12</f>
        <v>92834.6161606436</v>
      </c>
      <c r="J11" s="42" t="n">
        <f aca="false">J7*J12</f>
        <v>98106.7892567135</v>
      </c>
      <c r="K11" s="42" t="n">
        <f aca="false">K7*K12</f>
        <v>102607.689263987</v>
      </c>
      <c r="L11" s="42" t="n">
        <f aca="false">L7*L12</f>
        <v>106440.194643675</v>
      </c>
      <c r="M11" s="42" t="n">
        <f aca="false">M7*M12</f>
        <v>109799.517947596</v>
      </c>
      <c r="N11" s="42" t="n">
        <f aca="false">N7*N12</f>
        <v>112837.334936766</v>
      </c>
      <c r="O11" s="42" t="n">
        <f aca="false">O7*O12</f>
        <v>115647.076693317</v>
      </c>
      <c r="P11" s="42" t="n">
        <f aca="false">P7*P12</f>
        <v>118308.801485875</v>
      </c>
      <c r="Q11" s="42" t="n">
        <f aca="false">Q7*Q12</f>
        <v>120914.66426815</v>
      </c>
      <c r="R11" s="42" t="n">
        <f aca="false">R7*R12</f>
        <v>123459.997158568</v>
      </c>
      <c r="S11" s="42" t="n">
        <f aca="false">S7*S12</f>
        <v>14381.1949940741</v>
      </c>
      <c r="T11" s="26" t="n">
        <f aca="false">T7*T12</f>
        <v>14812.6308438963</v>
      </c>
      <c r="U11" s="26" t="n">
        <f aca="false">U7*U12</f>
        <v>15257.0097692132</v>
      </c>
      <c r="V11" s="26" t="n">
        <f aca="false">V7*V12</f>
        <v>15714.7200622896</v>
      </c>
      <c r="W11" s="26" t="n">
        <f aca="false">W7*W12</f>
        <v>16186.1616641582</v>
      </c>
      <c r="X11" s="26" t="n">
        <f aca="false">X7*X12</f>
        <v>16671.746514083</v>
      </c>
      <c r="Y11" s="26" t="n">
        <f aca="false">Y7*Y12</f>
        <v>17171.8989095055</v>
      </c>
      <c r="Z11" s="26" t="n">
        <f aca="false">Z7*Z12</f>
        <v>17687.0558767907</v>
      </c>
      <c r="AA11" s="26" t="n">
        <f aca="false">AA7*AA12</f>
        <v>18217.6675530944</v>
      </c>
      <c r="AB11" s="26" t="n">
        <f aca="false">AB7*AB12</f>
        <v>18764.1975796872</v>
      </c>
      <c r="AC11" s="26" t="n">
        <f aca="false">AC7*AC12</f>
        <v>19327.1235070778</v>
      </c>
      <c r="AD11" s="26" t="n">
        <f aca="false">AD7*AD12</f>
        <v>19906.9372122902</v>
      </c>
      <c r="AE11" s="26" t="n">
        <f aca="false">AE7*AE12</f>
        <v>20504.1453286589</v>
      </c>
      <c r="AF11" s="26" t="n">
        <f aca="false">AF7*AF12</f>
        <v>21119.2696885186</v>
      </c>
      <c r="AG11" s="26" t="n">
        <f aca="false">AG7*AG12</f>
        <v>21752.8477791742</v>
      </c>
      <c r="AH11" s="26" t="n">
        <f aca="false">AH7*AH12</f>
        <v>22405.4332125494</v>
      </c>
      <c r="AI11" s="26" t="n">
        <f aca="false">AI7*AI12</f>
        <v>23077.5962089259</v>
      </c>
      <c r="AJ11" s="26" t="n">
        <f aca="false">AJ7*AJ12</f>
        <v>23769.9240951937</v>
      </c>
    </row>
    <row r="12" customFormat="false" ht="15" hidden="false" customHeight="true" outlineLevel="0" collapsed="false">
      <c r="A12" s="26" t="s">
        <v>628</v>
      </c>
      <c r="C12" s="44" t="n">
        <f aca="false">IF(C7=0,"",C11/C7)</f>
        <v>0.0357454639832008</v>
      </c>
      <c r="D12" s="44" t="n">
        <f aca="false">IF(D7=0,"",D11/D7)</f>
        <v>0.0310416853648387</v>
      </c>
      <c r="E12" s="44" t="n">
        <f aca="false">IF(E7=0,"",E11/E7)</f>
        <v>0.0256385682440971</v>
      </c>
      <c r="F12" s="44" t="n">
        <f aca="false">IF(F7=0,"",F11/F7)</f>
        <v>0.0239754820861924</v>
      </c>
      <c r="G12" s="30" t="n">
        <v>0.212</v>
      </c>
      <c r="H12" s="30" t="n">
        <v>0.212</v>
      </c>
      <c r="I12" s="30" t="n">
        <v>0.212</v>
      </c>
      <c r="J12" s="30" t="n">
        <v>0.212</v>
      </c>
      <c r="K12" s="30" t="n">
        <v>0.212</v>
      </c>
      <c r="L12" s="30" t="n">
        <v>0.212</v>
      </c>
      <c r="M12" s="30" t="n">
        <v>0.212</v>
      </c>
      <c r="N12" s="30" t="n">
        <v>0.212</v>
      </c>
      <c r="O12" s="30" t="n">
        <v>0.212</v>
      </c>
      <c r="P12" s="30" t="n">
        <v>0.212</v>
      </c>
      <c r="Q12" s="30" t="n">
        <v>0.212</v>
      </c>
      <c r="R12" s="30" t="n">
        <v>0.212</v>
      </c>
      <c r="S12" s="30" t="n">
        <f aca="false">$F$12</f>
        <v>0.0239754820861924</v>
      </c>
      <c r="T12" s="30" t="n">
        <f aca="false">$F$12</f>
        <v>0.0239754820861924</v>
      </c>
      <c r="U12" s="30" t="n">
        <f aca="false">$F$12</f>
        <v>0.0239754820861924</v>
      </c>
      <c r="V12" s="30" t="n">
        <f aca="false">$F$12</f>
        <v>0.0239754820861924</v>
      </c>
      <c r="W12" s="30" t="n">
        <f aca="false">$F$12</f>
        <v>0.0239754820861924</v>
      </c>
      <c r="X12" s="30" t="n">
        <f aca="false">$F$12</f>
        <v>0.0239754820861924</v>
      </c>
      <c r="Y12" s="30" t="n">
        <f aca="false">$F$12</f>
        <v>0.0239754820861924</v>
      </c>
      <c r="Z12" s="30" t="n">
        <f aca="false">$F$12</f>
        <v>0.0239754820861924</v>
      </c>
      <c r="AA12" s="30" t="n">
        <f aca="false">$F$12</f>
        <v>0.0239754820861924</v>
      </c>
      <c r="AB12" s="30" t="n">
        <f aca="false">$F$12</f>
        <v>0.0239754820861924</v>
      </c>
      <c r="AC12" s="30" t="n">
        <f aca="false">$F$12</f>
        <v>0.0239754820861924</v>
      </c>
      <c r="AD12" s="30" t="n">
        <f aca="false">$F$12</f>
        <v>0.0239754820861924</v>
      </c>
      <c r="AE12" s="30" t="n">
        <f aca="false">$F$12</f>
        <v>0.0239754820861924</v>
      </c>
      <c r="AF12" s="30" t="n">
        <f aca="false">$F$12</f>
        <v>0.0239754820861924</v>
      </c>
      <c r="AG12" s="30" t="n">
        <f aca="false">$F$12</f>
        <v>0.0239754820861924</v>
      </c>
      <c r="AH12" s="30" t="n">
        <f aca="false">$F$12</f>
        <v>0.0239754820861924</v>
      </c>
      <c r="AI12" s="30" t="n">
        <f aca="false">$F$12</f>
        <v>0.0239754820861924</v>
      </c>
      <c r="AJ12" s="30" t="n">
        <f aca="false">$F$12</f>
        <v>0.0239754820861924</v>
      </c>
    </row>
    <row r="13" customFormat="false" ht="15" hidden="false" customHeight="true" outlineLevel="0" collapsed="false">
      <c r="A13" s="26" t="s">
        <v>629</v>
      </c>
      <c r="C13" s="42" t="n">
        <f aca="false">INDEX(es_dep,MATCH(C$5,es_years,0))</f>
        <v>15468.5138271822</v>
      </c>
      <c r="D13" s="42" t="n">
        <f aca="false">INDEX(es_dep,MATCH(D$5,es_years,0))</f>
        <v>19308.6152427765</v>
      </c>
      <c r="E13" s="42" t="n">
        <f aca="false">INDEX(es_dep,MATCH(E$5,es_years,0))</f>
        <v>24872.5776433501</v>
      </c>
      <c r="F13" s="42" t="n">
        <f aca="false">anchor_econ_dep</f>
        <v>24215.4183766548</v>
      </c>
      <c r="G13" s="42" t="n">
        <f aca="false">G14*F22</f>
        <v>21074.7791072911</v>
      </c>
      <c r="H13" s="42" t="n">
        <f aca="false">H14*G22</f>
        <v>18328.2842083164</v>
      </c>
      <c r="I13" s="42" t="n">
        <f aca="false">I14*H22</f>
        <v>15926.4961949792</v>
      </c>
      <c r="J13" s="42" t="n">
        <f aca="false">J14*I22</f>
        <v>13826.2386746916</v>
      </c>
      <c r="K13" s="42" t="n">
        <f aca="false">K14*J22</f>
        <v>11989.7546930676</v>
      </c>
      <c r="L13" s="42" t="n">
        <f aca="false">L14*K22</f>
        <v>10383.9988534686</v>
      </c>
      <c r="M13" s="42" t="n">
        <f aca="false">M14*L22</f>
        <v>8980.06095725566</v>
      </c>
      <c r="N13" s="42" t="n">
        <f aca="false">N14*M22</f>
        <v>7752.56929802401</v>
      </c>
      <c r="O13" s="42" t="n">
        <f aca="false">O14*N22</f>
        <v>6679.27235938887</v>
      </c>
      <c r="P13" s="42" t="n">
        <f aca="false">P14*O22</f>
        <v>5740.68491625535</v>
      </c>
      <c r="Q13" s="42" t="n">
        <f aca="false">Q14*P22</f>
        <v>4919.74545535657</v>
      </c>
      <c r="R13" s="42" t="n">
        <f aca="false">R14*Q22</f>
        <v>4201.49808542798</v>
      </c>
      <c r="S13" s="42" t="n">
        <f aca="false">S14*R22</f>
        <v>3572.89703341969</v>
      </c>
      <c r="T13" s="26" t="n">
        <f aca="false">T14*S22</f>
        <v>3021.64150625036</v>
      </c>
      <c r="U13" s="26" t="n">
        <f aca="false">U14*T22</f>
        <v>2537.78767647996</v>
      </c>
      <c r="V13" s="26" t="n">
        <f aca="false">V14*U22</f>
        <v>2112.65686207598</v>
      </c>
      <c r="W13" s="26" t="n">
        <f aca="false">W14*V22</f>
        <v>1738.67416820318</v>
      </c>
      <c r="X13" s="26" t="n">
        <f aca="false">X14*W22</f>
        <v>1409.22769697317</v>
      </c>
      <c r="Y13" s="26" t="n">
        <f aca="false">Y14*X22</f>
        <v>1118.54570304745</v>
      </c>
      <c r="Z13" s="26" t="n">
        <f aca="false">Z14*Y22</f>
        <v>861.589407256244</v>
      </c>
      <c r="AA13" s="26" t="n">
        <f aca="false">AA14*Z22</f>
        <v>633.959472050497</v>
      </c>
      <c r="AB13" s="26" t="n">
        <f aca="false">AB14*AA22</f>
        <v>431.814397079432</v>
      </c>
      <c r="AC13" s="26" t="n">
        <f aca="false">AC14*AB22</f>
        <v>251.799315219298</v>
      </c>
      <c r="AD13" s="26" t="n">
        <f aca="false">AD14*AC22</f>
        <v>90.9838631075897</v>
      </c>
      <c r="AE13" s="26" t="n">
        <f aca="false">AE14*AD22</f>
        <v>-53.1920307316588</v>
      </c>
      <c r="AF13" s="26" t="n">
        <f aca="false">AF14*AE22</f>
        <v>-182.965449602841</v>
      </c>
      <c r="AG13" s="26" t="n">
        <f aca="false">AG14*AF22</f>
        <v>-300.291764943861</v>
      </c>
      <c r="AH13" s="26" t="n">
        <f aca="false">AH14*AG22</f>
        <v>-406.880653694245</v>
      </c>
      <c r="AI13" s="26" t="n">
        <f aca="false">AI14*AH22</f>
        <v>-504.227527235627</v>
      </c>
      <c r="AJ13" s="26" t="n">
        <f aca="false">AJ14*AI22</f>
        <v>-593.64095693901</v>
      </c>
    </row>
    <row r="14" customFormat="false" ht="15" hidden="false" customHeight="true" outlineLevel="0" collapsed="false">
      <c r="A14" s="26" t="s">
        <v>630</v>
      </c>
      <c r="D14" s="44" t="n">
        <f aca="false">IF(C22=0,"",D13/C22)</f>
        <v>0.171247943437097</v>
      </c>
      <c r="E14" s="44" t="n">
        <f aca="false">IF(D22=0,"",E13/D22)</f>
        <v>0.173475670149291</v>
      </c>
      <c r="F14" s="44" t="n">
        <f aca="false">IF(E22=0,"",F13/E22)</f>
        <v>0.127481702800107</v>
      </c>
      <c r="G14" s="30" t="n">
        <f aca="false">$F$14</f>
        <v>0.127481702800107</v>
      </c>
      <c r="H14" s="30" t="n">
        <f aca="false">$F$14</f>
        <v>0.127481702800107</v>
      </c>
      <c r="I14" s="30" t="n">
        <f aca="false">$F$14</f>
        <v>0.127481702800107</v>
      </c>
      <c r="J14" s="30" t="n">
        <f aca="false">$F$14</f>
        <v>0.127481702800107</v>
      </c>
      <c r="K14" s="30" t="n">
        <f aca="false">$F$14</f>
        <v>0.127481702800107</v>
      </c>
      <c r="L14" s="30" t="n">
        <f aca="false">$F$14</f>
        <v>0.127481702800107</v>
      </c>
      <c r="M14" s="30" t="n">
        <f aca="false">$F$14</f>
        <v>0.127481702800107</v>
      </c>
      <c r="N14" s="30" t="n">
        <f aca="false">$F$14</f>
        <v>0.127481702800107</v>
      </c>
      <c r="O14" s="30" t="n">
        <f aca="false">$F$14</f>
        <v>0.127481702800107</v>
      </c>
      <c r="P14" s="30" t="n">
        <f aca="false">$F$14</f>
        <v>0.127481702800107</v>
      </c>
      <c r="Q14" s="30" t="n">
        <f aca="false">$F$14</f>
        <v>0.127481702800107</v>
      </c>
      <c r="R14" s="30" t="n">
        <f aca="false">$F$14</f>
        <v>0.127481702800107</v>
      </c>
      <c r="S14" s="30" t="n">
        <f aca="false">$F$14</f>
        <v>0.127481702800107</v>
      </c>
      <c r="T14" s="30" t="n">
        <f aca="false">$F$14</f>
        <v>0.127481702800107</v>
      </c>
      <c r="U14" s="30" t="n">
        <f aca="false">$F$14</f>
        <v>0.127481702800107</v>
      </c>
      <c r="V14" s="30" t="n">
        <f aca="false">$F$14</f>
        <v>0.127481702800107</v>
      </c>
      <c r="W14" s="30" t="n">
        <f aca="false">$F$14</f>
        <v>0.127481702800107</v>
      </c>
      <c r="X14" s="30" t="n">
        <f aca="false">$F$14</f>
        <v>0.127481702800107</v>
      </c>
      <c r="Y14" s="30" t="n">
        <f aca="false">$F$14</f>
        <v>0.127481702800107</v>
      </c>
      <c r="Z14" s="30" t="n">
        <f aca="false">$F$14</f>
        <v>0.127481702800107</v>
      </c>
      <c r="AA14" s="30" t="n">
        <f aca="false">$F$14</f>
        <v>0.127481702800107</v>
      </c>
      <c r="AB14" s="30" t="n">
        <f aca="false">$F$14</f>
        <v>0.127481702800107</v>
      </c>
      <c r="AC14" s="30" t="n">
        <f aca="false">$F$14</f>
        <v>0.127481702800107</v>
      </c>
      <c r="AD14" s="30" t="n">
        <f aca="false">$F$14</f>
        <v>0.127481702800107</v>
      </c>
      <c r="AE14" s="30" t="n">
        <f aca="false">$F$14</f>
        <v>0.127481702800107</v>
      </c>
      <c r="AF14" s="30" t="n">
        <f aca="false">$F$14</f>
        <v>0.127481702800107</v>
      </c>
      <c r="AG14" s="30" t="n">
        <f aca="false">$F$14</f>
        <v>0.127481702800107</v>
      </c>
      <c r="AH14" s="30" t="n">
        <f aca="false">$F$14</f>
        <v>0.127481702800107</v>
      </c>
      <c r="AI14" s="30" t="n">
        <f aca="false">$F$14</f>
        <v>0.127481702800107</v>
      </c>
      <c r="AJ14" s="30" t="n">
        <f aca="false">$F$14</f>
        <v>0.127481702800107</v>
      </c>
    </row>
    <row r="15" customFormat="false" ht="15" hidden="false" customHeight="true" outlineLevel="0" collapsed="false">
      <c r="A15" s="26" t="s">
        <v>631</v>
      </c>
      <c r="C15" s="42" t="n">
        <f aca="false">C9-C11-C13</f>
        <v>136833.826397037</v>
      </c>
      <c r="D15" s="42" t="n">
        <f aca="false">D9-D11-D13</f>
        <v>155255.246024275</v>
      </c>
      <c r="E15" s="42" t="n">
        <f aca="false">E9-E11-E13</f>
        <v>169439.491294319</v>
      </c>
      <c r="F15" s="42" t="n">
        <f aca="false">'Econ Statements'!$S$51</f>
        <v>171862.34814197</v>
      </c>
      <c r="G15" s="42" t="n">
        <f aca="false">G9-G11-G13-G61</f>
        <v>127147.436992431</v>
      </c>
      <c r="H15" s="42" t="n">
        <f aca="false">H9-H11-H13-H61</f>
        <v>140213.59644108</v>
      </c>
      <c r="I15" s="42" t="n">
        <f aca="false">I9-I11-I13-I61</f>
        <v>151856.881787749</v>
      </c>
      <c r="J15" s="42" t="n">
        <f aca="false">J9-J11-J13-J61</f>
        <v>162134.447290527</v>
      </c>
      <c r="K15" s="42" t="n">
        <f aca="false">K9-K11-K13-K61</f>
        <v>171167.540667942</v>
      </c>
      <c r="L15" s="42" t="n">
        <f aca="false">L9-L11-L13-L61</f>
        <v>179047.068282913</v>
      </c>
      <c r="M15" s="42" t="n">
        <f aca="false">M9-M11-M13-M61</f>
        <v>186072.210235295</v>
      </c>
      <c r="N15" s="42" t="n">
        <f aca="false">N9-N11-N13-N61</f>
        <v>192462.011241276</v>
      </c>
      <c r="O15" s="42" t="n">
        <f aca="false">O9-O11-O13-O61</f>
        <v>198378.983363353</v>
      </c>
      <c r="P15" s="42" t="n">
        <f aca="false">P9-P11-P13-P61</f>
        <v>203942.306594165</v>
      </c>
      <c r="Q15" s="42" t="n">
        <f aca="false">Q9-Q11-Q13-Q61</f>
        <v>209324.676214727</v>
      </c>
      <c r="R15" s="42" t="n">
        <f aca="false">R9-R11-R13-R61</f>
        <v>214512.14391251</v>
      </c>
      <c r="S15" s="42" t="n">
        <f aca="false">S9-S11-S13-S61</f>
        <v>346685.842936003</v>
      </c>
      <c r="T15" s="26" t="n">
        <f aca="false">T9-T11-T13-T61</f>
        <v>357744.860662255</v>
      </c>
      <c r="U15" s="26" t="n">
        <f aca="false">U9-U11-U13-U61</f>
        <v>369051.70955708</v>
      </c>
      <c r="V15" s="26" t="n">
        <f aca="false">V9-V11-V13-V61</f>
        <v>380624.525288491</v>
      </c>
      <c r="W15" s="26" t="n">
        <f aca="false">W9-W11-W13-W61</f>
        <v>392480.623446881</v>
      </c>
      <c r="X15" s="26" t="n">
        <f aca="false">X9-X11-X13-X61</f>
        <v>404636.648846563</v>
      </c>
      <c r="Y15" s="26" t="n">
        <f aca="false">Y9-Y11-Y13-Y61</f>
        <v>417108.707136795</v>
      </c>
      <c r="Z15" s="26" t="n">
        <f aca="false">Z9-Z11-Z13-Z61</f>
        <v>429912.481017782</v>
      </c>
      <c r="AA15" s="26" t="n">
        <f aca="false">AA9-AA11-AA13-AA61</f>
        <v>443063.333065739</v>
      </c>
      <c r="AB15" s="26" t="n">
        <f aca="false">AB9-AB11-AB13-AB61</f>
        <v>456576.396916843</v>
      </c>
      <c r="AC15" s="26" t="n">
        <f aca="false">AC9-AC11-AC13-AC61</f>
        <v>470466.658338121</v>
      </c>
      <c r="AD15" s="26" t="n">
        <f aca="false">AD9-AD11-AD13-AD61</f>
        <v>484749.027519833</v>
      </c>
      <c r="AE15" s="26" t="n">
        <f aca="false">AE9-AE11-AE13-AE61</f>
        <v>499438.403755161</v>
      </c>
      <c r="AF15" s="26" t="n">
        <f aca="false">AF9-AF11-AF13-AF61</f>
        <v>514549.733525765</v>
      </c>
      <c r="AG15" s="26" t="n">
        <f aca="false">AG9-AG11-AG13-AG61</f>
        <v>530098.062883391</v>
      </c>
      <c r="AH15" s="26" t="n">
        <f aca="false">AH9-AH11-AH13-AH61</f>
        <v>546098.584905694</v>
      </c>
      <c r="AI15" s="26" t="n">
        <f aca="false">AI9-AI11-AI13-AI61</f>
        <v>562566.682906796</v>
      </c>
      <c r="AJ15" s="26" t="n">
        <f aca="false">AJ9-AJ11-AJ13-AJ61</f>
        <v>579517.969997886</v>
      </c>
    </row>
    <row r="16" customFormat="false" ht="15" hidden="false" customHeight="true" outlineLevel="0" collapsed="false">
      <c r="A16" s="26" t="s">
        <v>632</v>
      </c>
      <c r="C16" s="42" t="n">
        <f aca="false">C15*(1-C17)</f>
        <v>110864.681820449</v>
      </c>
      <c r="D16" s="42" t="n">
        <f aca="false">D15*(1-D17)</f>
        <v>126950.196355851</v>
      </c>
      <c r="E16" s="42" t="n">
        <f aca="false">E15*(1-E17)</f>
        <v>139567.986737096</v>
      </c>
      <c r="F16" s="42" t="n">
        <f aca="false">anchor_oi_at0</f>
        <v>138189.451918008</v>
      </c>
      <c r="G16" s="42" t="n">
        <f aca="false">IF(G4&lt;=cfg_N,(G15*(1-G17))-G35,G60*F24)</f>
        <v>102353.686778907</v>
      </c>
      <c r="H16" s="42" t="n">
        <f aca="false">IF(H4&lt;=cfg_N,(H15*(1-H17))-H35,H60*G24)</f>
        <v>112871.945135069</v>
      </c>
      <c r="I16" s="42" t="n">
        <f aca="false">IF(I4&lt;=cfg_N,(I15*(1-I17))-I35,I60*H24)</f>
        <v>122244.789839138</v>
      </c>
      <c r="J16" s="42" t="n">
        <f aca="false">IF(J4&lt;=cfg_N,(J15*(1-J17))-J35,J60*I24)</f>
        <v>130518.230068874</v>
      </c>
      <c r="K16" s="42" t="n">
        <f aca="false">IF(K4&lt;=cfg_N,(K15*(1-K17))-K35,K60*J24)</f>
        <v>137789.870237693</v>
      </c>
      <c r="L16" s="42" t="n">
        <f aca="false">IF(L4&lt;=cfg_N,(L15*(1-L17))-L35,L60*K24)</f>
        <v>144132.889967745</v>
      </c>
      <c r="M16" s="42" t="n">
        <f aca="false">IF(M4&lt;=cfg_N,(M15*(1-M17))-M35,M60*L24)</f>
        <v>149788.129239413</v>
      </c>
      <c r="N16" s="42" t="n">
        <f aca="false">IF(N4&lt;=cfg_N,(N15*(1-N17))-N35,N60*M24)</f>
        <v>154931.919049228</v>
      </c>
      <c r="O16" s="42" t="n">
        <f aca="false">IF(O4&lt;=cfg_N,(O15*(1-O17))-O35,O60*N24)</f>
        <v>159260.952184214</v>
      </c>
      <c r="P16" s="42" t="n">
        <f aca="false">IF(P4&lt;=cfg_N,(P15*(1-P17))-P35,P60*O24)</f>
        <v>162960.283415049</v>
      </c>
      <c r="Q16" s="42" t="n">
        <f aca="false">IF(Q4&lt;=cfg_N,(Q15*(1-Q17))-Q35,Q60*P24)</f>
        <v>167441.552777733</v>
      </c>
      <c r="R16" s="42" t="n">
        <f aca="false">IF(R4&lt;=cfg_N,(R15*(1-R17))-R35,R60*Q24)</f>
        <v>171752.523948502</v>
      </c>
      <c r="S16" s="42" t="n">
        <f aca="false">IF(S4&lt;=cfg_N,(S15*(1-S17))-S35,S60*R24)</f>
        <v>61951.9454265009</v>
      </c>
      <c r="T16" s="26" t="n">
        <f aca="false">IF(T4&lt;=cfg_N,(T15*(1-T17))-T35,T60*S24)</f>
        <v>64809.4911905762</v>
      </c>
      <c r="U16" s="26" t="n">
        <f aca="false">IF(U4&lt;=cfg_N,(U15*(1-U17))-U35,U60*T24)</f>
        <v>65748.9135198325</v>
      </c>
      <c r="V16" s="26" t="n">
        <f aca="false">IF(V4&lt;=cfg_N,(V15*(1-V17))-V35,V60*U24)</f>
        <v>66565.7237808236</v>
      </c>
      <c r="W16" s="26" t="n">
        <f aca="false">IF(W4&lt;=cfg_N,(W15*(1-W17))-W35,W60*V24)</f>
        <v>67804.8984480351</v>
      </c>
      <c r="X16" s="26" t="n">
        <f aca="false">IF(X4&lt;=cfg_N,(X15*(1-X17))-X35,X60*W24)</f>
        <v>69235.7711467771</v>
      </c>
      <c r="Y16" s="26" t="n">
        <f aca="false">IF(Y4&lt;=cfg_N,(Y15*(1-Y17))-Y35,Y60*X24)</f>
        <v>70901.461522138</v>
      </c>
      <c r="Z16" s="26" t="n">
        <f aca="false">IF(Z4&lt;=cfg_N,(Z15*(1-Z17))-Z35,Z60*Y24)</f>
        <v>72842.8388218447</v>
      </c>
      <c r="AA16" s="26" t="n">
        <f aca="false">IF(AA4&lt;=cfg_N,(AA15*(1-AA17))-AA35,AA60*Z24)</f>
        <v>75977.1751177133</v>
      </c>
      <c r="AB16" s="26" t="n">
        <f aca="false">IF(AB4&lt;=cfg_N,(AB15*(1-AB17))-AB35,AB60*AA24)</f>
        <v>78100.9129337978</v>
      </c>
      <c r="AC16" s="26" t="n">
        <f aca="false">IF(AC4&lt;=cfg_N,(AC15*(1-AC17))-AC35,AC60*AB24)</f>
        <v>80338.2573074293</v>
      </c>
      <c r="AD16" s="26" t="n">
        <f aca="false">IF(AD4&lt;=cfg_N,(AD15*(1-AD17))-AD35,AD60*AC24)</f>
        <v>82697.6990704455</v>
      </c>
      <c r="AE16" s="26" t="n">
        <f aca="false">IF(AE4&lt;=cfg_N,(AE15*(1-AE17))-AE35,AE60*AD24)</f>
        <v>85189.3644098378</v>
      </c>
      <c r="AF16" s="26" t="n">
        <f aca="false">IF(AF4&lt;=cfg_N,(AF15*(1-AF17))-AF35,AF60*AE24)</f>
        <v>87847.9260325782</v>
      </c>
      <c r="AG16" s="26" t="n">
        <f aca="false">IF(AG4&lt;=cfg_N,(AG15*(1-AG17))-AG35,AG60*AF24)</f>
        <v>90644.5976311311</v>
      </c>
      <c r="AH16" s="26" t="n">
        <f aca="false">IF(AH4&lt;=cfg_N,(AH15*(1-AH17))-AH35,AH60*AG24)</f>
        <v>93605.4436967551</v>
      </c>
      <c r="AI16" s="26" t="n">
        <f aca="false">IF(AI4&lt;=cfg_N,(AI15*(1-AI17))-AI35,AI60*AH24)</f>
        <v>96739.1953855289</v>
      </c>
      <c r="AJ16" s="26" t="n">
        <f aca="false">IF(AJ4&lt;=cfg_N,(AJ15*(1-AJ17))-AJ35,AJ60*AI24)</f>
        <v>100050.916147287</v>
      </c>
    </row>
    <row r="17" customFormat="false" ht="15" hidden="false" customHeight="true" outlineLevel="0" collapsed="false">
      <c r="A17" s="26" t="s">
        <v>633</v>
      </c>
      <c r="C17" s="44" t="n">
        <f aca="false">IFERROR(INDEX(rep_taxrate,MATCH(C$5,rep_years_is,0)),0)</f>
        <v>0.189786</v>
      </c>
      <c r="D17" s="44" t="n">
        <f aca="false">IFERROR(INDEX(rep_taxrate,MATCH(D$5,rep_years_is,0)),0)</f>
        <v>0.182313</v>
      </c>
      <c r="E17" s="44" t="n">
        <f aca="false">IFERROR(INDEX(rep_taxrate,MATCH(E$5,rep_years_is,0)),0)</f>
        <v>0.176296</v>
      </c>
      <c r="F17" s="44" t="n">
        <f aca="false">IFERROR(INDEX(rep_taxrate,MATCH(F$5,rep_years_is,0)),0)</f>
        <v>0.193963</v>
      </c>
      <c r="G17" s="30" t="n">
        <v>0.195</v>
      </c>
      <c r="H17" s="30" t="n">
        <v>0.195</v>
      </c>
      <c r="I17" s="30" t="n">
        <v>0.195</v>
      </c>
      <c r="J17" s="30" t="n">
        <v>0.195</v>
      </c>
      <c r="K17" s="30" t="n">
        <v>0.195</v>
      </c>
      <c r="L17" s="30" t="n">
        <v>0.195</v>
      </c>
      <c r="M17" s="30" t="n">
        <v>0.195</v>
      </c>
      <c r="N17" s="30" t="n">
        <v>0.195</v>
      </c>
      <c r="O17" s="30" t="n">
        <v>0.195</v>
      </c>
      <c r="P17" s="30" t="n">
        <v>0.195</v>
      </c>
      <c r="Q17" s="30" t="n">
        <v>0.195</v>
      </c>
      <c r="R17" s="30" t="n">
        <v>0.195</v>
      </c>
      <c r="S17" s="30" t="n">
        <f aca="false">$F$17</f>
        <v>0.193963</v>
      </c>
      <c r="T17" s="30" t="n">
        <f aca="false">$F$17</f>
        <v>0.193963</v>
      </c>
      <c r="U17" s="30" t="n">
        <f aca="false">$F$17</f>
        <v>0.193963</v>
      </c>
      <c r="V17" s="30" t="n">
        <f aca="false">$F$17</f>
        <v>0.193963</v>
      </c>
      <c r="W17" s="30" t="n">
        <f aca="false">$F$17</f>
        <v>0.193963</v>
      </c>
      <c r="X17" s="30" t="n">
        <f aca="false">$F$17</f>
        <v>0.193963</v>
      </c>
      <c r="Y17" s="30" t="n">
        <f aca="false">$F$17</f>
        <v>0.193963</v>
      </c>
      <c r="Z17" s="30" t="n">
        <f aca="false">$F$17</f>
        <v>0.193963</v>
      </c>
      <c r="AA17" s="30" t="n">
        <f aca="false">$F$17</f>
        <v>0.193963</v>
      </c>
      <c r="AB17" s="30" t="n">
        <f aca="false">$F$17</f>
        <v>0.193963</v>
      </c>
      <c r="AC17" s="30" t="n">
        <f aca="false">$F$17</f>
        <v>0.193963</v>
      </c>
      <c r="AD17" s="30" t="n">
        <f aca="false">$F$17</f>
        <v>0.193963</v>
      </c>
      <c r="AE17" s="30" t="n">
        <f aca="false">$F$17</f>
        <v>0.193963</v>
      </c>
      <c r="AF17" s="30" t="n">
        <f aca="false">$F$17</f>
        <v>0.193963</v>
      </c>
      <c r="AG17" s="30" t="n">
        <f aca="false">$F$17</f>
        <v>0.193963</v>
      </c>
      <c r="AH17" s="30" t="n">
        <f aca="false">$F$17</f>
        <v>0.193963</v>
      </c>
      <c r="AI17" s="30" t="n">
        <f aca="false">$F$17</f>
        <v>0.193963</v>
      </c>
      <c r="AJ17" s="30" t="n">
        <f aca="false">$F$17</f>
        <v>0.193963</v>
      </c>
    </row>
    <row r="18" customFormat="false" ht="15" hidden="false" customHeight="true" outlineLevel="0" collapsed="false">
      <c r="A18" s="26" t="s">
        <v>634</v>
      </c>
      <c r="C18" s="42" t="n">
        <f aca="false">INDEX(es_ni,MATCH(C$5,es_years,0))*0+INDEX(es_oiat,MATCH(C$5,es_years,0))-INDEX(es_ni,MATCH(C$5,es_years,0))</f>
        <v>1753.69380431273</v>
      </c>
      <c r="D18" s="42" t="n">
        <f aca="false">INDEX(es_ni,MATCH(D$5,es_years,0))*0+INDEX(es_oiat,MATCH(D$5,es_years,0))-INDEX(es_ni,MATCH(D$5,es_years,0))</f>
        <v>2563.89446129905</v>
      </c>
      <c r="E18" s="42" t="n">
        <f aca="false">INDEX(es_ni,MATCH(E$5,es_years,0))*0+INDEX(es_oiat,MATCH(E$5,es_years,0))-INDEX(es_ni,MATCH(E$5,es_years,0))</f>
        <v>2044.95994970202</v>
      </c>
      <c r="F18" s="42" t="n">
        <f aca="false">anchor_oi_at0-anchor_ni0</f>
        <v>2488.49490761454</v>
      </c>
      <c r="G18" s="42" t="n">
        <f aca="false">INDEX(finrate_cod,G4)*F25</f>
        <v>1181.56818308912</v>
      </c>
      <c r="H18" s="42" t="n">
        <f aca="false">INDEX(finrate_cod,H4)*G25</f>
        <v>2341.82082217808</v>
      </c>
      <c r="I18" s="42" t="n">
        <f aca="false">INDEX(finrate_cod,I4)*H25</f>
        <v>2885.09564315832</v>
      </c>
      <c r="J18" s="42" t="n">
        <f aca="false">INDEX(finrate_cod,J4)*I25</f>
        <v>3481.59880566867</v>
      </c>
      <c r="K18" s="42" t="n">
        <f aca="false">INDEX(finrate_cod,K4)*J25</f>
        <v>4123.27159895384</v>
      </c>
      <c r="L18" s="42" t="n">
        <f aca="false">INDEX(finrate_cod,L4)*K25</f>
        <v>4867.89014817981</v>
      </c>
      <c r="M18" s="42" t="n">
        <f aca="false">INDEX(finrate_cod,M4)*L25</f>
        <v>5731.22330132364</v>
      </c>
      <c r="N18" s="42" t="n">
        <f aca="false">INDEX(finrate_cod,N4)*M25</f>
        <v>6711.57653729535</v>
      </c>
      <c r="O18" s="42" t="n">
        <f aca="false">INDEX(finrate_cod,O4)*N25</f>
        <v>7746.47554643748</v>
      </c>
      <c r="P18" s="42" t="n">
        <f aca="false">INDEX(finrate_cod,P4)*O25</f>
        <v>8802.04844329057</v>
      </c>
      <c r="Q18" s="42" t="n">
        <f aca="false">INDEX(finrate_cod,Q4)*P25</f>
        <v>9900.88973184495</v>
      </c>
      <c r="R18" s="42" t="n">
        <f aca="false">INDEX(finrate_cod,R4)*Q25</f>
        <v>11023.5743164632</v>
      </c>
      <c r="S18" s="42" t="n">
        <f aca="false">INDEX(finrate_cod,S4)*R25</f>
        <v>12167.0038009752</v>
      </c>
      <c r="T18" s="26" t="n">
        <f aca="false">INDEX(finrate_cod,T4)*S25</f>
        <v>7962.30949747579</v>
      </c>
      <c r="U18" s="26" t="n">
        <f aca="false">INDEX(finrate_cod,U4)*T25</f>
        <v>8267.78548359916</v>
      </c>
      <c r="V18" s="26" t="n">
        <f aca="false">INDEX(finrate_cod,V4)*U25</f>
        <v>8528.60615944795</v>
      </c>
      <c r="W18" s="26" t="n">
        <f aca="false">INDEX(finrate_cod,W4)*V25</f>
        <v>8750.53412711411</v>
      </c>
      <c r="X18" s="26" t="n">
        <f aca="false">INDEX(finrate_cod,X4)*W25</f>
        <v>8939.58639350763</v>
      </c>
      <c r="Y18" s="26" t="n">
        <f aca="false">INDEX(finrate_cod,Y4)*X25</f>
        <v>9102.69991543442</v>
      </c>
      <c r="Z18" s="26" t="n">
        <f aca="false">INDEX(finrate_cod,Z4)*Y25</f>
        <v>9246.60197922426</v>
      </c>
      <c r="AA18" s="26" t="n">
        <f aca="false">INDEX(finrate_cod,AA4)*Z25</f>
        <v>9364.2489550791</v>
      </c>
      <c r="AB18" s="26" t="n">
        <f aca="false">INDEX(finrate_cod,AB4)*AA25</f>
        <v>9470.26465428596</v>
      </c>
      <c r="AC18" s="26" t="n">
        <f aca="false">INDEX(finrate_cod,AC4)*AB25</f>
        <v>9569.51826399381</v>
      </c>
      <c r="AD18" s="26" t="n">
        <f aca="false">INDEX(finrate_cod,AD4)*AC25</f>
        <v>9667.15354954006</v>
      </c>
      <c r="AE18" s="26" t="n">
        <f aca="false">INDEX(finrate_cod,AE4)*AD25</f>
        <v>9770.1106615604</v>
      </c>
      <c r="AF18" s="26" t="n">
        <f aca="false">INDEX(finrate_cod,AF4)*AE25</f>
        <v>9886.7969070928</v>
      </c>
      <c r="AG18" s="26" t="n">
        <f aca="false">INDEX(finrate_cod,AG4)*AF25</f>
        <v>10026.1617834159</v>
      </c>
      <c r="AH18" s="26" t="n">
        <f aca="false">INDEX(finrate_cod,AH4)*AG25</f>
        <v>10197.9922491048</v>
      </c>
      <c r="AI18" s="26" t="n">
        <f aca="false">INDEX(finrate_cod,AI4)*AH25</f>
        <v>10408.7808047171</v>
      </c>
      <c r="AJ18" s="26" t="n">
        <f aca="false">INDEX(finrate_cod,AJ4)*AI25</f>
        <v>10660.1199177594</v>
      </c>
    </row>
    <row r="19" customFormat="false" ht="15" hidden="false" customHeight="true" outlineLevel="0" collapsed="false">
      <c r="A19" s="26" t="s">
        <v>635</v>
      </c>
      <c r="C19" s="42" t="n">
        <f aca="false">INDEX(es_ni,MATCH(C$5,es_years,0))</f>
        <v>76737.1151933153</v>
      </c>
      <c r="D19" s="42" t="n">
        <f aca="false">INDEX(es_ni,MATCH(D$5,es_years,0))</f>
        <v>96459.5466260935</v>
      </c>
      <c r="E19" s="42" t="n">
        <f aca="false">INDEX(es_ni,MATCH(E$5,es_years,0))</f>
        <v>116638.732208979</v>
      </c>
      <c r="F19" s="42" t="n">
        <f aca="false">anchor_ni0</f>
        <v>135700.957010393</v>
      </c>
      <c r="G19" s="42" t="n">
        <f aca="false">G16-G18</f>
        <v>101172.118595818</v>
      </c>
      <c r="H19" s="42" t="n">
        <f aca="false">H16-H18</f>
        <v>110530.124312891</v>
      </c>
      <c r="I19" s="42" t="n">
        <f aca="false">I16-I18</f>
        <v>119359.69419598</v>
      </c>
      <c r="J19" s="42" t="n">
        <f aca="false">J16-J18</f>
        <v>127036.631263205</v>
      </c>
      <c r="K19" s="42" t="n">
        <f aca="false">K16-K18</f>
        <v>133666.598638739</v>
      </c>
      <c r="L19" s="42" t="n">
        <f aca="false">L16-L18</f>
        <v>139264.999819565</v>
      </c>
      <c r="M19" s="42" t="n">
        <f aca="false">M16-M18</f>
        <v>144056.905938089</v>
      </c>
      <c r="N19" s="42" t="n">
        <f aca="false">N16-N18</f>
        <v>148220.342511932</v>
      </c>
      <c r="O19" s="42" t="n">
        <f aca="false">O16-O18</f>
        <v>151514.476637777</v>
      </c>
      <c r="P19" s="42" t="n">
        <f aca="false">P16-P18</f>
        <v>154158.234971758</v>
      </c>
      <c r="Q19" s="42" t="n">
        <f aca="false">Q16-Q18</f>
        <v>157540.663045888</v>
      </c>
      <c r="R19" s="42" t="n">
        <f aca="false">R16-R18</f>
        <v>160728.949632039</v>
      </c>
      <c r="S19" s="42" t="n">
        <f aca="false">S16-S18</f>
        <v>49784.9416255257</v>
      </c>
      <c r="T19" s="26" t="n">
        <f aca="false">T16-T18</f>
        <v>56847.1816931004</v>
      </c>
      <c r="U19" s="26" t="n">
        <f aca="false">U16-U18</f>
        <v>57481.1280362334</v>
      </c>
      <c r="V19" s="26" t="n">
        <f aca="false">V16-V18</f>
        <v>58037.1176213757</v>
      </c>
      <c r="W19" s="26" t="n">
        <f aca="false">W16-W18</f>
        <v>59054.3643209209</v>
      </c>
      <c r="X19" s="26" t="n">
        <f aca="false">X16-X18</f>
        <v>60296.1847532694</v>
      </c>
      <c r="Y19" s="26" t="n">
        <f aca="false">Y16-Y18</f>
        <v>61798.7616067035</v>
      </c>
      <c r="Z19" s="26" t="n">
        <f aca="false">Z16-Z18</f>
        <v>63596.2368426204</v>
      </c>
      <c r="AA19" s="26" t="n">
        <f aca="false">AA16-AA18</f>
        <v>66612.9261626342</v>
      </c>
      <c r="AB19" s="26" t="n">
        <f aca="false">AB16-AB18</f>
        <v>68630.6482795119</v>
      </c>
      <c r="AC19" s="26" t="n">
        <f aca="false">AC16-AC18</f>
        <v>70768.7390434355</v>
      </c>
      <c r="AD19" s="26" t="n">
        <f aca="false">AD16-AD18</f>
        <v>73030.5455209054</v>
      </c>
      <c r="AE19" s="26" t="n">
        <f aca="false">AE16-AE18</f>
        <v>75419.2537482774</v>
      </c>
      <c r="AF19" s="26" t="n">
        <f aca="false">AF16-AF18</f>
        <v>77961.1291254854</v>
      </c>
      <c r="AG19" s="26" t="n">
        <f aca="false">AG16-AG18</f>
        <v>80618.4358477152</v>
      </c>
      <c r="AH19" s="26" t="n">
        <f aca="false">AH16-AH18</f>
        <v>83407.4514476503</v>
      </c>
      <c r="AI19" s="26" t="n">
        <f aca="false">AI16-AI18</f>
        <v>86330.4145808118</v>
      </c>
      <c r="AJ19" s="26" t="n">
        <f aca="false">AJ16-AJ18</f>
        <v>89390.7962295278</v>
      </c>
    </row>
    <row r="20" customFormat="false" ht="15" hidden="false" customHeight="true" outlineLevel="0" collapsed="false">
      <c r="A20" s="26" t="s">
        <v>636</v>
      </c>
      <c r="C20" s="43" t="n">
        <f aca="false">anchor_shares0</f>
        <v>7453</v>
      </c>
      <c r="D20" s="43" t="n">
        <f aca="false">anchor_shares0</f>
        <v>7453</v>
      </c>
      <c r="E20" s="43" t="n">
        <f aca="false">anchor_shares0</f>
        <v>7453</v>
      </c>
      <c r="F20" s="43" t="n">
        <f aca="false">anchor_shares0</f>
        <v>7453</v>
      </c>
      <c r="G20" s="43" t="n">
        <f aca="false">IF(cfg_mode="Enterprise",F20*(1-G21),F20)</f>
        <v>7378.47</v>
      </c>
      <c r="H20" s="43" t="n">
        <f aca="false">IF(cfg_mode="Enterprise",G20*(1-H21),G20)</f>
        <v>7304.6853</v>
      </c>
      <c r="I20" s="43" t="n">
        <f aca="false">IF(cfg_mode="Enterprise",H20*(1-I21),H20)</f>
        <v>7231.638447</v>
      </c>
      <c r="J20" s="43" t="n">
        <f aca="false">IF(cfg_mode="Enterprise",I20*(1-J21),I20)</f>
        <v>7159.32206253</v>
      </c>
      <c r="K20" s="43" t="n">
        <f aca="false">IF(cfg_mode="Enterprise",J20*(1-K21),J20)</f>
        <v>7087.7288419047</v>
      </c>
      <c r="L20" s="43" t="n">
        <f aca="false">IF(cfg_mode="Enterprise",K20*(1-L21),K20)</f>
        <v>7016.85155348565</v>
      </c>
      <c r="M20" s="43" t="n">
        <f aca="false">IF(cfg_mode="Enterprise",L20*(1-M21),L20)</f>
        <v>6946.6830379508</v>
      </c>
      <c r="N20" s="43" t="n">
        <f aca="false">IF(cfg_mode="Enterprise",M20*(1-N21),M20)</f>
        <v>6877.21620757129</v>
      </c>
      <c r="O20" s="43" t="n">
        <f aca="false">IF(cfg_mode="Enterprise",N20*(1-O21),N20)</f>
        <v>6808.44404549558</v>
      </c>
      <c r="P20" s="43" t="n">
        <f aca="false">IF(cfg_mode="Enterprise",O20*(1-P21),O20)</f>
        <v>6740.35960504062</v>
      </c>
      <c r="Q20" s="43" t="n">
        <f aca="false">IF(cfg_mode="Enterprise",P20*(1-Q21),P20)</f>
        <v>6672.95600899021</v>
      </c>
      <c r="R20" s="43" t="n">
        <f aca="false">IF(cfg_mode="Enterprise",Q20*(1-R21),Q20)</f>
        <v>6606.22644890031</v>
      </c>
      <c r="S20" s="43" t="n">
        <f aca="false">IF(cfg_mode="Enterprise",R20*(1-S21),R20)</f>
        <v>6408.0396554333</v>
      </c>
      <c r="T20" s="43" t="n">
        <f aca="false">IF(cfg_mode="Enterprise",S20*(1-T21),S20)</f>
        <v>6215.7984657703</v>
      </c>
      <c r="U20" s="43" t="n">
        <f aca="false">IF(cfg_mode="Enterprise",T20*(1-U21),T20)</f>
        <v>6029.32451179719</v>
      </c>
      <c r="V20" s="43" t="n">
        <f aca="false">IF(cfg_mode="Enterprise",U20*(1-V21),U20)</f>
        <v>5848.44477644328</v>
      </c>
      <c r="W20" s="43" t="n">
        <f aca="false">IF(cfg_mode="Enterprise",V20*(1-W21),V20)</f>
        <v>5672.99143314998</v>
      </c>
      <c r="X20" s="43" t="n">
        <f aca="false">IF(cfg_mode="Enterprise",W20*(1-X21),W20)</f>
        <v>5502.80169015548</v>
      </c>
      <c r="Y20" s="43" t="n">
        <f aca="false">IF(cfg_mode="Enterprise",X20*(1-Y21),X20)</f>
        <v>5337.71763945082</v>
      </c>
      <c r="Z20" s="43" t="n">
        <f aca="false">IF(cfg_mode="Enterprise",Y20*(1-Z21),Y20)</f>
        <v>5177.58611026729</v>
      </c>
      <c r="AA20" s="43" t="n">
        <f aca="false">IF(cfg_mode="Enterprise",Z20*(1-AA21),Z20)</f>
        <v>5022.25852695927</v>
      </c>
      <c r="AB20" s="43" t="n">
        <f aca="false">IF(cfg_mode="Enterprise",AA20*(1-AB21),AA20)</f>
        <v>4871.59077115049</v>
      </c>
      <c r="AC20" s="43" t="n">
        <f aca="false">IF(cfg_mode="Enterprise",AB20*(1-AC21),AB20)</f>
        <v>4725.44304801598</v>
      </c>
      <c r="AD20" s="43" t="n">
        <f aca="false">IF(cfg_mode="Enterprise",AC20*(1-AD21),AC20)</f>
        <v>4583.6797565755</v>
      </c>
      <c r="AE20" s="43" t="n">
        <f aca="false">IF(cfg_mode="Enterprise",AD20*(1-AE21),AD20)</f>
        <v>4446.16936387823</v>
      </c>
      <c r="AF20" s="43" t="n">
        <f aca="false">IF(cfg_mode="Enterprise",AE20*(1-AF21),AE20)</f>
        <v>4312.78428296189</v>
      </c>
      <c r="AG20" s="43" t="n">
        <f aca="false">IF(cfg_mode="Enterprise",AF20*(1-AG21),AF20)</f>
        <v>4183.40075447303</v>
      </c>
      <c r="AH20" s="43" t="n">
        <f aca="false">IF(cfg_mode="Enterprise",AG20*(1-AH21),AG20)</f>
        <v>4057.89873183884</v>
      </c>
      <c r="AI20" s="43" t="n">
        <f aca="false">IF(cfg_mode="Enterprise",AH20*(1-AI21),AH20)</f>
        <v>3936.16176988367</v>
      </c>
      <c r="AJ20" s="43" t="n">
        <f aca="false">IF(cfg_mode="Enterprise",AI20*(1-AJ21),AI20)</f>
        <v>3818.07691678716</v>
      </c>
    </row>
    <row r="21" customFormat="false" ht="15" hidden="false" customHeight="true" outlineLevel="0" collapsed="false">
      <c r="A21" s="26" t="s">
        <v>637</v>
      </c>
      <c r="G21" s="30" t="n">
        <v>0.01</v>
      </c>
      <c r="H21" s="30" t="n">
        <v>0.01</v>
      </c>
      <c r="I21" s="30" t="n">
        <v>0.01</v>
      </c>
      <c r="J21" s="30" t="n">
        <v>0.01</v>
      </c>
      <c r="K21" s="30" t="n">
        <v>0.01</v>
      </c>
      <c r="L21" s="30" t="n">
        <v>0.01</v>
      </c>
      <c r="M21" s="30" t="n">
        <v>0.01</v>
      </c>
      <c r="N21" s="30" t="n">
        <v>0.01</v>
      </c>
      <c r="O21" s="30" t="n">
        <v>0.01</v>
      </c>
      <c r="P21" s="30" t="n">
        <v>0.01</v>
      </c>
      <c r="Q21" s="30" t="n">
        <v>0.01</v>
      </c>
      <c r="R21" s="30" t="n">
        <v>0.01</v>
      </c>
      <c r="S21" s="30" t="n">
        <f aca="false">INDEX(scen_buyback,MATCH(cfg_scenario,scen_cols,0))</f>
        <v>0.03</v>
      </c>
      <c r="T21" s="30" t="n">
        <f aca="false">INDEX(scen_buyback,MATCH(cfg_scenario,scen_cols,0))</f>
        <v>0.03</v>
      </c>
      <c r="U21" s="30" t="n">
        <f aca="false">INDEX(scen_buyback,MATCH(cfg_scenario,scen_cols,0))</f>
        <v>0.03</v>
      </c>
      <c r="V21" s="30" t="n">
        <f aca="false">INDEX(scen_buyback,MATCH(cfg_scenario,scen_cols,0))</f>
        <v>0.03</v>
      </c>
      <c r="W21" s="30" t="n">
        <f aca="false">INDEX(scen_buyback,MATCH(cfg_scenario,scen_cols,0))</f>
        <v>0.03</v>
      </c>
      <c r="X21" s="30" t="n">
        <f aca="false">INDEX(scen_buyback,MATCH(cfg_scenario,scen_cols,0))</f>
        <v>0.03</v>
      </c>
      <c r="Y21" s="30" t="n">
        <f aca="false">INDEX(scen_buyback,MATCH(cfg_scenario,scen_cols,0))</f>
        <v>0.03</v>
      </c>
      <c r="Z21" s="30" t="n">
        <f aca="false">INDEX(scen_buyback,MATCH(cfg_scenario,scen_cols,0))</f>
        <v>0.03</v>
      </c>
      <c r="AA21" s="30" t="n">
        <f aca="false">INDEX(scen_buyback,MATCH(cfg_scenario,scen_cols,0))</f>
        <v>0.03</v>
      </c>
      <c r="AB21" s="30" t="n">
        <f aca="false">INDEX(scen_buyback,MATCH(cfg_scenario,scen_cols,0))</f>
        <v>0.03</v>
      </c>
      <c r="AC21" s="30" t="n">
        <f aca="false">INDEX(scen_buyback,MATCH(cfg_scenario,scen_cols,0))</f>
        <v>0.03</v>
      </c>
      <c r="AD21" s="30" t="n">
        <f aca="false">INDEX(scen_buyback,MATCH(cfg_scenario,scen_cols,0))</f>
        <v>0.03</v>
      </c>
      <c r="AE21" s="30" t="n">
        <f aca="false">INDEX(scen_buyback,MATCH(cfg_scenario,scen_cols,0))</f>
        <v>0.03</v>
      </c>
      <c r="AF21" s="30" t="n">
        <f aca="false">INDEX(scen_buyback,MATCH(cfg_scenario,scen_cols,0))</f>
        <v>0.03</v>
      </c>
      <c r="AG21" s="30" t="n">
        <f aca="false">INDEX(scen_buyback,MATCH(cfg_scenario,scen_cols,0))</f>
        <v>0.03</v>
      </c>
      <c r="AH21" s="30" t="n">
        <f aca="false">INDEX(scen_buyback,MATCH(cfg_scenario,scen_cols,0))</f>
        <v>0.03</v>
      </c>
      <c r="AI21" s="30" t="n">
        <f aca="false">INDEX(scen_buyback,MATCH(cfg_scenario,scen_cols,0))</f>
        <v>0.03</v>
      </c>
      <c r="AJ21" s="30" t="n">
        <f aca="false">INDEX(scen_buyback,MATCH(cfg_scenario,scen_cols,0))</f>
        <v>0.03</v>
      </c>
    </row>
    <row r="22" customFormat="false" ht="15" hidden="false" customHeight="true" outlineLevel="0" collapsed="false">
      <c r="A22" s="26" t="s">
        <v>638</v>
      </c>
      <c r="C22" s="42" t="n">
        <f aca="false">INDEX(es_ppe,MATCH(C$5,es_years,0))</f>
        <v>112752.391971755</v>
      </c>
      <c r="D22" s="42" t="n">
        <f aca="false">INDEX(es_ppe,MATCH(D$5,es_years,0))</f>
        <v>143377.902053614</v>
      </c>
      <c r="E22" s="42" t="n">
        <f aca="false">INDEX(es_ppe,MATCH(E$5,es_years,0))</f>
        <v>189952.10955587</v>
      </c>
      <c r="F22" s="42" t="n">
        <f aca="false">anchor_real_net_ppe</f>
        <v>165316.109248531</v>
      </c>
      <c r="G22" s="42" t="n">
        <f aca="false">F22+G23-G13</f>
        <v>143771.881028727</v>
      </c>
      <c r="H22" s="42" t="n">
        <f aca="false">G22+H23-H13</f>
        <v>124931.624265736</v>
      </c>
      <c r="I22" s="42" t="n">
        <f aca="false">H22+I23-I13</f>
        <v>108456.651982217</v>
      </c>
      <c r="J22" s="42" t="n">
        <f aca="false">I22+J23-J13</f>
        <v>94050.7886992043</v>
      </c>
      <c r="K22" s="42" t="n">
        <f aca="false">J22+K23-K13</f>
        <v>81454.81763568</v>
      </c>
      <c r="L22" s="42" t="n">
        <f aca="false">K22+L23-L13</f>
        <v>70441.9595911465</v>
      </c>
      <c r="M22" s="42" t="n">
        <f aca="false">L22+M23-M13</f>
        <v>60813.1922286931</v>
      </c>
      <c r="N22" s="42" t="n">
        <f aca="false">M22+N23-N13</f>
        <v>52393.9688024255</v>
      </c>
      <c r="O22" s="42" t="n">
        <f aca="false">N22+O23-O13</f>
        <v>45031.4420827657</v>
      </c>
      <c r="P22" s="42" t="n">
        <f aca="false">O22+P23-P13</f>
        <v>38591.777073066</v>
      </c>
      <c r="Q22" s="42" t="n">
        <f aca="false">P22+Q23-Q13</f>
        <v>32957.6558293702</v>
      </c>
      <c r="R22" s="42" t="n">
        <f aca="false">Q22+R23-R13</f>
        <v>28026.7438772923</v>
      </c>
      <c r="S22" s="42" t="n">
        <f aca="false">R22+S23-S13</f>
        <v>23702.5505612232</v>
      </c>
      <c r="T22" s="26" t="n">
        <f aca="false">S22+T23-T13</f>
        <v>19907.073883844</v>
      </c>
      <c r="U22" s="26" t="n">
        <f aca="false">T22+U23-U13</f>
        <v>16572.2359811012</v>
      </c>
      <c r="V22" s="26" t="n">
        <f aca="false">U22+V23-V13</f>
        <v>13638.6173859746</v>
      </c>
      <c r="W22" s="26" t="n">
        <f aca="false">V22+W23-W13</f>
        <v>11054.3526327293</v>
      </c>
      <c r="X22" s="26" t="n">
        <f aca="false">W22+X23-X13</f>
        <v>8774.16663316265</v>
      </c>
      <c r="Y22" s="26" t="n">
        <f aca="false">X22+Y23-Y13</f>
        <v>6758.53387844395</v>
      </c>
      <c r="Z22" s="26" t="n">
        <f aca="false">Y22+Z23-Z13</f>
        <v>4972.94480796633</v>
      </c>
      <c r="AA22" s="26" t="n">
        <f aca="false">Z22+AA23-AA13</f>
        <v>3387.26568279782</v>
      </c>
      <c r="AB22" s="26" t="n">
        <f aca="false">AA22+AB23-AB13</f>
        <v>1975.18004300683</v>
      </c>
      <c r="AC22" s="26" t="n">
        <f aca="false">AB22+AC23-AC13</f>
        <v>713.701347794623</v>
      </c>
      <c r="AD22" s="26" t="n">
        <f aca="false">AC22+AD23-AD13</f>
        <v>-417.25227670566</v>
      </c>
      <c r="AE22" s="26" t="n">
        <f aca="false">AD22+AE23-AE13</f>
        <v>-1435.22910020847</v>
      </c>
      <c r="AF22" s="26" t="n">
        <f aca="false">AE22+AF23-AF13</f>
        <v>-2355.56757046714</v>
      </c>
      <c r="AG22" s="26" t="n">
        <f aca="false">AF22+AG23-AG13</f>
        <v>-3191.67884298063</v>
      </c>
      <c r="AH22" s="26" t="n">
        <f aca="false">AG22+AH23-AH13</f>
        <v>-3955.29331786746</v>
      </c>
      <c r="AI22" s="26" t="n">
        <f aca="false">AH22+AI23-AI13</f>
        <v>-4656.67577307034</v>
      </c>
      <c r="AJ22" s="26" t="n">
        <f aca="false">AI22+AJ23-AJ13</f>
        <v>-5304.81309804299</v>
      </c>
    </row>
    <row r="23" customFormat="false" ht="15" hidden="false" customHeight="true" outlineLevel="0" collapsed="false">
      <c r="A23" s="26" t="s">
        <v>639</v>
      </c>
      <c r="G23" s="42" t="n">
        <f aca="false">G36*G7</f>
        <v>-469.449112512805</v>
      </c>
      <c r="H23" s="42" t="n">
        <f aca="false">H36*H7</f>
        <v>-511.972554674133</v>
      </c>
      <c r="I23" s="42" t="n">
        <f aca="false">I36*I7</f>
        <v>-548.476088540046</v>
      </c>
      <c r="J23" s="42" t="n">
        <f aca="false">J36*J7</f>
        <v>-579.624608321015</v>
      </c>
      <c r="K23" s="42" t="n">
        <f aca="false">K36*K7</f>
        <v>-606.216370456675</v>
      </c>
      <c r="L23" s="42" t="n">
        <f aca="false">L36*L7</f>
        <v>-628.859191064912</v>
      </c>
      <c r="M23" s="42" t="n">
        <f aca="false">M36*M7</f>
        <v>-648.706405197708</v>
      </c>
      <c r="N23" s="42" t="n">
        <f aca="false">N36*N7</f>
        <v>-666.654128243573</v>
      </c>
      <c r="O23" s="42" t="n">
        <f aca="false">O36*O7</f>
        <v>-683.254360270967</v>
      </c>
      <c r="P23" s="42" t="n">
        <f aca="false">P36*P7</f>
        <v>-698.980093444315</v>
      </c>
      <c r="Q23" s="42" t="n">
        <f aca="false">Q36*Q7</f>
        <v>-714.375788339211</v>
      </c>
      <c r="R23" s="42" t="n">
        <f aca="false">R36*R7</f>
        <v>-729.413866649921</v>
      </c>
      <c r="S23" s="42" t="n">
        <f aca="false">S36*S7</f>
        <v>-751.296282649419</v>
      </c>
      <c r="T23" s="26" t="n">
        <f aca="false">T36*T7</f>
        <v>-773.835171128902</v>
      </c>
      <c r="U23" s="26" t="n">
        <f aca="false">U36*U7</f>
        <v>-797.050226262769</v>
      </c>
      <c r="V23" s="26" t="n">
        <f aca="false">V36*V7</f>
        <v>-820.961733050652</v>
      </c>
      <c r="W23" s="26" t="n">
        <f aca="false">W36*W7</f>
        <v>-845.590585042171</v>
      </c>
      <c r="X23" s="26" t="n">
        <f aca="false">X36*X7</f>
        <v>-870.958302593436</v>
      </c>
      <c r="Y23" s="26" t="n">
        <f aca="false">Y36*Y7</f>
        <v>-897.08705167124</v>
      </c>
      <c r="Z23" s="26" t="n">
        <f aca="false">Z36*Z7</f>
        <v>-923.999663221377</v>
      </c>
      <c r="AA23" s="26" t="n">
        <f aca="false">AA36*AA7</f>
        <v>-951.719653118018</v>
      </c>
      <c r="AB23" s="26" t="n">
        <f aca="false">AB36*AB7</f>
        <v>-980.271242711559</v>
      </c>
      <c r="AC23" s="26" t="n">
        <f aca="false">AC36*AC7</f>
        <v>-1009.67937999291</v>
      </c>
      <c r="AD23" s="26" t="n">
        <f aca="false">AD36*AD7</f>
        <v>-1039.96976139269</v>
      </c>
      <c r="AE23" s="26" t="n">
        <f aca="false">AE36*AE7</f>
        <v>-1071.16885423447</v>
      </c>
      <c r="AF23" s="26" t="n">
        <f aca="false">AF36*AF7</f>
        <v>-1103.30391986151</v>
      </c>
      <c r="AG23" s="26" t="n">
        <f aca="false">AG36*AG7</f>
        <v>-1136.40303745735</v>
      </c>
      <c r="AH23" s="26" t="n">
        <f aca="false">AH36*AH7</f>
        <v>-1170.49512858107</v>
      </c>
      <c r="AI23" s="26" t="n">
        <f aca="false">AI36*AI7</f>
        <v>-1205.60998243851</v>
      </c>
      <c r="AJ23" s="26" t="n">
        <f aca="false">AJ36*AJ7</f>
        <v>-1241.77828191166</v>
      </c>
    </row>
    <row r="24" customFormat="false" ht="15" hidden="false" customHeight="true" outlineLevel="0" collapsed="false">
      <c r="A24" s="26" t="s">
        <v>640</v>
      </c>
      <c r="C24" s="42" t="n">
        <f aca="false">INDEX(es_noa,MATCH(C$5,es_years,0))</f>
        <v>162178.035705633</v>
      </c>
      <c r="D24" s="42" t="n">
        <f aca="false">INDEX(es_noa,MATCH(D$5,es_years,0))</f>
        <v>256109.027732232</v>
      </c>
      <c r="E24" s="42" t="n">
        <f aca="false">INDEX(es_noa,MATCH(E$5,es_years,0))</f>
        <v>272938.883391612</v>
      </c>
      <c r="F24" s="42" t="n">
        <f aca="false">anchor_real_noa0</f>
        <v>324285.613795854</v>
      </c>
      <c r="G24" s="42" t="n">
        <f aca="false">IF(cfg_mode="Enterprise",F24*(1+G50),G27+G25)</f>
        <v>390540.299304144</v>
      </c>
      <c r="H24" s="42" t="n">
        <f aca="false">IF(cfg_mode="Enterprise",G24*(1+H50),H27+H25)</f>
        <v>456238.223843527</v>
      </c>
      <c r="I24" s="42" t="n">
        <f aca="false">IF(cfg_mode="Enterprise",H24*(1+I50),I27+I25)</f>
        <v>520766.883796171</v>
      </c>
      <c r="J24" s="42" t="n">
        <f aca="false">IF(cfg_mode="Enterprise",I24*(1+J50),J27+J25)</f>
        <v>584073.525909732</v>
      </c>
      <c r="K24" s="42" t="n">
        <f aca="false">IF(cfg_mode="Enterprise",J24*(1+K50),K27+K25)</f>
        <v>646462.209144919</v>
      </c>
      <c r="L24" s="42" t="n">
        <f aca="false">IF(cfg_mode="Enterprise",K24*(1+L50),L27+L25)</f>
        <v>708226.065672463</v>
      </c>
      <c r="M24" s="42" t="n">
        <f aca="false">IF(cfg_mode="Enterprise",L24*(1+M50),M27+M25)</f>
        <v>770429.124207038</v>
      </c>
      <c r="N24" s="42" t="n">
        <f aca="false">IF(cfg_mode="Enterprise",M24*(1+N50),N27+N25)</f>
        <v>834062.117889303</v>
      </c>
      <c r="O24" s="42" t="n">
        <f aca="false">IF(cfg_mode="Enterprise",N24*(1+O50),O27+O25)</f>
        <v>899859.754390784</v>
      </c>
      <c r="P24" s="42" t="n">
        <f aca="false">IF(cfg_mode="Enterprise",O24*(1+P50),P27+P25)</f>
        <v>968563.124096655</v>
      </c>
      <c r="Q24" s="42" t="n">
        <f aca="false">IF(cfg_mode="Enterprise",P24*(1+Q50),Q27+Q25)</f>
        <v>1041131.97680299</v>
      </c>
      <c r="R24" s="42" t="n">
        <f aca="false">IF(cfg_mode="Enterprise",Q24*(1+R50),R27+R25)</f>
        <v>1117788.02183757</v>
      </c>
      <c r="S24" s="42" t="n">
        <f aca="false">IF(cfg_mode="Enterprise",R24*(1+S50),S27+S25)</f>
        <v>1145732.72238351</v>
      </c>
      <c r="T24" s="26" t="n">
        <f aca="false">IF(cfg_mode="Enterprise",S24*(1+T50),T27+T25)</f>
        <v>1174376.0404431</v>
      </c>
      <c r="U24" s="26" t="n">
        <f aca="false">IF(cfg_mode="Enterprise",T24*(1+U50),U27+U25)</f>
        <v>1203735.44145418</v>
      </c>
      <c r="V24" s="26" t="n">
        <f aca="false">IF(cfg_mode="Enterprise",U24*(1+V50),V27+V25)</f>
        <v>1233828.82749053</v>
      </c>
      <c r="W24" s="26" t="n">
        <f aca="false">IF(cfg_mode="Enterprise",V24*(1+W50),W27+W25)</f>
        <v>1264674.5481778</v>
      </c>
      <c r="X24" s="26" t="n">
        <f aca="false">IF(cfg_mode="Enterprise",W24*(1+X50),X27+X25)</f>
        <v>1296291.41188224</v>
      </c>
      <c r="Y24" s="26" t="n">
        <f aca="false">IF(cfg_mode="Enterprise",X24*(1+Y50),Y27+Y25)</f>
        <v>1328698.6971793</v>
      </c>
      <c r="Z24" s="26" t="n">
        <f aca="false">IF(cfg_mode="Enterprise",Y24*(1+Z50),Z27+Z25)</f>
        <v>1361916.16460878</v>
      </c>
      <c r="AA24" s="26" t="n">
        <f aca="false">IF(cfg_mode="Enterprise",Z24*(1+AA50),AA27+AA25)</f>
        <v>1395964.068724</v>
      </c>
      <c r="AB24" s="26" t="n">
        <f aca="false">IF(cfg_mode="Enterprise",AA24*(1+AB50),AB27+AB25)</f>
        <v>1430863.1704421</v>
      </c>
      <c r="AC24" s="26" t="n">
        <f aca="false">IF(cfg_mode="Enterprise",AB24*(1+AC50),AC27+AC25)</f>
        <v>1466634.74970315</v>
      </c>
      <c r="AD24" s="26" t="n">
        <f aca="false">IF(cfg_mode="Enterprise",AC24*(1+AD50),AD27+AD25)</f>
        <v>1503300.61844573</v>
      </c>
      <c r="AE24" s="26" t="n">
        <f aca="false">IF(cfg_mode="Enterprise",AD24*(1+AE50),AE27+AE25)</f>
        <v>1540883.13390687</v>
      </c>
      <c r="AF24" s="26" t="n">
        <f aca="false">IF(cfg_mode="Enterprise",AE24*(1+AF50),AF27+AF25)</f>
        <v>1579405.21225454</v>
      </c>
      <c r="AG24" s="26" t="n">
        <f aca="false">IF(cfg_mode="Enterprise",AF24*(1+AG50),AG27+AG25)</f>
        <v>1618890.34256091</v>
      </c>
      <c r="AH24" s="26" t="n">
        <f aca="false">IF(cfg_mode="Enterprise",AG24*(1+AH50),AH27+AH25)</f>
        <v>1659362.60112493</v>
      </c>
      <c r="AI24" s="26" t="n">
        <f aca="false">IF(cfg_mode="Enterprise",AH24*(1+AI50),AI27+AI25)</f>
        <v>1700846.66615305</v>
      </c>
      <c r="AJ24" s="26" t="n">
        <f aca="false">IF(cfg_mode="Enterprise",AI24*(1+AJ50),AJ27+AJ25)</f>
        <v>1743367.83280688</v>
      </c>
    </row>
    <row r="25" customFormat="false" ht="15" hidden="false" customHeight="true" outlineLevel="0" collapsed="false">
      <c r="A25" s="23" t="s">
        <v>641</v>
      </c>
      <c r="C25" s="42" t="n">
        <f aca="false">INDEX(es_nfo,MATCH(C$5,es_years,0))</f>
        <v>-56418.4171124574</v>
      </c>
      <c r="D25" s="42" t="n">
        <f aca="false">INDEX(es_nfo,MATCH(D$5,es_years,0))</f>
        <v>-8978.23542425778</v>
      </c>
      <c r="E25" s="42" t="n">
        <f aca="false">INDEX(es_nfo,MATCH(E$5,es_years,0))</f>
        <v>-35357.5724305234</v>
      </c>
      <c r="F25" s="42" t="n">
        <f aca="false">anchor_real_nfo0</f>
        <v>52583.9261833313</v>
      </c>
      <c r="G25" s="42" t="n">
        <f aca="false">IF(cfg_mode="Enterprise",IF(cfg_funding="Target FLEV",G24*G51/(1+G51),F25+G51*(G24-F24)),G51*G27)</f>
        <v>101251.188708482</v>
      </c>
      <c r="H25" s="42" t="n">
        <f aca="false">IF(cfg_mode="Enterprise",IF(cfg_funding="Target FLEV",H24*H51/(1+H51),G25+H51*(H24-G24)),H51*H27)</f>
        <v>118283.983959433</v>
      </c>
      <c r="I25" s="42" t="n">
        <f aca="false">IF(cfg_mode="Enterprise",IF(cfg_funding="Target FLEV",I24*I51/(1+I51),H25+I51*(I24-H24)),I51*I27)</f>
        <v>135013.636539748</v>
      </c>
      <c r="J25" s="42" t="n">
        <f aca="false">IF(cfg_mode="Enterprise",IF(cfg_funding="Target FLEV",J24*J51/(1+J51),I25+J51*(J24-I24)),J51*J27)</f>
        <v>151426.469680301</v>
      </c>
      <c r="K25" s="42" t="n">
        <f aca="false">IF(cfg_mode="Enterprise",IF(cfg_funding="Target FLEV",K24*K51/(1+K51),J25+K51*(K24-J24)),K51*K27)</f>
        <v>167601.313482016</v>
      </c>
      <c r="L25" s="42" t="n">
        <f aca="false">IF(cfg_mode="Enterprise",IF(cfg_funding="Target FLEV",L24*L51/(1+L51),K25+L51*(L24-K24)),L51*L27)</f>
        <v>183614.165174342</v>
      </c>
      <c r="M25" s="42" t="n">
        <f aca="false">IF(cfg_mode="Enterprise",IF(cfg_funding="Target FLEV",M24*M51/(1+M51),L25+M51*(M24-L24)),M51*M27)</f>
        <v>199740.884053676</v>
      </c>
      <c r="N25" s="42" t="n">
        <f aca="false">IF(cfg_mode="Enterprise",IF(cfg_funding="Target FLEV",N24*N51/(1+N51),M25+N51*(N24-M24)),N51*N27)</f>
        <v>216238.32686019</v>
      </c>
      <c r="O25" s="42" t="n">
        <f aca="false">IF(cfg_mode="Enterprise",IF(cfg_funding="Target FLEV",O24*O51/(1+O51),N25+O51*(O24-N24)),O51*O27)</f>
        <v>233296.973360574</v>
      </c>
      <c r="P25" s="42" t="n">
        <f aca="false">IF(cfg_mode="Enterprise",IF(cfg_funding="Target FLEV",P24*P51/(1+P51),O25+P51*(P24-O24)),P51*P27)</f>
        <v>251108.958099133</v>
      </c>
      <c r="Q25" s="42" t="n">
        <f aca="false">IF(cfg_mode="Enterprise",IF(cfg_funding="Target FLEV",Q24*Q51/(1+Q51),P25+Q51*(Q24-P24)),Q51*Q27)</f>
        <v>269923.105097072</v>
      </c>
      <c r="R25" s="42" t="n">
        <f aca="false">IF(cfg_mode="Enterprise",IF(cfg_funding="Target FLEV",R24*R51/(1+R51),Q25+R51*(R24-Q24)),R51*R27)</f>
        <v>289796.894550482</v>
      </c>
      <c r="S25" s="42" t="n">
        <f aca="false">IF(cfg_mode="Enterprise",IF(cfg_funding="Target FLEV",S24*S51/(1+S51),R25+S51*(S24-R24)),S51*S27)</f>
        <v>185784.143164516</v>
      </c>
      <c r="T25" s="26" t="n">
        <f aca="false">IF(cfg_mode="Enterprise",IF(cfg_funding="Target FLEV",T24*T51/(1+T51),S25+T51*(T24-S24)),T51*T27)</f>
        <v>190428.746743629</v>
      </c>
      <c r="U25" s="26" t="n">
        <f aca="false">IF(cfg_mode="Enterprise",IF(cfg_funding="Target FLEV",U24*U51/(1+U51),T25+U51*(U24-T24)),U51*U27)</f>
        <v>195189.46541222</v>
      </c>
      <c r="V25" s="26" t="n">
        <f aca="false">IF(cfg_mode="Enterprise",IF(cfg_funding="Target FLEV",V24*V51/(1+V51),U25+V51*(V24-U24)),V51*V27)</f>
        <v>200069.202047525</v>
      </c>
      <c r="W25" s="26" t="n">
        <f aca="false">IF(cfg_mode="Enterprise",IF(cfg_funding="Target FLEV",W24*W51/(1+W51),V25+W51*(W24-V24)),W51*W27)</f>
        <v>205070.932098713</v>
      </c>
      <c r="X25" s="26" t="n">
        <f aca="false">IF(cfg_mode="Enterprise",IF(cfg_funding="Target FLEV",X24*X51/(1+X51),W25+X51*(X24-W24)),X51*X27)</f>
        <v>210197.705401181</v>
      </c>
      <c r="Y25" s="26" t="n">
        <f aca="false">IF(cfg_mode="Enterprise",IF(cfg_funding="Target FLEV",Y24*Y51/(1+Y51),X25+Y51*(Y24-X24)),Y51*Y27)</f>
        <v>215452.648036211</v>
      </c>
      <c r="Z25" s="26" t="n">
        <f aca="false">IF(cfg_mode="Enterprise",IF(cfg_funding="Target FLEV",Z24*Z51/(1+Z51),Y25+Z51*(Z24-Y24)),Z51*Z27)</f>
        <v>220838.964237116</v>
      </c>
      <c r="AA25" s="26" t="n">
        <f aca="false">IF(cfg_mode="Enterprise",IF(cfg_funding="Target FLEV",AA24*AA51/(1+AA51),Z25+AA51*(AA24-Z24)),AA51*AA27)</f>
        <v>226359.938343044</v>
      </c>
      <c r="AB25" s="26" t="n">
        <f aca="false">IF(cfg_mode="Enterprise",IF(cfg_funding="Target FLEV",AB24*AB51/(1+AB51),AA25+AB51*(AB24-AA24)),AB51*AB27)</f>
        <v>232018.93680162</v>
      </c>
      <c r="AC25" s="26" t="n">
        <f aca="false">IF(cfg_mode="Enterprise",IF(cfg_funding="Target FLEV",AC24*AC51/(1+AC51),AB25+AC51*(AC24-AB24)),AC51*AC27)</f>
        <v>237819.41022166</v>
      </c>
      <c r="AD25" s="26" t="n">
        <f aca="false">IF(cfg_mode="Enterprise",IF(cfg_funding="Target FLEV",AD24*AD51/(1+AD51),AC25+AD51*(AD24-AC24)),AD51*AD27)</f>
        <v>243764.895477202</v>
      </c>
      <c r="AE25" s="26" t="n">
        <f aca="false">IF(cfg_mode="Enterprise",IF(cfg_funding="Target FLEV",AE24*AE51/(1+AE51),AD25+AE51*(AE24-AD24)),AE51*AE27)</f>
        <v>249859.017864132</v>
      </c>
      <c r="AF25" s="26" t="n">
        <f aca="false">IF(cfg_mode="Enterprise",IF(cfg_funding="Target FLEV",AF24*AF51/(1+AF51),AE25+AF51*(AF24-AE24)),AF51*AF27)</f>
        <v>256105.493310735</v>
      </c>
      <c r="AG25" s="26" t="n">
        <f aca="false">IF(cfg_mode="Enterprise",IF(cfg_funding="Target FLEV",AG24*AG51/(1+AG51),AF25+AG51*(AG24-AF24)),AG51*AG27)</f>
        <v>262508.130643504</v>
      </c>
      <c r="AH25" s="26" t="n">
        <f aca="false">IF(cfg_mode="Enterprise",IF(cfg_funding="Target FLEV",AH24*AH51/(1+AH51),AG25+AH51*(AH24-AG24)),AH51*AH27)</f>
        <v>269070.833909591</v>
      </c>
      <c r="AI25" s="26" t="n">
        <f aca="false">IF(cfg_mode="Enterprise",IF(cfg_funding="Target FLEV",AI24*AI51/(1+AI51),AH25+AI51*(AI24-AH24)),AI51*AI27)</f>
        <v>275797.604757331</v>
      </c>
      <c r="AJ25" s="26" t="n">
        <f aca="false">IF(cfg_mode="Enterprise",IF(cfg_funding="Target FLEV",AJ24*AJ51/(1+AJ51),AI25+AJ51*(AJ24-AI24)),AJ51*AJ27)</f>
        <v>282692.544876264</v>
      </c>
    </row>
    <row r="27" customFormat="false" ht="15" hidden="false" customHeight="true" outlineLevel="0" collapsed="false">
      <c r="A27" s="26" t="s">
        <v>642</v>
      </c>
      <c r="C27" s="42" t="n">
        <f aca="false">INDEX(es_cse,MATCH(C$5,es_years,0))</f>
        <v>218596.45281809</v>
      </c>
      <c r="D27" s="42" t="n">
        <f aca="false">INDEX(es_cse,MATCH(D$5,es_years,0))</f>
        <v>265087.263156489</v>
      </c>
      <c r="E27" s="42" t="n">
        <f aca="false">INDEX(es_cse,MATCH(E$5,es_years,0))</f>
        <v>308296.455822135</v>
      </c>
      <c r="F27" s="42" t="n">
        <f aca="false">anchor_real_cse0</f>
        <v>271701.687612523</v>
      </c>
      <c r="G27" s="42" t="n">
        <f aca="false">IF(cfg_mode="Enterprise",G24-G25,F27+G19-G29*G20-G31)</f>
        <v>289289.110595663</v>
      </c>
      <c r="H27" s="42" t="n">
        <f aca="false">IF(cfg_mode="Enterprise",H24-H25,G27+H19-H29*H20-H31)</f>
        <v>337954.239884094</v>
      </c>
      <c r="I27" s="42" t="n">
        <f aca="false">IF(cfg_mode="Enterprise",I24-I25,H27+I19-I29*I20-I31)</f>
        <v>385753.247256423</v>
      </c>
      <c r="J27" s="42" t="n">
        <f aca="false">IF(cfg_mode="Enterprise",J24-J25,I27+J19-J29*J20-J31)</f>
        <v>432647.056229431</v>
      </c>
      <c r="K27" s="42" t="n">
        <f aca="false">IF(cfg_mode="Enterprise",K24-K25,J27+K19-K29*K20-K31)</f>
        <v>478860.895662903</v>
      </c>
      <c r="L27" s="42" t="n">
        <f aca="false">IF(cfg_mode="Enterprise",L24-L25,K27+L19-L29*L20-L31)</f>
        <v>524611.900498121</v>
      </c>
      <c r="M27" s="42" t="n">
        <f aca="false">IF(cfg_mode="Enterprise",M24-M25,L27+M19-M29*M20-M31)</f>
        <v>570688.240153361</v>
      </c>
      <c r="N27" s="42" t="n">
        <f aca="false">IF(cfg_mode="Enterprise",N24-N25,M27+N19-N29*N20-N31)</f>
        <v>617823.791029113</v>
      </c>
      <c r="O27" s="42" t="n">
        <f aca="false">IF(cfg_mode="Enterprise",O24-O25,N27+O19-O29*O20-O31)</f>
        <v>666562.78103021</v>
      </c>
      <c r="P27" s="42" t="n">
        <f aca="false">IF(cfg_mode="Enterprise",P24-P25,O27+P19-P29*P20-P31)</f>
        <v>717454.165997522</v>
      </c>
      <c r="Q27" s="42" t="n">
        <f aca="false">IF(cfg_mode="Enterprise",Q24-Q25,P27+Q19-Q29*Q20-Q31)</f>
        <v>771208.871705921</v>
      </c>
      <c r="R27" s="42" t="n">
        <f aca="false">IF(cfg_mode="Enterprise",R24-R25,Q27+R19-R29*R20-R31)</f>
        <v>827991.127287092</v>
      </c>
      <c r="S27" s="42" t="n">
        <f aca="false">IF(cfg_mode="Enterprise",S24-S25,R27+S19-S29*S20-S31)</f>
        <v>959948.579218997</v>
      </c>
      <c r="T27" s="26" t="n">
        <f aca="false">IF(cfg_mode="Enterprise",T24-T25,S27+T19-T29*T20-T31)</f>
        <v>983947.293699472</v>
      </c>
      <c r="U27" s="26" t="n">
        <f aca="false">IF(cfg_mode="Enterprise",U24-U25,T27+U19-U29*U20-U31)</f>
        <v>1008545.97604196</v>
      </c>
      <c r="V27" s="26" t="n">
        <f aca="false">IF(cfg_mode="Enterprise",V24-V25,U27+V19-V29*V20-V31)</f>
        <v>1033759.62544301</v>
      </c>
      <c r="W27" s="26" t="n">
        <f aca="false">IF(cfg_mode="Enterprise",W24-W25,V27+W19-W29*W20-W31)</f>
        <v>1059603.61607908</v>
      </c>
      <c r="X27" s="26" t="n">
        <f aca="false">IF(cfg_mode="Enterprise",X24-X25,W27+X19-X29*X20-X31)</f>
        <v>1086093.70648106</v>
      </c>
      <c r="Y27" s="26" t="n">
        <f aca="false">IF(cfg_mode="Enterprise",Y24-Y25,X27+Y19-Y29*Y20-Y31)</f>
        <v>1113246.04914309</v>
      </c>
      <c r="Z27" s="26" t="n">
        <f aca="false">IF(cfg_mode="Enterprise",Z24-Z25,Y27+Z19-Z29*Z20-Z31)</f>
        <v>1141077.20037166</v>
      </c>
      <c r="AA27" s="26" t="n">
        <f aca="false">IF(cfg_mode="Enterprise",AA24-AA25,Z27+AA19-AA29*AA20-AA31)</f>
        <v>1169604.13038095</v>
      </c>
      <c r="AB27" s="26" t="n">
        <f aca="false">IF(cfg_mode="Enterprise",AB24-AB25,AA27+AB19-AB29*AB20-AB31)</f>
        <v>1198844.23364048</v>
      </c>
      <c r="AC27" s="26" t="n">
        <f aca="false">IF(cfg_mode="Enterprise",AC24-AC25,AB27+AC19-AC29*AC20-AC31)</f>
        <v>1228815.33948149</v>
      </c>
      <c r="AD27" s="26" t="n">
        <f aca="false">IF(cfg_mode="Enterprise",AD24-AD25,AC27+AD19-AD29*AD20-AD31)</f>
        <v>1259535.72296853</v>
      </c>
      <c r="AE27" s="26" t="n">
        <f aca="false">IF(cfg_mode="Enterprise",AE24-AE25,AD27+AE19-AE29*AE20-AE31)</f>
        <v>1291024.11604274</v>
      </c>
      <c r="AF27" s="26" t="n">
        <f aca="false">IF(cfg_mode="Enterprise",AF24-AF25,AE27+AF19-AF29*AF20-AF31)</f>
        <v>1323299.71894381</v>
      </c>
      <c r="AG27" s="26" t="n">
        <f aca="false">IF(cfg_mode="Enterprise",AG24-AG25,AF27+AG19-AG29*AG20-AG31)</f>
        <v>1356382.2119174</v>
      </c>
      <c r="AH27" s="26" t="n">
        <f aca="false">IF(cfg_mode="Enterprise",AH24-AH25,AG27+AH19-AH29*AH20-AH31)</f>
        <v>1390291.76721534</v>
      </c>
      <c r="AI27" s="26" t="n">
        <f aca="false">IF(cfg_mode="Enterprise",AI24-AI25,AH27+AI19-AI29*AI20-AI31)</f>
        <v>1425049.06139572</v>
      </c>
      <c r="AJ27" s="26" t="n">
        <f aca="false">IF(cfg_mode="Enterprise",AJ24-AJ25,AI27+AJ19-AJ29*AJ20-AJ31)</f>
        <v>1460675.28793062</v>
      </c>
    </row>
    <row r="28" customFormat="false" ht="15" hidden="false" customHeight="true" outlineLevel="0" collapsed="false">
      <c r="A28" s="26" t="s">
        <v>643</v>
      </c>
      <c r="F28" s="46" t="n">
        <f aca="false">anchor_real_nfo0/anchor_real_cse0</f>
        <v>0.193535515533205</v>
      </c>
    </row>
    <row r="29" customFormat="false" ht="15" hidden="false" customHeight="true" outlineLevel="0" collapsed="false">
      <c r="A29" s="26" t="s">
        <v>644</v>
      </c>
      <c r="F29" s="47" t="n">
        <f aca="false">anchor_dps0*INDEX(md_deflator,MATCH(in_anchor_year&amp;"",md_years,0))</f>
        <v>2.7624995618325</v>
      </c>
      <c r="G29" s="47" t="n">
        <f aca="false">IF(cfg_mode="Enterprise",IF(G20=0,0,(G19-(G27-F27)-G31)/G20),in_payout_seed*G30)</f>
        <v>6.37793031307134</v>
      </c>
      <c r="H29" s="47" t="n">
        <f aca="false">IF(cfg_mode="Enterprise",IF(H20=0,0,(H19-(H27-G27)-H31)/H20),in_payout_seed*H30)</f>
        <v>3.14529075966904</v>
      </c>
      <c r="I29" s="47" t="n">
        <f aca="false">IF(cfg_mode="Enterprise",IF(I20=0,0,(I19-(I27-H27)-I31)/I20),in_payout_seed*I30)</f>
        <v>3.61313879360607</v>
      </c>
      <c r="J29" s="47" t="n">
        <f aca="false">IF(cfg_mode="Enterprise",IF(J20=0,0,(J19-(J27-I27)-J31)/J20),in_payout_seed*J30)</f>
        <v>3.95084134232258</v>
      </c>
      <c r="K29" s="47" t="n">
        <f aca="false">IF(cfg_mode="Enterprise",IF(K20=0,0,(K19-(K27-J27)-K31)/K20),in_payout_seed*K30)</f>
        <v>4.13267313839857</v>
      </c>
      <c r="L29" s="47" t="n">
        <f aca="false">IF(cfg_mode="Enterprise",IF(L20=0,0,(L19-(L27-K27)-L31)/L20),in_payout_seed*L30)</f>
        <v>4.15284486649667</v>
      </c>
      <c r="M29" s="47" t="n">
        <f aca="false">IF(cfg_mode="Enterprise",IF(M20=0,0,(M19-(M27-L27)-M31)/M20),in_payout_seed*M30)</f>
        <v>3.95240150357914</v>
      </c>
      <c r="N29" s="47" t="n">
        <f aca="false">IF(cfg_mode="Enterprise",IF(N20=0,0,(N19-(N27-M27)-N31)/N20),in_payout_seed*N30)</f>
        <v>3.54303005922036</v>
      </c>
      <c r="O29" s="47" t="n">
        <f aca="false">IF(cfg_mode="Enterprise",IF(O20=0,0,(O19-(O27-N27)-O31)/O20),in_payout_seed*O30)</f>
        <v>2.89645694786982</v>
      </c>
      <c r="P29" s="47" t="n">
        <f aca="false">IF(cfg_mode="Enterprise",IF(P20=0,0,(P19-(P27-O27)-P31)/P20),in_payout_seed*P30)</f>
        <v>2.02654790591327</v>
      </c>
      <c r="Q29" s="47" t="n">
        <f aca="false">IF(cfg_mode="Enterprise",IF(Q20=0,0,(Q19-(Q27-P27)-Q31)/Q20),in_payout_seed*Q30)</f>
        <v>1.09956546997881</v>
      </c>
      <c r="R29" s="47" t="n">
        <f aca="false">IF(cfg_mode="Enterprise",IF(R20=0,0,(R19-(R27-Q27)-R31)/R20),in_payout_seed*R30)</f>
        <v>0.0411355252405747</v>
      </c>
      <c r="S29" s="47" t="n">
        <f aca="false">IF(cfg_mode="Enterprise",IF(S20=0,0,(S19-(S27-R27)-S31)/S20),in_payout_seed*S30)</f>
        <v>-64.9336417599347</v>
      </c>
      <c r="T29" s="26" t="n">
        <f aca="false">IF(cfg_mode="Enterprise",IF(T20=0,0,(T19-(T27-S27)-T31)/T20),in_payout_seed*T30)</f>
        <v>-56.9989811895244</v>
      </c>
      <c r="U29" s="26" t="n">
        <f aca="false">IF(cfg_mode="Enterprise",IF(U20=0,0,(U19-(U27-T27)-U31)/U20),in_payout_seed*U30)</f>
        <v>-60.3614495804833</v>
      </c>
      <c r="V29" s="26" t="n">
        <f aca="false">IF(cfg_mode="Enterprise",IF(V20=0,0,(V19-(V27-U27)-V31)/V20),in_payout_seed*V30)</f>
        <v>-63.9346509405634</v>
      </c>
      <c r="W29" s="26" t="n">
        <f aca="false">IF(cfg_mode="Enterprise",IF(W20=0,0,(W19-(W27-V27)-W31)/W20),in_payout_seed*W30)</f>
        <v>-67.636258219797</v>
      </c>
      <c r="X29" s="26" t="n">
        <f aca="false">IF(cfg_mode="Enterprise",IF(X20=0,0,(X19-(X27-W27)-X31)/X20),in_payout_seed*X30)</f>
        <v>-71.5139254731282</v>
      </c>
      <c r="Y29" s="26" t="n">
        <f aca="false">IF(cfg_mode="Enterprise",IF(Y20=0,0,(Y19-(Y27-X27)-Y31)/Y20),in_payout_seed*Y30)</f>
        <v>-75.5697432356429</v>
      </c>
      <c r="Z29" s="26" t="n">
        <f aca="false">IF(cfg_mode="Enterprise",IF(Z20=0,0,(Z19-(Z27-Y27)-Z31)/Z20),in_payout_seed*Z30)</f>
        <v>-79.8058564877293</v>
      </c>
      <c r="AA29" s="26" t="n">
        <f aca="false">IF(cfg_mode="Enterprise",IF(AA20=0,0,(AA19-(AA27-Z27)-AA31)/AA20),in_payout_seed*AA30)</f>
        <v>-84.0468388386986</v>
      </c>
      <c r="AB29" s="26" t="n">
        <f aca="false">IF(cfg_mode="Enterprise",IF(AB20=0,0,(AB19-(AB27-AA27)-AB31)/AB20),in_payout_seed*AB30)</f>
        <v>-88.7400436925987</v>
      </c>
      <c r="AC29" s="26" t="n">
        <f aca="false">IF(cfg_mode="Enterprise",IF(AC20=0,0,(AC19-(AC27-AB27)-AC31)/AC20),in_payout_seed*AC30)</f>
        <v>-93.6823231761086</v>
      </c>
      <c r="AD29" s="26" t="n">
        <f aca="false">IF(cfg_mode="Enterprise",IF(AD20=0,0,(AD19-(AD27-AC27)-AD31)/AD20),in_payout_seed*AD30)</f>
        <v>-98.8867418567532</v>
      </c>
      <c r="AE29" s="26" t="n">
        <f aca="false">IF(cfg_mode="Enterprise",IF(AE20=0,0,(AE19-(AE27-AD27)-AE31)/AE20),in_payout_seed*AE30)</f>
        <v>-104.36710867205</v>
      </c>
      <c r="AF29" s="26" t="n">
        <f aca="false">IF(cfg_mode="Enterprise",IF(AF20=0,0,(AF19-(AF27-AE27)-AF31)/AF20),in_payout_seed*AF30)</f>
        <v>-110.132634049546</v>
      </c>
      <c r="AG29" s="26" t="n">
        <f aca="false">IF(cfg_mode="Enterprise",IF(AG20=0,0,(AG19-(AG27-AF27)-AG31)/AG20),in_payout_seed*AG30)</f>
        <v>-116.207961067424</v>
      </c>
      <c r="AH29" s="26" t="n">
        <f aca="false">IF(cfg_mode="Enterprise",IF(AH20=0,0,(AH19-(AH27-AG27)-AH31)/AH20),in_payout_seed*AH30)</f>
        <v>-122.606442885816</v>
      </c>
      <c r="AI29" s="26" t="n">
        <f aca="false">IF(cfg_mode="Enterprise",IF(AI20=0,0,(AI19-(AI27-AH27)-AI31)/AI20),in_payout_seed*AI30)</f>
        <v>-129.345513534938</v>
      </c>
      <c r="AJ29" s="26" t="n">
        <f aca="false">IF(cfg_mode="Enterprise",IF(AJ20=0,0,(AJ19-(AJ27-AI27)-AJ31)/AJ20),in_payout_seed*AJ30)</f>
        <v>-136.443261146615</v>
      </c>
    </row>
    <row r="30" customFormat="false" ht="15" hidden="false" customHeight="true" outlineLevel="0" collapsed="false">
      <c r="A30" s="26" t="s">
        <v>645</v>
      </c>
      <c r="C30" s="47" t="n">
        <f aca="false">IF(C20=0,"",C19/C20)</f>
        <v>10.2961378227982</v>
      </c>
      <c r="D30" s="47" t="n">
        <f aca="false">IF(D20=0,"",D19/D20)</f>
        <v>12.9423784551313</v>
      </c>
      <c r="E30" s="47" t="n">
        <f aca="false">IF(E20=0,"",E19/E20)</f>
        <v>15.6499036909941</v>
      </c>
      <c r="F30" s="47" t="n">
        <f aca="false">IF(F20=0,"",F19/F20)</f>
        <v>18.2075616544201</v>
      </c>
      <c r="G30" s="47" t="n">
        <f aca="false">G19/G20</f>
        <v>13.7118018499523</v>
      </c>
      <c r="H30" s="47" t="n">
        <f aca="false">H19/H20</f>
        <v>15.1314012546018</v>
      </c>
      <c r="I30" s="47" t="n">
        <f aca="false">I19/I20</f>
        <v>16.5052076470299</v>
      </c>
      <c r="J30" s="47" t="n">
        <f aca="false">J19/J20</f>
        <v>17.7442263602138</v>
      </c>
      <c r="K30" s="47" t="n">
        <f aca="false">K19/K20</f>
        <v>18.8588758994932</v>
      </c>
      <c r="L30" s="47" t="n">
        <f aca="false">L19/L20</f>
        <v>19.8472204745994</v>
      </c>
      <c r="M30" s="47" t="n">
        <f aca="false">M19/M20</f>
        <v>20.7375095640731</v>
      </c>
      <c r="N30" s="47" t="n">
        <f aca="false">N19/N20</f>
        <v>21.5523749782293</v>
      </c>
      <c r="O30" s="47" t="n">
        <f aca="false">O19/O20</f>
        <v>22.2539064175783</v>
      </c>
      <c r="P30" s="47" t="n">
        <f aca="false">P19/P20</f>
        <v>22.870921435182</v>
      </c>
      <c r="Q30" s="47" t="n">
        <f aca="false">Q19/Q20</f>
        <v>23.6088268577883</v>
      </c>
      <c r="R30" s="47" t="n">
        <f aca="false">R19/R20</f>
        <v>24.3299182786557</v>
      </c>
      <c r="S30" s="47" t="n">
        <f aca="false">S19/S20</f>
        <v>7.76913756819742</v>
      </c>
      <c r="T30" s="26" t="n">
        <f aca="false">T19/T20</f>
        <v>9.14559601733413</v>
      </c>
      <c r="U30" s="26" t="n">
        <f aca="false">U19/U20</f>
        <v>9.53359334428985</v>
      </c>
      <c r="V30" s="26" t="n">
        <f aca="false">V19/V20</f>
        <v>9.92351297478966</v>
      </c>
      <c r="W30" s="26" t="n">
        <f aca="false">W19/W20</f>
        <v>10.4097397319937</v>
      </c>
      <c r="X30" s="26" t="n">
        <f aca="false">X19/X20</f>
        <v>10.9573610223206</v>
      </c>
      <c r="Y30" s="26" t="n">
        <f aca="false">Y19/Y20</f>
        <v>11.5777502260427</v>
      </c>
      <c r="Z30" s="26" t="n">
        <f aca="false">Z19/Z20</f>
        <v>12.2829896960105</v>
      </c>
      <c r="AA30" s="26" t="n">
        <f aca="false">AA19/AA20</f>
        <v>13.2635398606143</v>
      </c>
      <c r="AB30" s="26" t="n">
        <f aca="false">AB19/AB20</f>
        <v>14.0879337989434</v>
      </c>
      <c r="AC30" s="26" t="n">
        <f aca="false">AC19/AC20</f>
        <v>14.9761066474282</v>
      </c>
      <c r="AD30" s="26" t="n">
        <f aca="false">AD19/AD20</f>
        <v>15.9327329567777</v>
      </c>
      <c r="AE30" s="26" t="n">
        <f aca="false">AE19/AE20</f>
        <v>16.9627487340005</v>
      </c>
      <c r="AF30" s="26" t="n">
        <f aca="false">AF19/AF20</f>
        <v>18.0767513537552</v>
      </c>
      <c r="AG30" s="26" t="n">
        <f aca="false">AG19/AG20</f>
        <v>19.2710286628684</v>
      </c>
      <c r="AH30" s="26" t="n">
        <f aca="false">AH19/AH20</f>
        <v>20.5543452312459</v>
      </c>
      <c r="AI30" s="26" t="n">
        <f aca="false">AI19/AI20</f>
        <v>21.9326388568027</v>
      </c>
      <c r="AJ30" s="26" t="n">
        <f aca="false">AJ19/AJ20</f>
        <v>23.4125184425956</v>
      </c>
    </row>
    <row r="31" customFormat="false" ht="15" hidden="false" customHeight="true" outlineLevel="0" collapsed="false">
      <c r="A31" s="26" t="s">
        <v>646</v>
      </c>
      <c r="F31" s="42" t="n">
        <v>0</v>
      </c>
      <c r="G31" s="42" t="n">
        <f aca="false">(F20-G20)*G32</f>
        <v>36525.3281355903</v>
      </c>
      <c r="H31" s="42" t="n">
        <f aca="false">(G20-H20)*H32</f>
        <v>38889.6358480796</v>
      </c>
      <c r="I31" s="42" t="n">
        <f aca="false">(H20-I20)*I32</f>
        <v>45431.7734094619</v>
      </c>
      <c r="J31" s="42" t="n">
        <f aca="false">(I20-J20)*J32</f>
        <v>51857.4767025519</v>
      </c>
      <c r="K31" s="42" t="n">
        <f aca="false">(J20-K20)*K32</f>
        <v>58161.4926080749</v>
      </c>
      <c r="L31" s="42" t="n">
        <f aca="false">(K20-L20)*L32</f>
        <v>64374.0990314851</v>
      </c>
      <c r="M31" s="42" t="n">
        <f aca="false">(L20-M20)*M32</f>
        <v>70524.4857987643</v>
      </c>
      <c r="N31" s="42" t="n">
        <f aca="false">(M20-N20)*N32</f>
        <v>76718.6078889979</v>
      </c>
      <c r="O31" s="42" t="n">
        <f aca="false">(N20-O20)*O32</f>
        <v>83055.1215769214</v>
      </c>
      <c r="P31" s="42" t="n">
        <f aca="false">(O20-P20)*P32</f>
        <v>89607.1883617484</v>
      </c>
      <c r="Q31" s="42" t="n">
        <f aca="false">(P20-Q20)*Q32</f>
        <v>96448.6053273157</v>
      </c>
      <c r="R31" s="42" t="n">
        <f aca="false">(Q20-R20)*R32</f>
        <v>103674.943456034</v>
      </c>
      <c r="S31" s="42" t="n">
        <f aca="false">(R20-S20)*S32</f>
        <v>333924.841062982</v>
      </c>
      <c r="T31" s="26" t="n">
        <f aca="false">(S20-T20)*T32</f>
        <v>387142.647040942</v>
      </c>
      <c r="U31" s="26" t="n">
        <f aca="false">(T20-U20)*U32</f>
        <v>396821.213216965</v>
      </c>
      <c r="V31" s="26" t="n">
        <f aca="false">(U20-V20)*V32</f>
        <v>406741.743547389</v>
      </c>
      <c r="W31" s="26" t="n">
        <f aca="false">(V20-W20)*W32</f>
        <v>416910.287136074</v>
      </c>
      <c r="X31" s="26" t="n">
        <f aca="false">(W20-X20)*X32</f>
        <v>427333.044314475</v>
      </c>
      <c r="Y31" s="26" t="n">
        <f aca="false">(X20-Y20)*Y32</f>
        <v>438016.370422337</v>
      </c>
      <c r="Z31" s="26" t="n">
        <f aca="false">(Y20-Z20)*Z32</f>
        <v>448966.779682896</v>
      </c>
      <c r="AA31" s="26" t="n">
        <f aca="false">(Z20-AA20)*AA32</f>
        <v>460190.949174968</v>
      </c>
      <c r="AB31" s="26" t="n">
        <f aca="false">(AA20-AB20)*AB32</f>
        <v>471695.722904343</v>
      </c>
      <c r="AC31" s="26" t="n">
        <f aca="false">(AB20-AC20)*AC32</f>
        <v>483488.115976952</v>
      </c>
      <c r="AD31" s="26" t="n">
        <f aca="false">(AC20-AD20)*AD32</f>
        <v>495575.318876375</v>
      </c>
      <c r="AE31" s="26" t="n">
        <f aca="false">(AD20-AE20)*AE32</f>
        <v>507964.701848285</v>
      </c>
      <c r="AF31" s="26" t="n">
        <f aca="false">(AE20-AF20)*AF32</f>
        <v>520663.81939449</v>
      </c>
      <c r="AG31" s="26" t="n">
        <f aca="false">(AF20-AG20)*AG32</f>
        <v>533680.414879352</v>
      </c>
      <c r="AH31" s="26" t="n">
        <f aca="false">(AG20-AH20)*AH32</f>
        <v>547022.425251338</v>
      </c>
      <c r="AI31" s="26" t="n">
        <f aca="false">(AH20-AI20)*AI32</f>
        <v>560697.985882622</v>
      </c>
      <c r="AJ31" s="26" t="n">
        <f aca="false">(AI20-AJ20)*AJ32</f>
        <v>574715.435529687</v>
      </c>
    </row>
    <row r="32" customFormat="false" ht="15" hidden="false" customHeight="true" outlineLevel="0" collapsed="false">
      <c r="A32" s="26" t="s">
        <v>647</v>
      </c>
      <c r="F32" s="33" t="n">
        <f aca="false">in_price*INDEX(md_deflator,MATCH(in_anchor_year&amp;"",md_years,0))</f>
        <v>490.075515035427</v>
      </c>
      <c r="G32" s="47" t="n">
        <f aca="false">$F$33*F27/F20</f>
        <v>490.075515035427</v>
      </c>
      <c r="H32" s="47" t="n">
        <f aca="false">$F$33*G27/G20</f>
        <v>527.069105764197</v>
      </c>
      <c r="I32" s="47" t="n">
        <f aca="false">$F$33*H27/H20</f>
        <v>621.95387677361</v>
      </c>
      <c r="J32" s="47" t="n">
        <f aca="false">$F$33*I27/I20</f>
        <v>717.091667159667</v>
      </c>
      <c r="K32" s="47" t="n">
        <f aca="false">$F$33*J27/J20</f>
        <v>812.388269449096</v>
      </c>
      <c r="L32" s="47" t="n">
        <f aca="false">$F$33*K27/K20</f>
        <v>908.24720396874</v>
      </c>
      <c r="M32" s="47" t="n">
        <f aca="false">$F$33*L27/L20</f>
        <v>1005.07307673811</v>
      </c>
      <c r="N32" s="47" t="n">
        <f aca="false">$F$33*M27/M20</f>
        <v>1104.39194461403</v>
      </c>
      <c r="O32" s="47" t="n">
        <f aca="false">$F$33*N27/N20</f>
        <v>1207.68518932826</v>
      </c>
      <c r="P32" s="47" t="n">
        <f aca="false">$F$33*O27/O20</f>
        <v>1316.118451778</v>
      </c>
      <c r="Q32" s="47" t="n">
        <f aca="false">$F$33*P27/P20</f>
        <v>1430.91186492764</v>
      </c>
      <c r="R32" s="47" t="n">
        <f aca="false">$F$33*Q27/Q20</f>
        <v>1553.65842838401</v>
      </c>
      <c r="S32" s="47" t="n">
        <f aca="false">$F$33*R27/R20</f>
        <v>1684.89955976086</v>
      </c>
      <c r="T32" s="26" t="n">
        <f aca="false">$F$33*S27/S20</f>
        <v>2013.83817754981</v>
      </c>
      <c r="U32" s="26" t="n">
        <f aca="false">$F$33*T27/T20</f>
        <v>2128.02487833872</v>
      </c>
      <c r="V32" s="26" t="n">
        <f aca="false">$F$33*U27/U20</f>
        <v>2248.6860827806</v>
      </c>
      <c r="W32" s="26" t="n">
        <f aca="false">$F$33*V27/V20</f>
        <v>2376.18890190734</v>
      </c>
      <c r="X32" s="26" t="n">
        <f aca="false">$F$33*W27/W20</f>
        <v>2510.92126232476</v>
      </c>
      <c r="Y32" s="26" t="n">
        <f aca="false">$F$33*X27/X20</f>
        <v>2653.2930864772</v>
      </c>
      <c r="Z32" s="26" t="n">
        <f aca="false">$F$33*Y27/Y20</f>
        <v>2803.73753983415</v>
      </c>
      <c r="AA32" s="26" t="n">
        <f aca="false">$F$33*Z27/Z20</f>
        <v>2962.71234879382</v>
      </c>
      <c r="AB32" s="26" t="n">
        <f aca="false">$F$33*AA27/AA20</f>
        <v>3130.70119331306</v>
      </c>
      <c r="AC32" s="26" t="n">
        <f aca="false">$F$33*AB27/AB20</f>
        <v>3308.21517850091</v>
      </c>
      <c r="AD32" s="26" t="n">
        <f aca="false">$F$33*AC27/AC20</f>
        <v>3495.79438965303</v>
      </c>
      <c r="AE32" s="26" t="n">
        <f aca="false">$F$33*AD27/AD20</f>
        <v>3694.00953545809</v>
      </c>
      <c r="AF32" s="26" t="n">
        <f aca="false">$F$33*AE27/AE20</f>
        <v>3903.46368437582</v>
      </c>
      <c r="AG32" s="26" t="n">
        <f aca="false">$F$33*AF27/AF20</f>
        <v>4124.7940994693</v>
      </c>
      <c r="AH32" s="26" t="n">
        <f aca="false">$F$33*AG27/AG20</f>
        <v>4358.67417727426</v>
      </c>
      <c r="AI32" s="26" t="n">
        <f aca="false">$F$33*AH27/AH20</f>
        <v>4605.81549660424</v>
      </c>
      <c r="AJ32" s="26" t="n">
        <f aca="false">$F$33*AI27/AI20</f>
        <v>4866.9699835251</v>
      </c>
    </row>
    <row r="33" customFormat="false" ht="15" hidden="false" customHeight="true" outlineLevel="0" collapsed="false">
      <c r="A33" s="26" t="s">
        <v>648</v>
      </c>
      <c r="F33" s="46" t="n">
        <f aca="false">$F$32/($F$27/$F$20)</f>
        <v>13.4431730831498</v>
      </c>
    </row>
    <row r="34" customFormat="false" ht="15" hidden="false" customHeight="true" outlineLevel="0" collapsed="false">
      <c r="A34" s="1" t="s">
        <v>649</v>
      </c>
      <c r="G34" s="1" t="n">
        <f aca="false">MAX(0,in_tax0*(G52-G49))</f>
        <v>0</v>
      </c>
      <c r="H34" s="1" t="n">
        <f aca="false">MAX(0,in_tax0*(H52-H49))</f>
        <v>0</v>
      </c>
      <c r="I34" s="1" t="n">
        <f aca="false">MAX(0,in_tax0*(I52-I49))</f>
        <v>0</v>
      </c>
      <c r="J34" s="1" t="n">
        <f aca="false">MAX(0,in_tax0*(J52-J49))</f>
        <v>0</v>
      </c>
      <c r="K34" s="1" t="n">
        <f aca="false">MAX(0,in_tax0*(K52-K49))</f>
        <v>0</v>
      </c>
      <c r="L34" s="1" t="n">
        <f aca="false">MAX(0,in_tax0*(L52-L49))</f>
        <v>0</v>
      </c>
      <c r="M34" s="1" t="n">
        <f aca="false">MAX(0,in_tax0*(M52-M49))</f>
        <v>0</v>
      </c>
      <c r="N34" s="1" t="n">
        <f aca="false">MAX(0,in_tax0*(N52-N49))</f>
        <v>0</v>
      </c>
      <c r="O34" s="1" t="n">
        <f aca="false">MAX(0,in_tax0*(O52-O49))</f>
        <v>537.440365899292</v>
      </c>
      <c r="P34" s="1" t="n">
        <f aca="false">MAX(0,in_tax0*(P52-P49))</f>
        <v>1537.96168700248</v>
      </c>
      <c r="Q34" s="1" t="n">
        <f aca="false">MAX(0,in_tax0*(Q52-Q49))</f>
        <v>1380.94290134362</v>
      </c>
      <c r="R34" s="1" t="n">
        <f aca="false">MAX(0,in_tax0*(R52-R49))</f>
        <v>1233.14672017731</v>
      </c>
      <c r="S34" s="1" t="n">
        <f aca="false">MAX(0,in_tax0*(S52-S49))</f>
        <v>1100.90822639252</v>
      </c>
      <c r="T34" s="1" t="n">
        <f aca="false">MAX(0,in_tax0*(T52-T49))</f>
        <v>982.582267203773</v>
      </c>
      <c r="U34" s="1" t="n">
        <f aca="false">MAX(0,in_tax0*(U52-U49))</f>
        <v>876.837219856594</v>
      </c>
      <c r="V34" s="1" t="n">
        <f aca="false">MAX(0,in_tax0*(V52-V49))</f>
        <v>782.428498994245</v>
      </c>
      <c r="W34" s="1" t="n">
        <f aca="false">MAX(0,in_tax0*(W52-W49))</f>
        <v>698.177286884074</v>
      </c>
      <c r="X34" s="1" t="n">
        <f aca="false">MAX(0,in_tax0*(X52-X49))</f>
        <v>623.01129246147</v>
      </c>
      <c r="Y34" s="1" t="n">
        <f aca="false">MAX(0,in_tax0*(Y52-Y49))</f>
        <v>555.945989724708</v>
      </c>
      <c r="Z34" s="1" t="n">
        <f aca="false">MAX(0,in_tax0*(Z52-Z49))</f>
        <v>496.106531743888</v>
      </c>
      <c r="AA34" s="1" t="n">
        <f aca="false">MAX(0,in_tax0*(AA52-AA49))</f>
        <v>442.72387006302</v>
      </c>
      <c r="AB34" s="1" t="n">
        <f aca="false">MAX(0,in_tax0*(AB52-AB49))</f>
        <v>395.103985585288</v>
      </c>
      <c r="AC34" s="1" t="n">
        <f aca="false">MAX(0,in_tax0*(AC52-AC49))</f>
        <v>352.662196556527</v>
      </c>
      <c r="AD34" s="1" t="n">
        <f aca="false">MAX(0,in_tax0*(AD52-AD49))</f>
        <v>314.701461551313</v>
      </c>
      <c r="AE34" s="1" t="n">
        <f aca="false">MAX(0,in_tax0*(AE52-AE49))</f>
        <v>280.755183531616</v>
      </c>
      <c r="AF34" s="1" t="n">
        <f aca="false">MAX(0,in_tax0*(AF52-AF49))</f>
        <v>250.417346651827</v>
      </c>
      <c r="AG34" s="1" t="n">
        <f aca="false">MAX(0,in_tax0*(AG52-AG49))</f>
        <v>223.344624309269</v>
      </c>
      <c r="AH34" s="1" t="n">
        <f aca="false">MAX(0,in_tax0*(AH52-AH49))</f>
        <v>199.248479885412</v>
      </c>
      <c r="AI34" s="1" t="n">
        <f aca="false">MAX(0,in_tax0*(AI52-AI49))</f>
        <v>177.887316644636</v>
      </c>
      <c r="AJ34" s="1" t="n">
        <f aca="false">MAX(0,in_tax0*(AJ52-AJ49))</f>
        <v>159.068866068255</v>
      </c>
    </row>
    <row r="35" customFormat="false" ht="15" hidden="false" customHeight="true" outlineLevel="0" collapsed="false">
      <c r="A35" s="1" t="s">
        <v>650</v>
      </c>
      <c r="G35" s="1" t="n">
        <f aca="false">G34/G38</f>
        <v>0</v>
      </c>
      <c r="H35" s="1" t="n">
        <f aca="false">H34/H38</f>
        <v>0</v>
      </c>
      <c r="I35" s="1" t="n">
        <f aca="false">I34/I38</f>
        <v>0</v>
      </c>
      <c r="J35" s="1" t="n">
        <f aca="false">J34/J38</f>
        <v>0</v>
      </c>
      <c r="K35" s="1" t="n">
        <f aca="false">K34/K38</f>
        <v>0</v>
      </c>
      <c r="L35" s="1" t="n">
        <f aca="false">L34/L38</f>
        <v>0</v>
      </c>
      <c r="M35" s="1" t="n">
        <f aca="false">M34/M38</f>
        <v>0</v>
      </c>
      <c r="N35" s="1" t="n">
        <f aca="false">N34/N38</f>
        <v>0</v>
      </c>
      <c r="O35" s="1" t="n">
        <f aca="false">O34/O38</f>
        <v>434.129423284676</v>
      </c>
      <c r="P35" s="1" t="n">
        <f aca="false">P34/P38</f>
        <v>1213.27339325434</v>
      </c>
      <c r="Q35" s="1" t="n">
        <f aca="false">Q34/Q38</f>
        <v>1064.81157512273</v>
      </c>
      <c r="R35" s="1" t="n">
        <f aca="false">R34/R38</f>
        <v>929.751901068528</v>
      </c>
      <c r="S35" s="1" t="n">
        <f aca="false">S34/S38</f>
        <v>811.813629431085</v>
      </c>
      <c r="T35" s="1" t="n">
        <f aca="false">T34/T38</f>
        <v>708.689409219599</v>
      </c>
      <c r="U35" s="1" t="n">
        <f aca="false">U34/U38</f>
        <v>618.519003127357</v>
      </c>
      <c r="V35" s="1" t="n">
        <f aca="false">V34/V38</f>
        <v>539.677308240464</v>
      </c>
      <c r="W35" s="1" t="n">
        <f aca="false">W34/W38</f>
        <v>470.749337620566</v>
      </c>
      <c r="X35" s="1" t="n">
        <f aca="false">X34/X38</f>
        <v>410.498759387148</v>
      </c>
      <c r="Y35" s="1" t="n">
        <f aca="false">Y34/Y38</f>
        <v>357.850909610889</v>
      </c>
      <c r="Z35" s="1" t="n">
        <f aca="false">Z34/Z38</f>
        <v>311.867962262191</v>
      </c>
      <c r="AA35" s="1" t="n">
        <f aca="false">AA34/AA38</f>
        <v>271.729424636651</v>
      </c>
      <c r="AB35" s="1" t="n">
        <f aca="false">AB34/AB38</f>
        <v>236.731486493158</v>
      </c>
      <c r="AC35" s="1" t="n">
        <f aca="false">AC34/AC38</f>
        <v>206.248979177853</v>
      </c>
      <c r="AD35" s="1" t="n">
        <f aca="false">AD34/AD38</f>
        <v>179.65366493595</v>
      </c>
      <c r="AE35" s="1" t="n">
        <f aca="false">AE34/AE38</f>
        <v>156.463570494813</v>
      </c>
      <c r="AF35" s="1" t="n">
        <f aca="false">AF34/AF38</f>
        <v>136.282111265034</v>
      </c>
      <c r="AG35" s="1" t="n">
        <f aca="false">AG34/AG38</f>
        <v>118.749897918092</v>
      </c>
      <c r="AH35" s="1" t="n">
        <f aca="false">AH34/AH38</f>
        <v>103.564919480396</v>
      </c>
      <c r="AI35" s="1" t="n">
        <f aca="false">AI34/AI38</f>
        <v>90.464394920991</v>
      </c>
      <c r="AJ35" s="1" t="n">
        <f aca="false">AJ34/AJ38</f>
        <v>79.2293561991339</v>
      </c>
    </row>
    <row r="36" customFormat="false" ht="15" hidden="false" customHeight="true" outlineLevel="0" collapsed="false">
      <c r="A36" s="26" t="s">
        <v>651</v>
      </c>
      <c r="F36" s="44" t="n">
        <f aca="false">IF($F$7=0,"",($F$22-$E$22+$F$13)/$F$7)</f>
        <v>-0.00125251695519784</v>
      </c>
      <c r="G36" s="30" t="n">
        <f aca="false">$F$36</f>
        <v>-0.00125251695519784</v>
      </c>
      <c r="H36" s="30" t="n">
        <f aca="false">$F$36</f>
        <v>-0.00125251695519784</v>
      </c>
      <c r="I36" s="30" t="n">
        <f aca="false">$F$36</f>
        <v>-0.00125251695519784</v>
      </c>
      <c r="J36" s="30" t="n">
        <f aca="false">$F$36</f>
        <v>-0.00125251695519784</v>
      </c>
      <c r="K36" s="30" t="n">
        <f aca="false">$F$36</f>
        <v>-0.00125251695519784</v>
      </c>
      <c r="L36" s="30" t="n">
        <f aca="false">$F$36</f>
        <v>-0.00125251695519784</v>
      </c>
      <c r="M36" s="30" t="n">
        <f aca="false">$F$36</f>
        <v>-0.00125251695519784</v>
      </c>
      <c r="N36" s="30" t="n">
        <f aca="false">$F$36</f>
        <v>-0.00125251695519784</v>
      </c>
      <c r="O36" s="30" t="n">
        <f aca="false">$F$36</f>
        <v>-0.00125251695519784</v>
      </c>
      <c r="P36" s="30" t="n">
        <f aca="false">$F$36</f>
        <v>-0.00125251695519784</v>
      </c>
      <c r="Q36" s="30" t="n">
        <f aca="false">$F$36</f>
        <v>-0.00125251695519784</v>
      </c>
      <c r="R36" s="30" t="n">
        <f aca="false">$F$36</f>
        <v>-0.00125251695519784</v>
      </c>
      <c r="S36" s="30" t="n">
        <f aca="false">$F$36</f>
        <v>-0.00125251695519784</v>
      </c>
      <c r="T36" s="30" t="n">
        <f aca="false">$F$36</f>
        <v>-0.00125251695519784</v>
      </c>
      <c r="U36" s="30" t="n">
        <f aca="false">$F$36</f>
        <v>-0.00125251695519784</v>
      </c>
      <c r="V36" s="30" t="n">
        <f aca="false">$F$36</f>
        <v>-0.00125251695519784</v>
      </c>
      <c r="W36" s="30" t="n">
        <f aca="false">$F$36</f>
        <v>-0.00125251695519784</v>
      </c>
      <c r="X36" s="30" t="n">
        <f aca="false">$F$36</f>
        <v>-0.00125251695519784</v>
      </c>
      <c r="Y36" s="30" t="n">
        <f aca="false">$F$36</f>
        <v>-0.00125251695519784</v>
      </c>
      <c r="Z36" s="30" t="n">
        <f aca="false">$F$36</f>
        <v>-0.00125251695519784</v>
      </c>
      <c r="AA36" s="30" t="n">
        <f aca="false">$F$36</f>
        <v>-0.00125251695519784</v>
      </c>
      <c r="AB36" s="30" t="n">
        <f aca="false">$F$36</f>
        <v>-0.00125251695519784</v>
      </c>
      <c r="AC36" s="30" t="n">
        <f aca="false">$F$36</f>
        <v>-0.00125251695519784</v>
      </c>
      <c r="AD36" s="30" t="n">
        <f aca="false">$F$36</f>
        <v>-0.00125251695519784</v>
      </c>
      <c r="AE36" s="30" t="n">
        <f aca="false">$F$36</f>
        <v>-0.00125251695519784</v>
      </c>
      <c r="AF36" s="30" t="n">
        <f aca="false">$F$36</f>
        <v>-0.00125251695519784</v>
      </c>
      <c r="AG36" s="30" t="n">
        <f aca="false">$F$36</f>
        <v>-0.00125251695519784</v>
      </c>
      <c r="AH36" s="30" t="n">
        <f aca="false">$F$36</f>
        <v>-0.00125251695519784</v>
      </c>
      <c r="AI36" s="30" t="n">
        <f aca="false">$F$36</f>
        <v>-0.00125251695519784</v>
      </c>
      <c r="AJ36" s="30" t="n">
        <f aca="false">$F$36</f>
        <v>-0.00125251695519784</v>
      </c>
    </row>
    <row r="37" customFormat="false" ht="15" hidden="false" customHeight="true" outlineLevel="0" collapsed="false">
      <c r="A37" s="1" t="s">
        <v>652</v>
      </c>
      <c r="G37" s="52" t="n">
        <f aca="false">INDEX(finrate_infl,G4)</f>
        <v>0.021332</v>
      </c>
      <c r="H37" s="52" t="n">
        <f aca="false">INDEX(finrate_infl,H4)</f>
        <v>0.0223902739961148</v>
      </c>
      <c r="I37" s="52" t="n">
        <f aca="false">INDEX(finrate_infl,I4)</f>
        <v>0.0232896652896462</v>
      </c>
      <c r="J37" s="52" t="n">
        <f aca="false">INDEX(finrate_infl,J4)</f>
        <v>0.0240340553802407</v>
      </c>
      <c r="K37" s="52" t="n">
        <f aca="false">INDEX(finrate_infl,K4)</f>
        <v>0.024632368131545</v>
      </c>
      <c r="L37" s="52" t="n">
        <f aca="false">INDEX(finrate_infl,L4)</f>
        <v>0.0254291404310829</v>
      </c>
      <c r="M37" s="52" t="n">
        <f aca="false">INDEX(finrate_infl,M4)</f>
        <v>0.0254365410585498</v>
      </c>
      <c r="N37" s="52" t="n">
        <f aca="false">INDEX(finrate_infl,N4)</f>
        <v>0.0249916155403227</v>
      </c>
      <c r="O37" s="52" t="n">
        <f aca="false">INDEX(finrate_infl,O4)</f>
        <v>0.0244991351675081</v>
      </c>
      <c r="P37" s="52" t="n">
        <f aca="false">INDEX(finrate_infl,P4)</f>
        <v>0.0239430015820024</v>
      </c>
      <c r="Q37" s="52" t="n">
        <f aca="false">INDEX(finrate_infl,Q4)</f>
        <v>0.0230953610666524</v>
      </c>
      <c r="R37" s="52" t="n">
        <f aca="false">INDEX(finrate_infl,R4)</f>
        <v>0.0226916704033444</v>
      </c>
      <c r="S37" s="52" t="n">
        <f aca="false">INDEX(finrate_infl,S4)</f>
        <v>0.0224618237186383</v>
      </c>
      <c r="T37" s="52" t="n">
        <f aca="false">INDEX(finrate_infl,T4)</f>
        <v>0.0223937851652603</v>
      </c>
      <c r="U37" s="52" t="n">
        <f aca="false">INDEX(finrate_infl,U4)</f>
        <v>0.022475592297805</v>
      </c>
      <c r="V37" s="52" t="n">
        <f aca="false">INDEX(finrate_infl,V4)</f>
        <v>0.022691329248381</v>
      </c>
      <c r="W37" s="52" t="n">
        <f aca="false">INDEX(finrate_infl,W4)</f>
        <v>0.0229761195737543</v>
      </c>
      <c r="X37" s="52" t="n">
        <f aca="false">INDEX(finrate_infl,X4)</f>
        <v>0.0233120095671837</v>
      </c>
      <c r="Y37" s="52" t="n">
        <f aca="false">INDEX(finrate_infl,Y4)</f>
        <v>0.0236380167091519</v>
      </c>
      <c r="Z37" s="52" t="n">
        <f aca="false">INDEX(finrate_infl,Z4)</f>
        <v>0.0239381069466458</v>
      </c>
      <c r="AA37" s="52" t="n">
        <f aca="false">INDEX(finrate_infl,AA4)</f>
        <v>0.0242172514022956</v>
      </c>
      <c r="AB37" s="52" t="n">
        <f aca="false">INDEX(finrate_infl,AB4)</f>
        <v>0.0243753433653435</v>
      </c>
      <c r="AC37" s="52" t="n">
        <f aca="false">INDEX(finrate_infl,AC4)</f>
        <v>0.0244994156218887</v>
      </c>
      <c r="AD37" s="52" t="n">
        <f aca="false">INDEX(finrate_infl,AD4)</f>
        <v>0.0244613495401707</v>
      </c>
      <c r="AE37" s="52" t="n">
        <f aca="false">INDEX(finrate_infl,AE4)</f>
        <v>0.0243582465285992</v>
      </c>
      <c r="AF37" s="52" t="n">
        <f aca="false">INDEX(finrate_infl,AF4)</f>
        <v>0.0240260622343791</v>
      </c>
      <c r="AG37" s="52" t="n">
        <f aca="false">INDEX(finrate_infl,AG4)</f>
        <v>0.0235680054859291</v>
      </c>
      <c r="AH37" s="52" t="n">
        <f aca="false">INDEX(finrate_infl,AH4)</f>
        <v>0.0229162691282168</v>
      </c>
      <c r="AI37" s="52" t="n">
        <f aca="false">INDEX(finrate_infl,AI4)</f>
        <v>0.0220801560004784</v>
      </c>
      <c r="AJ37" s="52" t="n">
        <f aca="false">INDEX(finrate_infl,AJ4)</f>
        <v>0.0210141406475493</v>
      </c>
    </row>
    <row r="38" customFormat="false" ht="15" hidden="false" customHeight="true" outlineLevel="0" collapsed="false">
      <c r="A38" s="1" t="s">
        <v>653</v>
      </c>
      <c r="F38" s="1" t="n">
        <v>1</v>
      </c>
      <c r="G38" s="1" t="n">
        <f aca="false">F38*(1+G37)</f>
        <v>1.021332</v>
      </c>
      <c r="H38" s="1" t="n">
        <f aca="false">G38*(1+H37)</f>
        <v>1.044199903321</v>
      </c>
      <c r="I38" s="1" t="n">
        <f aca="false">H38*(1+I37)</f>
        <v>1.06851896956483</v>
      </c>
      <c r="J38" s="1" t="n">
        <f aca="false">I38*(1+J37)</f>
        <v>1.09419981365419</v>
      </c>
      <c r="K38" s="1" t="n">
        <f aca="false">J38*(1+K37)</f>
        <v>1.12115254627358</v>
      </c>
      <c r="L38" s="1" t="n">
        <f aca="false">K38*(1+L37)</f>
        <v>1.14966249181744</v>
      </c>
      <c r="M38" s="1" t="n">
        <f aca="false">L38*(1+M37)</f>
        <v>1.17890592899403</v>
      </c>
      <c r="N38" s="1" t="n">
        <f aca="false">M38*(1+N37)</f>
        <v>1.20836869272966</v>
      </c>
      <c r="O38" s="1" t="n">
        <f aca="false">N38*(1+O37)</f>
        <v>1.23797268066502</v>
      </c>
      <c r="P38" s="1" t="n">
        <f aca="false">O38*(1+P37)</f>
        <v>1.26761346251666</v>
      </c>
      <c r="Q38" s="1" t="n">
        <f aca="false">P38*(1+Q37)</f>
        <v>1.29688945312643</v>
      </c>
      <c r="R38" s="1" t="n">
        <f aca="false">Q38*(1+R37)</f>
        <v>1.32631804114635</v>
      </c>
      <c r="S38" s="1" t="n">
        <f aca="false">R38*(1+S37)</f>
        <v>1.35610956318143</v>
      </c>
      <c r="T38" s="1" t="n">
        <f aca="false">S38*(1+T37)</f>
        <v>1.38647798939987</v>
      </c>
      <c r="U38" s="1" t="n">
        <f aca="false">T38*(1+U37)</f>
        <v>1.4176399034195</v>
      </c>
      <c r="V38" s="1" t="n">
        <f aca="false">U38*(1+V37)</f>
        <v>1.44980803722364</v>
      </c>
      <c r="W38" s="1" t="n">
        <f aca="false">V38*(1+W37)</f>
        <v>1.48311900004588</v>
      </c>
      <c r="X38" s="1" t="n">
        <f aca="false">W38*(1+X37)</f>
        <v>1.51769348436422</v>
      </c>
      <c r="Y38" s="1" t="n">
        <f aca="false">X38*(1+Y37)</f>
        <v>1.55356874830699</v>
      </c>
      <c r="Z38" s="1" t="n">
        <f aca="false">Y38*(1+Z37)</f>
        <v>1.59075824315293</v>
      </c>
      <c r="AA38" s="1" t="n">
        <f aca="false">Z38*(1+AA37)</f>
        <v>1.62928203544764</v>
      </c>
      <c r="AB38" s="1" t="n">
        <f aca="false">AA38*(1+AB37)</f>
        <v>1.66899634450066</v>
      </c>
      <c r="AC38" s="1" t="n">
        <f aca="false">AB38*(1+AC37)</f>
        <v>1.709885779616</v>
      </c>
      <c r="AD38" s="1" t="n">
        <f aca="false">AC38*(1+AD37)</f>
        <v>1.75171189334495</v>
      </c>
      <c r="AE38" s="1" t="n">
        <f aca="false">AD38*(1+AE37)</f>
        <v>1.79438052349013</v>
      </c>
      <c r="AF38" s="1" t="n">
        <f aca="false">AE38*(1+AF37)</f>
        <v>1.83749242161966</v>
      </c>
      <c r="AG38" s="1" t="n">
        <f aca="false">AF38*(1+AG37)</f>
        <v>1.88079845309275</v>
      </c>
      <c r="AH38" s="1" t="n">
        <f aca="false">AG38*(1+AH37)</f>
        <v>1.92389933661975</v>
      </c>
      <c r="AI38" s="1" t="n">
        <f aca="false">AH38*(1+AI37)</f>
        <v>1.96637933410153</v>
      </c>
      <c r="AJ38" s="1" t="n">
        <f aca="false">AI38*(1+AJ37)</f>
        <v>2.00770110599478</v>
      </c>
    </row>
    <row r="39" customFormat="false" ht="15" hidden="false" customHeight="true" outlineLevel="0" collapsed="false">
      <c r="A39" s="1" t="s">
        <v>654</v>
      </c>
      <c r="G39" s="1" t="n">
        <f aca="false">G13*G38</f>
        <v>21524.3462952079</v>
      </c>
      <c r="H39" s="1" t="n">
        <f aca="false">H13*H38</f>
        <v>19138.3925983638</v>
      </c>
      <c r="I39" s="1" t="n">
        <f aca="false">I13*I38</f>
        <v>17017.7633030373</v>
      </c>
      <c r="J39" s="1" t="n">
        <f aca="false">J13*J38</f>
        <v>15128.6677813858</v>
      </c>
      <c r="K39" s="1" t="n">
        <f aca="false">K13*K38</f>
        <v>13442.3440033284</v>
      </c>
      <c r="L39" s="1" t="n">
        <f aca="false">L13*L38</f>
        <v>11938.0939969082</v>
      </c>
      <c r="M39" s="1" t="n">
        <f aca="false">M13*M38</f>
        <v>10586.6471052365</v>
      </c>
      <c r="N39" s="1" t="n">
        <f aca="false">N13*N38</f>
        <v>9367.96202794934</v>
      </c>
      <c r="O39" s="1" t="n">
        <f aca="false">O13*O38</f>
        <v>8268.75670764444</v>
      </c>
      <c r="P39" s="1" t="n">
        <f aca="false">P13*P38</f>
        <v>7276.96948391162</v>
      </c>
      <c r="Q39" s="1" t="n">
        <f aca="false">Q13*Q38</f>
        <v>6380.36599311865</v>
      </c>
      <c r="R39" s="1" t="n">
        <f aca="false">R13*R38</f>
        <v>5572.52271054499</v>
      </c>
      <c r="S39" s="1" t="n">
        <f aca="false">S13*S38</f>
        <v>4845.23983528301</v>
      </c>
      <c r="T39" s="1" t="n">
        <f aca="false">T13*T38</f>
        <v>4189.4394402732</v>
      </c>
      <c r="U39" s="1" t="n">
        <f aca="false">U13*U38</f>
        <v>3597.66907658426</v>
      </c>
      <c r="V39" s="1" t="n">
        <f aca="false">V13*V38</f>
        <v>3062.94689853343</v>
      </c>
      <c r="W39" s="1" t="n">
        <f aca="false">W13*W38</f>
        <v>2578.6606937511</v>
      </c>
      <c r="X39" s="1" t="n">
        <f aca="false">X13*X38</f>
        <v>2138.77569368177</v>
      </c>
      <c r="Y39" s="1" t="n">
        <f aca="false">Y13*Y38</f>
        <v>1737.7376478076</v>
      </c>
      <c r="Z39" s="1" t="n">
        <f aca="false">Z13*Z38</f>
        <v>1370.58045180612</v>
      </c>
      <c r="AA39" s="1" t="n">
        <f aca="false">AA13*AA38</f>
        <v>1032.89877901375</v>
      </c>
      <c r="AB39" s="1" t="n">
        <f aca="false">AB13*AB38</f>
        <v>720.69665022833</v>
      </c>
      <c r="AC39" s="1" t="n">
        <f aca="false">AC13*AC38</f>
        <v>430.548068410524</v>
      </c>
      <c r="AD39" s="1" t="n">
        <f aca="false">AD13*AD38</f>
        <v>159.377515108034</v>
      </c>
      <c r="AE39" s="1" t="n">
        <f aca="false">AE13*AE38</f>
        <v>-95.4467439497768</v>
      </c>
      <c r="AF39" s="1" t="n">
        <f aca="false">AF13*AF38</f>
        <v>-336.197627063454</v>
      </c>
      <c r="AG39" s="1" t="n">
        <f aca="false">AG13*AG38</f>
        <v>-564.788286982905</v>
      </c>
      <c r="AH39" s="1" t="n">
        <f aca="false">AH13*AH38</f>
        <v>-782.79741972577</v>
      </c>
      <c r="AI39" s="1" t="n">
        <f aca="false">AI13*AI38</f>
        <v>-991.502589241256</v>
      </c>
      <c r="AJ39" s="1" t="n">
        <f aca="false">AJ13*AJ38</f>
        <v>-1191.85360581025</v>
      </c>
    </row>
    <row r="40" customFormat="false" ht="15" hidden="false" customHeight="true" outlineLevel="0" collapsed="false">
      <c r="A40" s="1" t="s">
        <v>655</v>
      </c>
      <c r="G40" s="1" t="n">
        <f aca="false">G16*G38</f>
        <v>104537.095625275</v>
      </c>
      <c r="H40" s="1" t="n">
        <f aca="false">H16*H38</f>
        <v>117860.874197692</v>
      </c>
      <c r="I40" s="1" t="n">
        <f aca="false">I16*I38</f>
        <v>130620.876873585</v>
      </c>
      <c r="J40" s="1" t="n">
        <f aca="false">J16*J38</f>
        <v>142813.023019836</v>
      </c>
      <c r="K40" s="1" t="n">
        <f aca="false">K16*K38</f>
        <v>154483.463867696</v>
      </c>
      <c r="L40" s="1" t="n">
        <f aca="false">L16*L38</f>
        <v>165704.177433167</v>
      </c>
      <c r="M40" s="1" t="n">
        <f aca="false">M16*M38</f>
        <v>176586.113653268</v>
      </c>
      <c r="N40" s="1" t="n">
        <f aca="false">N16*N38</f>
        <v>187214.880483612</v>
      </c>
      <c r="O40" s="1" t="n">
        <f aca="false">O16*O38</f>
        <v>197160.707900756</v>
      </c>
      <c r="P40" s="1" t="n">
        <f aca="false">P16*P38</f>
        <v>206570.649112447</v>
      </c>
      <c r="Q40" s="1" t="n">
        <f aca="false">Q16*Q38</f>
        <v>217153.183812555</v>
      </c>
      <c r="R40" s="1" t="n">
        <f aca="false">R16*R38</f>
        <v>227798.471125319</v>
      </c>
      <c r="S40" s="1" t="n">
        <f aca="false">S16*S38</f>
        <v>84013.6256505721</v>
      </c>
      <c r="T40" s="1" t="n">
        <f aca="false">T16*T38</f>
        <v>89856.9330399389</v>
      </c>
      <c r="U40" s="1" t="n">
        <f aca="false">U16*U38</f>
        <v>93208.2834121927</v>
      </c>
      <c r="V40" s="1" t="n">
        <f aca="false">V16*V38</f>
        <v>96507.5213410468</v>
      </c>
      <c r="W40" s="1" t="n">
        <f aca="false">W16*W38</f>
        <v>100562.733184462</v>
      </c>
      <c r="X40" s="1" t="n">
        <f aca="false">X16*X38</f>
        <v>105078.678754396</v>
      </c>
      <c r="Y40" s="1" t="n">
        <f aca="false">Y16*Y38</f>
        <v>110150.294830084</v>
      </c>
      <c r="Z40" s="1" t="n">
        <f aca="false">Z16*Z38</f>
        <v>115875.34631051</v>
      </c>
      <c r="AA40" s="1" t="n">
        <f aca="false">AA16*AA38</f>
        <v>123788.24652335</v>
      </c>
      <c r="AB40" s="1" t="n">
        <f aca="false">AB16*AB38</f>
        <v>130350.138188673</v>
      </c>
      <c r="AC40" s="1" t="n">
        <f aca="false">AC16*AC38</f>
        <v>137369.243729104</v>
      </c>
      <c r="AD40" s="1" t="n">
        <f aca="false">AD16*AD38</f>
        <v>144862.543013961</v>
      </c>
      <c r="AE40" s="1" t="n">
        <f aca="false">AE16*AE38</f>
        <v>152862.136305516</v>
      </c>
      <c r="AF40" s="1" t="n">
        <f aca="false">AF16*AF38</f>
        <v>161419.898339867</v>
      </c>
      <c r="AG40" s="1" t="n">
        <f aca="false">AG16*AG38</f>
        <v>170484.219005846</v>
      </c>
      <c r="AH40" s="1" t="n">
        <f aca="false">AH16*AH38</f>
        <v>180087.451032185</v>
      </c>
      <c r="AI40" s="1" t="n">
        <f aca="false">AI16*AI38</f>
        <v>190225.954603714</v>
      </c>
      <c r="AJ40" s="1" t="n">
        <f aca="false">AJ16*AJ38</f>
        <v>200872.335004699</v>
      </c>
    </row>
    <row r="41" customFormat="false" ht="15" hidden="false" customHeight="true" outlineLevel="0" collapsed="false">
      <c r="A41" s="1" t="s">
        <v>656</v>
      </c>
      <c r="G41" s="1" t="n">
        <f aca="false">G19*G38</f>
        <v>103330.322229704</v>
      </c>
      <c r="H41" s="1" t="n">
        <f aca="false">H19*H38</f>
        <v>115415.545121579</v>
      </c>
      <c r="I41" s="1" t="n">
        <f aca="false">I19*I38</f>
        <v>127538.097449861</v>
      </c>
      <c r="J41" s="1" t="n">
        <f aca="false">J19*J38</f>
        <v>139003.458255455</v>
      </c>
      <c r="K41" s="1" t="n">
        <f aca="false">K19*K38</f>
        <v>149860.647415552</v>
      </c>
      <c r="L41" s="1" t="n">
        <f aca="false">L19*L38</f>
        <v>160107.746715517</v>
      </c>
      <c r="M41" s="1" t="n">
        <f aca="false">M19*M38</f>
        <v>169829.540522949</v>
      </c>
      <c r="N41" s="1" t="n">
        <f aca="false">N19*N38</f>
        <v>179104.821517085</v>
      </c>
      <c r="O41" s="1" t="n">
        <f aca="false">O19*O38</f>
        <v>187570.782802827</v>
      </c>
      <c r="P41" s="1" t="n">
        <f aca="false">P19*P38</f>
        <v>195413.054008008</v>
      </c>
      <c r="Q41" s="1" t="n">
        <f aca="false">Q19*Q38</f>
        <v>204312.824342757</v>
      </c>
      <c r="R41" s="1" t="n">
        <f aca="false">R19*R38</f>
        <v>213177.705631476</v>
      </c>
      <c r="S41" s="1" t="n">
        <f aca="false">S19*S38</f>
        <v>67513.8354408048</v>
      </c>
      <c r="T41" s="1" t="n">
        <f aca="false">T19*T38</f>
        <v>78817.3661768991</v>
      </c>
      <c r="U41" s="1" t="n">
        <f aca="false">U19*U38</f>
        <v>81487.54079773</v>
      </c>
      <c r="V41" s="1" t="n">
        <f aca="false">V19*V38</f>
        <v>84142.6795847642</v>
      </c>
      <c r="W41" s="1" t="n">
        <f aca="false">W19*W38</f>
        <v>87584.6497599893</v>
      </c>
      <c r="X41" s="1" t="n">
        <f aca="false">X19*X38</f>
        <v>91511.1267320583</v>
      </c>
      <c r="Y41" s="1" t="n">
        <f aca="false">Y19*Y38</f>
        <v>96008.6247162487</v>
      </c>
      <c r="Z41" s="1" t="n">
        <f aca="false">Z19*Z38</f>
        <v>101166.237990905</v>
      </c>
      <c r="AA41" s="1" t="n">
        <f aca="false">AA19*AA38</f>
        <v>108531.24392538</v>
      </c>
      <c r="AB41" s="1" t="n">
        <f aca="false">AB19*AB38</f>
        <v>114544.301099216</v>
      </c>
      <c r="AC41" s="1" t="n">
        <f aca="false">AC19*AC38</f>
        <v>121006.460531726</v>
      </c>
      <c r="AD41" s="1" t="n">
        <f aca="false">AD19*AD38</f>
        <v>127928.47516644</v>
      </c>
      <c r="AE41" s="1" t="n">
        <f aca="false">AE19*AE38</f>
        <v>135330.840022069</v>
      </c>
      <c r="AF41" s="1" t="n">
        <f aca="false">AF19*AF38</f>
        <v>143252.983948991</v>
      </c>
      <c r="AG41" s="1" t="n">
        <f aca="false">AG19*AG38</f>
        <v>151627.029433139</v>
      </c>
      <c r="AH41" s="1" t="n">
        <f aca="false">AH19*AH38</f>
        <v>160467.540509279</v>
      </c>
      <c r="AI41" s="1" t="n">
        <f aca="false">AI19*AI38</f>
        <v>169758.343136126</v>
      </c>
      <c r="AJ41" s="1" t="n">
        <f aca="false">AJ19*AJ38</f>
        <v>179470.000455777</v>
      </c>
    </row>
    <row r="42" customFormat="false" ht="15" hidden="false" customHeight="true" outlineLevel="0" collapsed="false">
      <c r="A42" s="1" t="s">
        <v>657</v>
      </c>
      <c r="G42" s="1" t="n">
        <f aca="false">G23*G38</f>
        <v>-479.463400980928</v>
      </c>
      <c r="H42" s="1" t="n">
        <f aca="false">H23*H38</f>
        <v>-534.601692093735</v>
      </c>
      <c r="I42" s="1" t="n">
        <f aca="false">I23*I38</f>
        <v>-586.057104957757</v>
      </c>
      <c r="J42" s="1" t="n">
        <f aca="false">J23*J38</f>
        <v>-634.225138414235</v>
      </c>
      <c r="K42" s="1" t="n">
        <f aca="false">K23*K38</f>
        <v>-679.661027330231</v>
      </c>
      <c r="L42" s="1" t="n">
        <f aca="false">L23*L38</f>
        <v>-722.975824601986</v>
      </c>
      <c r="M42" s="1" t="n">
        <f aca="false">M23*M38</f>
        <v>-764.763827263981</v>
      </c>
      <c r="N42" s="1" t="n">
        <f aca="false">N23*N38</f>
        <v>-805.563977448515</v>
      </c>
      <c r="O42" s="1" t="n">
        <f aca="false">O23*O38</f>
        <v>-845.850231960715</v>
      </c>
      <c r="P42" s="1" t="n">
        <f aca="false">P23*P38</f>
        <v>-886.036576481169</v>
      </c>
      <c r="Q42" s="1" t="n">
        <f aca="false">Q23*Q38</f>
        <v>-926.466425466005</v>
      </c>
      <c r="R42" s="1" t="n">
        <f aca="false">R23*R38</f>
        <v>-967.434770800111</v>
      </c>
      <c r="S42" s="1" t="n">
        <f aca="false">S23*S38</f>
        <v>-1018.84007368354</v>
      </c>
      <c r="T42" s="1" t="n">
        <f aca="false">T23*T38</f>
        <v>-1072.90543219371</v>
      </c>
      <c r="U42" s="1" t="n">
        <f aca="false">U23*U38</f>
        <v>-1129.93020577965</v>
      </c>
      <c r="V42" s="1" t="n">
        <f aca="false">V23*V38</f>
        <v>-1190.23691882988</v>
      </c>
      <c r="W42" s="1" t="n">
        <f aca="false">W23*W38</f>
        <v>-1254.11146293596</v>
      </c>
      <c r="X42" s="1" t="n">
        <f aca="false">X23*X38</f>
        <v>-1321.84774099898</v>
      </c>
      <c r="Y42" s="1" t="n">
        <f aca="false">Y23*Y38</f>
        <v>-1393.6864079873</v>
      </c>
      <c r="Z42" s="1" t="n">
        <f aca="false">Z23*Z38</f>
        <v>-1469.86008093994</v>
      </c>
      <c r="AA42" s="1" t="n">
        <f aca="false">AA23*AA38</f>
        <v>-1550.61973360765</v>
      </c>
      <c r="AB42" s="1" t="n">
        <f aca="false">AB23*AB38</f>
        <v>-1636.06912070471</v>
      </c>
      <c r="AC42" s="1" t="n">
        <f aca="false">AC23*AC38</f>
        <v>-1726.43641382137</v>
      </c>
      <c r="AD42" s="1" t="n">
        <f aca="false">AD23*AD38</f>
        <v>-1821.72739975069</v>
      </c>
      <c r="AE42" s="1" t="n">
        <f aca="false">AE23*AE38</f>
        <v>-1922.08452940758</v>
      </c>
      <c r="AF42" s="1" t="n">
        <f aca="false">AF23*AF38</f>
        <v>-2027.31259148878</v>
      </c>
      <c r="AG42" s="1" t="n">
        <f aca="false">AG23*AG38</f>
        <v>-2137.34507493969</v>
      </c>
      <c r="AH42" s="1" t="n">
        <f aca="false">AH23*AH38</f>
        <v>-2251.91480139378</v>
      </c>
      <c r="AI42" s="1" t="n">
        <f aca="false">AI23*AI38</f>
        <v>-2370.68655445359</v>
      </c>
      <c r="AJ42" s="1" t="n">
        <f aca="false">AJ23*AJ38</f>
        <v>-2493.11962999434</v>
      </c>
    </row>
    <row r="43" customFormat="false" ht="15" hidden="false" customHeight="true" outlineLevel="0" collapsed="false">
      <c r="A43" s="1" t="s">
        <v>658</v>
      </c>
      <c r="G43" s="1" t="n">
        <f aca="false">G24*G38</f>
        <v>398871.3049689</v>
      </c>
      <c r="H43" s="1" t="n">
        <f aca="false">H24*H38</f>
        <v>476403.909228755</v>
      </c>
      <c r="I43" s="1" t="n">
        <f aca="false">I24*I38</f>
        <v>556449.294057371</v>
      </c>
      <c r="J43" s="1" t="n">
        <f aca="false">J24*J38</f>
        <v>639093.143210772</v>
      </c>
      <c r="K43" s="1" t="n">
        <f aca="false">K24*K38</f>
        <v>724782.751852472</v>
      </c>
      <c r="L43" s="1" t="n">
        <f aca="false">L24*L38</f>
        <v>814220.943431067</v>
      </c>
      <c r="M43" s="1" t="n">
        <f aca="false">M24*M38</f>
        <v>908263.462397355</v>
      </c>
      <c r="N43" s="1" t="n">
        <f aca="false">N24*N38</f>
        <v>1007854.55104922</v>
      </c>
      <c r="O43" s="1" t="n">
        <f aca="false">O24*O38</f>
        <v>1114001.79236573</v>
      </c>
      <c r="P43" s="1" t="n">
        <f aca="false">P24*P38</f>
        <v>1227763.65540212</v>
      </c>
      <c r="Q43" s="1" t="n">
        <f aca="false">Q24*Q38</f>
        <v>1350233.08002848</v>
      </c>
      <c r="R43" s="1" t="n">
        <f aca="false">R24*R38</f>
        <v>1482542.41954047</v>
      </c>
      <c r="S43" s="1" t="n">
        <f aca="false">S24*S38</f>
        <v>1553739.10167418</v>
      </c>
      <c r="T43" s="1" t="n">
        <f aca="false">T24*T38</f>
        <v>1628246.53135293</v>
      </c>
      <c r="U43" s="1" t="n">
        <f aca="false">U24*U38</f>
        <v>1706463.39496574</v>
      </c>
      <c r="V43" s="1" t="n">
        <f aca="false">V24*V38</f>
        <v>1788814.95065399</v>
      </c>
      <c r="W43" s="1" t="n">
        <f aca="false">W24*W38</f>
        <v>1875662.85127693</v>
      </c>
      <c r="X43" s="1" t="n">
        <f aca="false">X24*X38</f>
        <v>1967373.02965097</v>
      </c>
      <c r="Y43" s="1" t="n">
        <f aca="false">Y24*Y38</f>
        <v>2064224.77185397</v>
      </c>
      <c r="Z43" s="1" t="n">
        <f aca="false">Z24*Z38</f>
        <v>2166479.36533464</v>
      </c>
      <c r="AA43" s="1" t="n">
        <f aca="false">AA24*AA38</f>
        <v>2274419.17930241</v>
      </c>
      <c r="AB43" s="1" t="n">
        <f aca="false">AB24*AB38</f>
        <v>2388105.40094849</v>
      </c>
      <c r="AC43" s="1" t="n">
        <f aca="false">AC24*AC38</f>
        <v>2507777.90240809</v>
      </c>
      <c r="AD43" s="1" t="n">
        <f aca="false">AD24*AD38</f>
        <v>2633349.57260421</v>
      </c>
      <c r="AE43" s="1" t="n">
        <f aca="false">AE24*AE38</f>
        <v>2764930.68445692</v>
      </c>
      <c r="AF43" s="1" t="n">
        <f aca="false">AF24*AF38</f>
        <v>2902145.10818432</v>
      </c>
      <c r="AG43" s="1" t="n">
        <f aca="false">AG24*AG38</f>
        <v>3044806.45201534</v>
      </c>
      <c r="AH43" s="1" t="n">
        <f aca="false">AH24*AH38</f>
        <v>3192446.60751588</v>
      </c>
      <c r="AI43" s="1" t="n">
        <f aca="false">AI24*AI38</f>
        <v>3344509.73479885</v>
      </c>
      <c r="AJ43" s="1" t="n">
        <f aca="false">AJ24*AJ38</f>
        <v>3500161.52608209</v>
      </c>
    </row>
    <row r="44" customFormat="false" ht="15" hidden="false" customHeight="true" outlineLevel="0" collapsed="false">
      <c r="A44" s="1" t="s">
        <v>659</v>
      </c>
      <c r="G44" s="1" t="n">
        <f aca="false">G25*G38</f>
        <v>103411.079066011</v>
      </c>
      <c r="H44" s="1" t="n">
        <f aca="false">H25*H38</f>
        <v>123512.124614862</v>
      </c>
      <c r="I44" s="1" t="n">
        <f aca="false">I25*I38</f>
        <v>144264.631792652</v>
      </c>
      <c r="J44" s="1" t="n">
        <f aca="false">J25*J38</f>
        <v>165690.814906496</v>
      </c>
      <c r="K44" s="1" t="n">
        <f aca="false">K25*K38</f>
        <v>187906.639369159</v>
      </c>
      <c r="L44" s="1" t="n">
        <f aca="false">L25*L38</f>
        <v>211094.318667313</v>
      </c>
      <c r="M44" s="1" t="n">
        <f aca="false">M25*M38</f>
        <v>235475.712473388</v>
      </c>
      <c r="N44" s="1" t="n">
        <f aca="false">N25*N38</f>
        <v>261295.624346095</v>
      </c>
      <c r="O44" s="1" t="n">
        <f aca="false">O25*O38</f>
        <v>288815.279502226</v>
      </c>
      <c r="P44" s="1" t="n">
        <f aca="false">P25*P38</f>
        <v>318309.095844993</v>
      </c>
      <c r="Q44" s="1" t="n">
        <f aca="false">Q25*Q38</f>
        <v>350060.428155531</v>
      </c>
      <c r="R44" s="1" t="n">
        <f aca="false">R25*R38</f>
        <v>384362.849510492</v>
      </c>
      <c r="S44" s="1" t="n">
        <f aca="false">S25*S38</f>
        <v>251943.653232869</v>
      </c>
      <c r="T44" s="1" t="n">
        <f aca="false">T25*T38</f>
        <v>264025.265909044</v>
      </c>
      <c r="U44" s="1" t="n">
        <f aca="false">U25*U38</f>
        <v>276708.374895484</v>
      </c>
      <c r="V44" s="1" t="n">
        <f aca="false">V25*V38</f>
        <v>290061.937129422</v>
      </c>
      <c r="W44" s="1" t="n">
        <f aca="false">W25*W38</f>
        <v>304144.59575272</v>
      </c>
      <c r="X44" s="1" t="n">
        <f aca="false">X25*X38</f>
        <v>319015.687915683</v>
      </c>
      <c r="Y44" s="1" t="n">
        <f aca="false">Y25*Y38</f>
        <v>334720.500729043</v>
      </c>
      <c r="Z44" s="1" t="n">
        <f aca="false">Z25*Z38</f>
        <v>351301.402769548</v>
      </c>
      <c r="AA44" s="1" t="n">
        <f aca="false">AA25*AA38</f>
        <v>368804.181087357</v>
      </c>
      <c r="AB44" s="1" t="n">
        <f aca="false">AB25*AB38</f>
        <v>387238.757376834</v>
      </c>
      <c r="AC44" s="1" t="n">
        <f aca="false">AC25*AC38</f>
        <v>406644.027654681</v>
      </c>
      <c r="AD44" s="1" t="n">
        <f aca="false">AD25*AD38</f>
        <v>427005.866587404</v>
      </c>
      <c r="AE44" s="1" t="n">
        <f aca="false">AE25*AE38</f>
        <v>448342.15527377</v>
      </c>
      <c r="AF44" s="1" t="n">
        <f aca="false">AF25*AF38</f>
        <v>470591.90309364</v>
      </c>
      <c r="AG44" s="1" t="n">
        <f aca="false">AG25*AG38</f>
        <v>493724.88603857</v>
      </c>
      <c r="AH44" s="1" t="n">
        <f aca="false">AH25*AH38</f>
        <v>517665.198862386</v>
      </c>
      <c r="AI44" s="1" t="n">
        <f aca="false">AI25*AI38</f>
        <v>542322.710389518</v>
      </c>
      <c r="AJ44" s="1" t="n">
        <f aca="false">AJ25*AJ38</f>
        <v>567562.135004554</v>
      </c>
    </row>
    <row r="45" customFormat="false" ht="15" hidden="false" customHeight="true" outlineLevel="0" collapsed="false">
      <c r="A45" s="1" t="s">
        <v>660</v>
      </c>
      <c r="G45" s="1" t="n">
        <f aca="false">G27*G38</f>
        <v>295460.225902889</v>
      </c>
      <c r="H45" s="1" t="n">
        <f aca="false">H27*H38</f>
        <v>352891.784613893</v>
      </c>
      <c r="I45" s="1" t="n">
        <f aca="false">I27*I38</f>
        <v>412184.662264719</v>
      </c>
      <c r="J45" s="1" t="n">
        <f aca="false">J27*J38</f>
        <v>473402.328304275</v>
      </c>
      <c r="K45" s="1" t="n">
        <f aca="false">K27*K38</f>
        <v>536876.112483312</v>
      </c>
      <c r="L45" s="1" t="n">
        <f aca="false">L27*L38</f>
        <v>603126.624763753</v>
      </c>
      <c r="M45" s="1" t="n">
        <f aca="false">M27*M38</f>
        <v>672787.749923967</v>
      </c>
      <c r="N45" s="1" t="n">
        <f aca="false">N27*N38</f>
        <v>746558.926703129</v>
      </c>
      <c r="O45" s="1" t="n">
        <f aca="false">O27*O38</f>
        <v>825186.512863503</v>
      </c>
      <c r="P45" s="1" t="n">
        <f aca="false">P27*P38</f>
        <v>909454.559557124</v>
      </c>
      <c r="Q45" s="1" t="n">
        <f aca="false">Q27*Q38</f>
        <v>1000172.65187295</v>
      </c>
      <c r="R45" s="1" t="n">
        <f aca="false">R27*R38</f>
        <v>1098179.57002998</v>
      </c>
      <c r="S45" s="1" t="n">
        <f aca="false">S27*S38</f>
        <v>1301795.44844131</v>
      </c>
      <c r="T45" s="1" t="n">
        <f aca="false">T27*T38</f>
        <v>1364221.26544389</v>
      </c>
      <c r="U45" s="1" t="n">
        <f aca="false">U27*U38</f>
        <v>1429755.02007025</v>
      </c>
      <c r="V45" s="1" t="n">
        <f aca="false">V27*V38</f>
        <v>1498753.01352457</v>
      </c>
      <c r="W45" s="1" t="n">
        <f aca="false">W27*W38</f>
        <v>1571518.25552421</v>
      </c>
      <c r="X45" s="1" t="n">
        <f aca="false">X27*X38</f>
        <v>1648357.34173529</v>
      </c>
      <c r="Y45" s="1" t="n">
        <f aca="false">Y27*Y38</f>
        <v>1729504.27112493</v>
      </c>
      <c r="Z45" s="1" t="n">
        <f aca="false">Z27*Z38</f>
        <v>1815177.96256509</v>
      </c>
      <c r="AA45" s="1" t="n">
        <f aca="false">AA27*AA38</f>
        <v>1905614.99821505</v>
      </c>
      <c r="AB45" s="1" t="n">
        <f aca="false">AB27*AB38</f>
        <v>2000866.64357166</v>
      </c>
      <c r="AC45" s="1" t="n">
        <f aca="false">AC27*AC38</f>
        <v>2101133.87475341</v>
      </c>
      <c r="AD45" s="1" t="n">
        <f aca="false">AD27*AD38</f>
        <v>2206343.7060168</v>
      </c>
      <c r="AE45" s="1" t="n">
        <f aca="false">AE27*AE38</f>
        <v>2316588.52918315</v>
      </c>
      <c r="AF45" s="1" t="n">
        <f aca="false">AF27*AF38</f>
        <v>2431553.20509068</v>
      </c>
      <c r="AG45" s="1" t="n">
        <f aca="false">AG27*AG38</f>
        <v>2551081.56597677</v>
      </c>
      <c r="AH45" s="1" t="n">
        <f aca="false">AH27*AH38</f>
        <v>2674781.40865349</v>
      </c>
      <c r="AI45" s="1" t="n">
        <f aca="false">AI27*AI38</f>
        <v>2802187.02440934</v>
      </c>
      <c r="AJ45" s="1" t="n">
        <f aca="false">AJ27*AJ38</f>
        <v>2932599.39107754</v>
      </c>
    </row>
    <row r="46" customFormat="false" ht="15" hidden="false" customHeight="true" outlineLevel="0" collapsed="false">
      <c r="A46" s="1" t="s">
        <v>661</v>
      </c>
      <c r="G46" s="1" t="n">
        <f aca="false">G29*G38</f>
        <v>6.51398432250978</v>
      </c>
      <c r="H46" s="1" t="n">
        <f aca="false">H29*H38</f>
        <v>3.28431230716285</v>
      </c>
      <c r="I46" s="1" t="n">
        <f aca="false">I29*I38</f>
        <v>3.86070734063866</v>
      </c>
      <c r="J46" s="1" t="n">
        <f aca="false">J29*J38</f>
        <v>4.32300986054662</v>
      </c>
      <c r="K46" s="1" t="n">
        <f aca="false">K29*K38</f>
        <v>4.633357012032</v>
      </c>
      <c r="L46" s="1" t="n">
        <f aca="false">L29*L38</f>
        <v>4.77436997734783</v>
      </c>
      <c r="M46" s="1" t="n">
        <f aca="false">M29*M38</f>
        <v>4.65950956633436</v>
      </c>
      <c r="N46" s="1" t="n">
        <f aca="false">N29*N38</f>
        <v>4.28128660096198</v>
      </c>
      <c r="O46" s="1" t="n">
        <f aca="false">O29*O38</f>
        <v>3.58573457218523</v>
      </c>
      <c r="P46" s="1" t="n">
        <f aca="false">P29*P38</f>
        <v>2.56887940797061</v>
      </c>
      <c r="Q46" s="1" t="n">
        <f aca="false">Q29*Q38</f>
        <v>1.42601486103753</v>
      </c>
      <c r="R46" s="1" t="n">
        <f aca="false">R29*R38</f>
        <v>0.0545587892586055</v>
      </c>
      <c r="S46" s="1" t="n">
        <f aca="false">S29*S38</f>
        <v>-88.0571325628446</v>
      </c>
      <c r="T46" s="1" t="n">
        <f aca="false">T29*T38</f>
        <v>-79.0278328374929</v>
      </c>
      <c r="U46" s="1" t="n">
        <f aca="false">U29*U38</f>
        <v>-85.5707995535376</v>
      </c>
      <c r="V46" s="1" t="n">
        <f aca="false">V29*V38</f>
        <v>-92.6929707907167</v>
      </c>
      <c r="W46" s="1" t="n">
        <f aca="false">W29*W38</f>
        <v>-100.31261965779</v>
      </c>
      <c r="X46" s="1" t="n">
        <f aca="false">X29*X38</f>
        <v>-108.536218731875</v>
      </c>
      <c r="Y46" s="1" t="n">
        <f aca="false">Y29*Y38</f>
        <v>-117.402791408479</v>
      </c>
      <c r="Z46" s="1" t="n">
        <f aca="false">Z29*Z38</f>
        <v>-126.951824059735</v>
      </c>
      <c r="AA46" s="1" t="n">
        <f aca="false">AA29*AA38</f>
        <v>-136.936004656055</v>
      </c>
      <c r="AB46" s="1" t="n">
        <f aca="false">AB29*AB38</f>
        <v>-148.106808533776</v>
      </c>
      <c r="AC46" s="1" t="n">
        <f aca="false">AC29*AC38</f>
        <v>-160.186072200218</v>
      </c>
      <c r="AD46" s="1" t="n">
        <f aca="false">AD29*AD38</f>
        <v>-173.221081804607</v>
      </c>
      <c r="AE46" s="1" t="n">
        <f aca="false">AE29*AE38</f>
        <v>-187.274307094105</v>
      </c>
      <c r="AF46" s="1" t="n">
        <f aca="false">AF29*AF38</f>
        <v>-202.367880439051</v>
      </c>
      <c r="AG46" s="1" t="n">
        <f aca="false">AG29*AG38</f>
        <v>-218.563753412672</v>
      </c>
      <c r="AH46" s="1" t="n">
        <f aca="false">AH29*AH38</f>
        <v>-235.882454133329</v>
      </c>
      <c r="AI46" s="1" t="n">
        <f aca="false">AI29*AI38</f>
        <v>-254.342344773852</v>
      </c>
      <c r="AJ46" s="1" t="n">
        <f aca="false">AJ29*AJ38</f>
        <v>-273.937286309592</v>
      </c>
    </row>
    <row r="47" customFormat="false" ht="15" hidden="false" customHeight="true" outlineLevel="0" collapsed="false">
      <c r="A47" s="1" t="s">
        <v>662</v>
      </c>
      <c r="G47" s="1" t="n">
        <f aca="false">G30*G38</f>
        <v>14.0043020070155</v>
      </c>
      <c r="H47" s="1" t="n">
        <f aca="false">H30*H38</f>
        <v>15.8002077271664</v>
      </c>
      <c r="I47" s="1" t="n">
        <f aca="false">I30*I38</f>
        <v>17.6361274674579</v>
      </c>
      <c r="J47" s="1" t="n">
        <f aca="false">J30*J38</f>
        <v>19.4157291767837</v>
      </c>
      <c r="K47" s="1" t="n">
        <f aca="false">K30*K38</f>
        <v>21.1436767345743</v>
      </c>
      <c r="L47" s="1" t="n">
        <f aca="false">L30*L38</f>
        <v>22.8176049464781</v>
      </c>
      <c r="M47" s="1" t="n">
        <f aca="false">M30*M38</f>
        <v>24.4475729776562</v>
      </c>
      <c r="N47" s="1" t="n">
        <f aca="false">N30*N38</f>
        <v>26.0432151776622</v>
      </c>
      <c r="O47" s="1" t="n">
        <f aca="false">O30*O38</f>
        <v>27.549728183038</v>
      </c>
      <c r="P47" s="1" t="n">
        <f aca="false">P30*P38</f>
        <v>28.9914879113976</v>
      </c>
      <c r="Q47" s="1" t="n">
        <f aca="false">Q30*Q38</f>
        <v>30.6180385525537</v>
      </c>
      <c r="R47" s="1" t="n">
        <f aca="false">R30*R38</f>
        <v>32.2692095525975</v>
      </c>
      <c r="S47" s="1" t="n">
        <f aca="false">S30*S38</f>
        <v>10.5358017539047</v>
      </c>
      <c r="T47" s="1" t="n">
        <f aca="false">T30*T38</f>
        <v>12.6801675779769</v>
      </c>
      <c r="U47" s="1" t="n">
        <f aca="false">U30*U38</f>
        <v>13.5152023478399</v>
      </c>
      <c r="V47" s="1" t="n">
        <f aca="false">V30*V38</f>
        <v>14.3871888683431</v>
      </c>
      <c r="W47" s="1" t="n">
        <f aca="false">W30*W38</f>
        <v>15.4388827820523</v>
      </c>
      <c r="X47" s="1" t="n">
        <f aca="false">X30*X38</f>
        <v>16.6299154294024</v>
      </c>
      <c r="Y47" s="1" t="n">
        <f aca="false">Y30*Y38</f>
        <v>17.9868309268841</v>
      </c>
      <c r="Z47" s="1" t="n">
        <f aca="false">Z30*Z38</f>
        <v>19.5392671094913</v>
      </c>
      <c r="AA47" s="1" t="n">
        <f aca="false">AA30*AA38</f>
        <v>21.6100472213425</v>
      </c>
      <c r="AB47" s="1" t="n">
        <f aca="false">AB30*AB38</f>
        <v>23.5127100120039</v>
      </c>
      <c r="AC47" s="1" t="n">
        <f aca="false">AC30*AC38</f>
        <v>25.6074317904501</v>
      </c>
      <c r="AD47" s="1" t="n">
        <f aca="false">AD30*AD38</f>
        <v>27.9095578138767</v>
      </c>
      <c r="AE47" s="1" t="n">
        <f aca="false">AE30*AE38</f>
        <v>30.4376259531474</v>
      </c>
      <c r="AF47" s="1" t="n">
        <f aca="false">AF30*AF38</f>
        <v>33.2158936200281</v>
      </c>
      <c r="AG47" s="1" t="n">
        <f aca="false">AG30*AG38</f>
        <v>36.2449208986289</v>
      </c>
      <c r="AH47" s="1" t="n">
        <f aca="false">AH30*AH38</f>
        <v>39.5444911550473</v>
      </c>
      <c r="AI47" s="1" t="n">
        <f aca="false">AI30*AI38</f>
        <v>43.127887790329</v>
      </c>
      <c r="AJ47" s="1" t="n">
        <f aca="false">AJ30*AJ38</f>
        <v>47.0053391713222</v>
      </c>
    </row>
    <row r="48" customFormat="false" ht="15" hidden="false" customHeight="true" outlineLevel="0" collapsed="false">
      <c r="A48" s="1" t="s">
        <v>663</v>
      </c>
      <c r="G48" s="1" t="n">
        <f aca="false">SUMPRODUCT('Cap Engine'!$B$7:$B$43*('Cap Engine'!$J$7:$J$43&lt;=(in_anchor_year+G4))*(((in_anchor_year+G4)-'Cap Engine'!$J$7:$J$43)&lt;in_ppe_life))</f>
        <v>230770</v>
      </c>
      <c r="H48" s="1" t="n">
        <f aca="false">SUMPRODUCT('Cap Engine'!$B$7:$B$43*('Cap Engine'!$J$7:$J$43&lt;=(in_anchor_year+H4))*(((in_anchor_year+H4)-'Cap Engine'!$J$7:$J$43)&lt;in_ppe_life))</f>
        <v>222641</v>
      </c>
      <c r="I48" s="1" t="n">
        <f aca="false">SUMPRODUCT('Cap Engine'!$B$7:$B$43*('Cap Engine'!$J$7:$J$43&lt;=(in_anchor_year+I4))*(((in_anchor_year+I4)-'Cap Engine'!$J$7:$J$43)&lt;in_ppe_life))</f>
        <v>211009</v>
      </c>
      <c r="J48" s="1" t="n">
        <f aca="false">SUMPRODUCT('Cap Engine'!$B$7:$B$43*('Cap Engine'!$J$7:$J$43&lt;=(in_anchor_year+J4))*(((in_anchor_year+J4)-'Cap Engine'!$J$7:$J$43)&lt;in_ppe_life))</f>
        <v>197084</v>
      </c>
      <c r="K48" s="1" t="n">
        <f aca="false">SUMPRODUCT('Cap Engine'!$B$7:$B$43*('Cap Engine'!$J$7:$J$43&lt;=(in_anchor_year+K4))*(((in_anchor_year+K4)-'Cap Engine'!$J$7:$J$43)&lt;in_ppe_life))</f>
        <v>181643</v>
      </c>
      <c r="L48" s="1" t="n">
        <f aca="false">SUMPRODUCT('Cap Engine'!$B$7:$B$43*('Cap Engine'!$J$7:$J$43&lt;=(in_anchor_year+L4))*(((in_anchor_year+L4)-'Cap Engine'!$J$7:$J$43)&lt;in_ppe_life))</f>
        <v>161021</v>
      </c>
      <c r="M48" s="1" t="n">
        <f aca="false">SUMPRODUCT('Cap Engine'!$B$7:$B$43*('Cap Engine'!$J$7:$J$43&lt;=(in_anchor_year+M4))*(((in_anchor_year+M4)-'Cap Engine'!$J$7:$J$43)&lt;in_ppe_life))</f>
        <v>137135</v>
      </c>
      <c r="N48" s="1" t="n">
        <f aca="false">SUMPRODUCT('Cap Engine'!$B$7:$B$43*('Cap Engine'!$J$7:$J$43&lt;=(in_anchor_year+N4))*(((in_anchor_year+N4)-'Cap Engine'!$J$7:$J$43)&lt;in_ppe_life))</f>
        <v>109028</v>
      </c>
      <c r="O48" s="1" t="n">
        <f aca="false">SUMPRODUCT('Cap Engine'!$B$7:$B$43*('Cap Engine'!$J$7:$J$43&lt;=(in_anchor_year+O4))*(((in_anchor_year+O4)-'Cap Engine'!$J$7:$J$43)&lt;in_ppe_life))</f>
        <v>64551</v>
      </c>
      <c r="P48" s="1" t="n">
        <f aca="false">SUMPRODUCT('Cap Engine'!$B$7:$B$43*('Cap Engine'!$J$7:$J$43&lt;=(in_anchor_year+P4))*(((in_anchor_year+P4)-'Cap Engine'!$J$7:$J$43)&lt;in_ppe_life))</f>
        <v>0</v>
      </c>
      <c r="Q48" s="1" t="n">
        <f aca="false">SUMPRODUCT('Cap Engine'!$B$7:$B$43*('Cap Engine'!$J$7:$J$43&lt;=(in_anchor_year+Q4))*(((in_anchor_year+Q4)-'Cap Engine'!$J$7:$J$43)&lt;in_ppe_life))</f>
        <v>0</v>
      </c>
      <c r="R48" s="1" t="n">
        <f aca="false">SUMPRODUCT('Cap Engine'!$B$7:$B$43*('Cap Engine'!$J$7:$J$43&lt;=(in_anchor_year+R4))*(((in_anchor_year+R4)-'Cap Engine'!$J$7:$J$43)&lt;in_ppe_life))</f>
        <v>0</v>
      </c>
      <c r="S48" s="1" t="n">
        <f aca="false">SUMPRODUCT('Cap Engine'!$B$7:$B$43*('Cap Engine'!$J$7:$J$43&lt;=(in_anchor_year+S4))*(((in_anchor_year+S4)-'Cap Engine'!$J$7:$J$43)&lt;in_ppe_life))</f>
        <v>0</v>
      </c>
      <c r="T48" s="1" t="n">
        <f aca="false">SUMPRODUCT('Cap Engine'!$B$7:$B$43*('Cap Engine'!$J$7:$J$43&lt;=(in_anchor_year+T4))*(((in_anchor_year+T4)-'Cap Engine'!$J$7:$J$43)&lt;in_ppe_life))</f>
        <v>0</v>
      </c>
      <c r="U48" s="1" t="n">
        <f aca="false">SUMPRODUCT('Cap Engine'!$B$7:$B$43*('Cap Engine'!$J$7:$J$43&lt;=(in_anchor_year+U4))*(((in_anchor_year+U4)-'Cap Engine'!$J$7:$J$43)&lt;in_ppe_life))</f>
        <v>0</v>
      </c>
      <c r="V48" s="1" t="n">
        <f aca="false">SUMPRODUCT('Cap Engine'!$B$7:$B$43*('Cap Engine'!$J$7:$J$43&lt;=(in_anchor_year+V4))*(((in_anchor_year+V4)-'Cap Engine'!$J$7:$J$43)&lt;in_ppe_life))</f>
        <v>0</v>
      </c>
      <c r="W48" s="1" t="n">
        <f aca="false">SUMPRODUCT('Cap Engine'!$B$7:$B$43*('Cap Engine'!$J$7:$J$43&lt;=(in_anchor_year+W4))*(((in_anchor_year+W4)-'Cap Engine'!$J$7:$J$43)&lt;in_ppe_life))</f>
        <v>0</v>
      </c>
      <c r="X48" s="1" t="n">
        <f aca="false">SUMPRODUCT('Cap Engine'!$B$7:$B$43*('Cap Engine'!$J$7:$J$43&lt;=(in_anchor_year+X4))*(((in_anchor_year+X4)-'Cap Engine'!$J$7:$J$43)&lt;in_ppe_life))</f>
        <v>0</v>
      </c>
      <c r="Y48" s="1" t="n">
        <f aca="false">SUMPRODUCT('Cap Engine'!$B$7:$B$43*('Cap Engine'!$J$7:$J$43&lt;=(in_anchor_year+Y4))*(((in_anchor_year+Y4)-'Cap Engine'!$J$7:$J$43)&lt;in_ppe_life))</f>
        <v>0</v>
      </c>
      <c r="Z48" s="1" t="n">
        <f aca="false">SUMPRODUCT('Cap Engine'!$B$7:$B$43*('Cap Engine'!$J$7:$J$43&lt;=(in_anchor_year+Z4))*(((in_anchor_year+Z4)-'Cap Engine'!$J$7:$J$43)&lt;in_ppe_life))</f>
        <v>0</v>
      </c>
      <c r="AA48" s="1" t="n">
        <f aca="false">SUMPRODUCT('Cap Engine'!$B$7:$B$43*('Cap Engine'!$J$7:$J$43&lt;=(in_anchor_year+AA4))*(((in_anchor_year+AA4)-'Cap Engine'!$J$7:$J$43)&lt;in_ppe_life))</f>
        <v>0</v>
      </c>
      <c r="AB48" s="1" t="n">
        <f aca="false">SUMPRODUCT('Cap Engine'!$B$7:$B$43*('Cap Engine'!$J$7:$J$43&lt;=(in_anchor_year+AB4))*(((in_anchor_year+AB4)-'Cap Engine'!$J$7:$J$43)&lt;in_ppe_life))</f>
        <v>0</v>
      </c>
      <c r="AC48" s="1" t="n">
        <f aca="false">SUMPRODUCT('Cap Engine'!$B$7:$B$43*('Cap Engine'!$J$7:$J$43&lt;=(in_anchor_year+AC4))*(((in_anchor_year+AC4)-'Cap Engine'!$J$7:$J$43)&lt;in_ppe_life))</f>
        <v>0</v>
      </c>
      <c r="AD48" s="1" t="n">
        <f aca="false">SUMPRODUCT('Cap Engine'!$B$7:$B$43*('Cap Engine'!$J$7:$J$43&lt;=(in_anchor_year+AD4))*(((in_anchor_year+AD4)-'Cap Engine'!$J$7:$J$43)&lt;in_ppe_life))</f>
        <v>0</v>
      </c>
      <c r="AE48" s="1" t="n">
        <f aca="false">SUMPRODUCT('Cap Engine'!$B$7:$B$43*('Cap Engine'!$J$7:$J$43&lt;=(in_anchor_year+AE4))*(((in_anchor_year+AE4)-'Cap Engine'!$J$7:$J$43)&lt;in_ppe_life))</f>
        <v>0</v>
      </c>
      <c r="AF48" s="1" t="n">
        <f aca="false">SUMPRODUCT('Cap Engine'!$B$7:$B$43*('Cap Engine'!$J$7:$J$43&lt;=(in_anchor_year+AF4))*(((in_anchor_year+AF4)-'Cap Engine'!$J$7:$J$43)&lt;in_ppe_life))</f>
        <v>0</v>
      </c>
      <c r="AG48" s="1" t="n">
        <f aca="false">SUMPRODUCT('Cap Engine'!$B$7:$B$43*('Cap Engine'!$J$7:$J$43&lt;=(in_anchor_year+AG4))*(((in_anchor_year+AG4)-'Cap Engine'!$J$7:$J$43)&lt;in_ppe_life))</f>
        <v>0</v>
      </c>
      <c r="AH48" s="1" t="n">
        <f aca="false">SUMPRODUCT('Cap Engine'!$B$7:$B$43*('Cap Engine'!$J$7:$J$43&lt;=(in_anchor_year+AH4))*(((in_anchor_year+AH4)-'Cap Engine'!$J$7:$J$43)&lt;in_ppe_life))</f>
        <v>0</v>
      </c>
      <c r="AI48" s="1" t="n">
        <f aca="false">SUMPRODUCT('Cap Engine'!$B$7:$B$43*('Cap Engine'!$J$7:$J$43&lt;=(in_anchor_year+AI4))*(((in_anchor_year+AI4)-'Cap Engine'!$J$7:$J$43)&lt;in_ppe_life))</f>
        <v>0</v>
      </c>
      <c r="AJ48" s="1" t="n">
        <f aca="false">SUMPRODUCT('Cap Engine'!$B$7:$B$43*('Cap Engine'!$J$7:$J$43&lt;=(in_anchor_year+AJ4))*(((in_anchor_year+AJ4)-'Cap Engine'!$J$7:$J$43)&lt;in_ppe_life))</f>
        <v>0</v>
      </c>
    </row>
    <row r="49" customFormat="false" ht="15" hidden="false" customHeight="true" outlineLevel="0" collapsed="false">
      <c r="A49" s="1" t="s">
        <v>664</v>
      </c>
      <c r="G49" s="1" t="n">
        <f aca="false">G48/in_ppe_life+SUMPRODUCT(($G$4:G4&gt;G4-in_ppe_life)*$G$23:G23*$G$38:G38)/in_ppe_life</f>
        <v>21643.8474247198</v>
      </c>
      <c r="H49" s="1" t="n">
        <f aca="false">H48/in_ppe_life+SUMPRODUCT(($G$4:H4&gt;H4-in_ppe_life)*$G$23:H23*$G$38:H38)/in_ppe_life</f>
        <v>20829.5991453877</v>
      </c>
      <c r="I49" s="1" t="n">
        <f aca="false">I48/in_ppe_life+SUMPRODUCT(($G$4:I4&gt;I4-in_ppe_life)*$G$23:I23*$G$38:I38)/in_ppe_life</f>
        <v>19681.2855077037</v>
      </c>
      <c r="J49" s="1" t="n">
        <f aca="false">J48/in_ppe_life+SUMPRODUCT(($G$4:J4&gt;J4-in_ppe_life)*$G$23:J23*$G$38:J38)/in_ppe_life</f>
        <v>18312.9372804091</v>
      </c>
      <c r="K49" s="1" t="n">
        <f aca="false">K48/in_ppe_life+SUMPRODUCT(($G$4:K4&gt;K4-in_ppe_life)*$G$23:K23*$G$38:K38)/in_ppe_life</f>
        <v>16797.8375597954</v>
      </c>
      <c r="L49" s="1" t="n">
        <f aca="false">L48/in_ppe_life+SUMPRODUCT(($G$4:L4&gt;L4-in_ppe_life)*$G$23:L23*$G$38:L38)/in_ppe_life</f>
        <v>14791.7308093629</v>
      </c>
      <c r="M49" s="1" t="n">
        <f aca="false">M48/in_ppe_life+SUMPRODUCT(($G$4:M4&gt;M4-in_ppe_life)*$G$23:M23*$G$38:M38)/in_ppe_life</f>
        <v>12474.9296977779</v>
      </c>
      <c r="N49" s="1" t="n">
        <f aca="false">N48/in_ppe_life+SUMPRODUCT(($G$4:N4&gt;N4-in_ppe_life)*$G$23:N23*$G$38:N38)/in_ppe_life</f>
        <v>9757.58345929592</v>
      </c>
      <c r="O49" s="1" t="n">
        <f aca="false">O48/in_ppe_life+SUMPRODUCT(($G$4:O4&gt;O4-in_ppe_life)*$G$23:O23*$G$38:O38)/in_ppe_life</f>
        <v>5497.91708411165</v>
      </c>
      <c r="P49" s="1" t="n">
        <f aca="false">P48/in_ppe_life+SUMPRODUCT(($G$4:P4&gt;P4-in_ppe_life)*$G$23:P23*$G$38:P38)/in_ppe_life</f>
        <v>-652.180338489967</v>
      </c>
      <c r="Q49" s="1" t="n">
        <f aca="false">Q48/in_ppe_life+SUMPRODUCT(($G$4:Q4&gt;Q4-in_ppe_life)*$G$23:Q23*$G$38:Q38)/in_ppe_life</f>
        <v>-739.254250657825</v>
      </c>
      <c r="R49" s="1" t="n">
        <f aca="false">R48/in_ppe_life+SUMPRODUCT(($G$4:R4&gt;R4-in_ppe_life)*$G$23:R23*$G$38:R38)/in_ppe_life</f>
        <v>-785.116221505492</v>
      </c>
      <c r="S49" s="1" t="n">
        <f aca="false">S48/in_ppe_life+SUMPRODUCT(($G$4:S4&gt;S4-in_ppe_life)*$G$23:S23*$G$38:S38)/in_ppe_life</f>
        <v>-830.62734759476</v>
      </c>
      <c r="T49" s="1" t="n">
        <f aca="false">T48/in_ppe_life+SUMPRODUCT(($G$4:T4&gt;T4-in_ppe_life)*$G$23:T23*$G$38:T38)/in_ppe_life</f>
        <v>-876.383769327461</v>
      </c>
      <c r="U49" s="1" t="n">
        <f aca="false">U48/in_ppe_life+SUMPRODUCT(($G$4:U4&gt;U4-in_ppe_life)*$G$23:U23*$G$38:U38)/in_ppe_life</f>
        <v>-922.972591448271</v>
      </c>
      <c r="V49" s="1" t="n">
        <f aca="false">V48/in_ppe_life+SUMPRODUCT(($G$4:V4&gt;V4-in_ppe_life)*$G$23:V23*$G$38:V38)/in_ppe_life</f>
        <v>-970.959047416283</v>
      </c>
      <c r="W49" s="1" t="n">
        <f aca="false">W48/in_ppe_life+SUMPRODUCT(($G$4:W4&gt;W4-in_ppe_life)*$G$23:W23*$G$38:W38)/in_ppe_life</f>
        <v>-1020.8778104176</v>
      </c>
      <c r="X49" s="1" t="n">
        <f aca="false">X48/in_ppe_life+SUMPRODUCT(($G$4:X4&gt;X4-in_ppe_life)*$G$23:X23*$G$38:X38)/in_ppe_life</f>
        <v>-1073.23532110698</v>
      </c>
      <c r="Y49" s="1" t="n">
        <f aca="false">Y48/in_ppe_life+SUMPRODUCT(($G$4:Y4&gt;Y4-in_ppe_life)*$G$23:Y23*$G$38:Y38)/in_ppe_life</f>
        <v>-1128.5099856313</v>
      </c>
      <c r="Z49" s="1" t="n">
        <f aca="false">Z48/in_ppe_life+SUMPRODUCT(($G$4:Z4&gt;Z4-in_ppe_life)*$G$23:Z23*$G$38:Z38)/in_ppe_life</f>
        <v>-1187.15752782859</v>
      </c>
      <c r="AA49" s="1" t="n">
        <f aca="false">AA48/in_ppe_life+SUMPRODUCT(($G$4:AA4&gt;AA4-in_ppe_life)*$G$23:AA23*$G$38:AA38)/in_ppe_life</f>
        <v>-1249.6183508668</v>
      </c>
      <c r="AB49" s="1" t="n">
        <f aca="false">AB48/in_ppe_life+SUMPRODUCT(($G$4:AB4&gt;AB4-in_ppe_life)*$G$23:AB23*$G$38:AB38)/in_ppe_life</f>
        <v>-1316.31033350201</v>
      </c>
      <c r="AC49" s="1" t="n">
        <f aca="false">AC48/in_ppe_life+SUMPRODUCT(($G$4:AC4&gt;AC4-in_ppe_life)*$G$23:AC23*$G$38:AC38)/in_ppe_life</f>
        <v>-1387.64507438747</v>
      </c>
      <c r="AD49" s="1" t="n">
        <f aca="false">AD48/in_ppe_life+SUMPRODUCT(($G$4:AD4&gt;AD4-in_ppe_life)*$G$23:AD23*$G$38:AD38)/in_ppe_life</f>
        <v>-1463.10440954416</v>
      </c>
      <c r="AE49" s="1" t="n">
        <f aca="false">AE48/in_ppe_life+SUMPRODUCT(($G$4:AE4&gt;AE4-in_ppe_life)*$G$23:AE23*$G$38:AE38)/in_ppe_life</f>
        <v>-1542.91447507178</v>
      </c>
      <c r="AF49" s="1" t="n">
        <f aca="false">AF48/in_ppe_life+SUMPRODUCT(($G$4:AF4&gt;AF4-in_ppe_life)*$G$23:AF23*$G$38:AF38)/in_ppe_life</f>
        <v>-1627.25492485647</v>
      </c>
      <c r="AG49" s="1" t="n">
        <f aca="false">AG48/in_ppe_life+SUMPRODUCT(($G$4:AG4&gt;AG4-in_ppe_life)*$G$23:AG23*$G$38:AG38)/in_ppe_life</f>
        <v>-1716.26884930288</v>
      </c>
      <c r="AH49" s="1" t="n">
        <f aca="false">AH48/in_ppe_life+SUMPRODUCT(($G$4:AH4&gt;AH4-in_ppe_life)*$G$23:AH23*$G$38:AH38)/in_ppe_life</f>
        <v>-1810.04735855643</v>
      </c>
      <c r="AI49" s="1" t="n">
        <f aca="false">AI48/in_ppe_life+SUMPRODUCT(($G$4:AI4&gt;AI4-in_ppe_life)*$G$23:AI23*$G$38:AI38)/in_ppe_life</f>
        <v>-1908.62243500894</v>
      </c>
      <c r="AJ49" s="1" t="n">
        <f aca="false">AJ48/in_ppe_life+SUMPRODUCT(($G$4:AJ4&gt;AJ4-in_ppe_life)*$G$23:AJ23*$G$38:AJ38)/in_ppe_life</f>
        <v>-2011.95262504719</v>
      </c>
    </row>
    <row r="50" customFormat="false" ht="15" hidden="false" customHeight="true" outlineLevel="0" collapsed="false">
      <c r="A50" s="26" t="s">
        <v>665</v>
      </c>
      <c r="G50" s="30" t="n">
        <v>0.204309666200609</v>
      </c>
      <c r="H50" s="30" t="n">
        <v>0.168223163285431</v>
      </c>
      <c r="I50" s="30" t="n">
        <v>0.141436329926568</v>
      </c>
      <c r="J50" s="30" t="n">
        <v>0.121564262404863</v>
      </c>
      <c r="K50" s="30" t="n">
        <v>0.106816488793963</v>
      </c>
      <c r="L50" s="30" t="n">
        <v>0.0955413257787181</v>
      </c>
      <c r="M50" s="30" t="n">
        <v>0.0878293832288035</v>
      </c>
      <c r="N50" s="30" t="n">
        <v>0.0825942214318014</v>
      </c>
      <c r="O50" s="30" t="n">
        <v>0.0788881728233744</v>
      </c>
      <c r="P50" s="30" t="n">
        <v>0.0763489747937272</v>
      </c>
      <c r="Q50" s="30" t="n">
        <v>0.0749242366356049</v>
      </c>
      <c r="R50" s="30" t="n">
        <v>0.0736275964455233</v>
      </c>
      <c r="S50" s="30" t="n">
        <f aca="false">INDEX(scen_noagrowth,MATCH(cfg_scenario,scen_cols,0))</f>
        <v>0.025</v>
      </c>
      <c r="T50" s="30" t="n">
        <f aca="false">INDEX(scen_noagrowth,MATCH(cfg_scenario,scen_cols,0))</f>
        <v>0.025</v>
      </c>
      <c r="U50" s="30" t="n">
        <f aca="false">INDEX(scen_noagrowth,MATCH(cfg_scenario,scen_cols,0))</f>
        <v>0.025</v>
      </c>
      <c r="V50" s="30" t="n">
        <f aca="false">INDEX(scen_noagrowth,MATCH(cfg_scenario,scen_cols,0))</f>
        <v>0.025</v>
      </c>
      <c r="W50" s="30" t="n">
        <f aca="false">INDEX(scen_noagrowth,MATCH(cfg_scenario,scen_cols,0))</f>
        <v>0.025</v>
      </c>
      <c r="X50" s="30" t="n">
        <f aca="false">INDEX(scen_noagrowth,MATCH(cfg_scenario,scen_cols,0))</f>
        <v>0.025</v>
      </c>
      <c r="Y50" s="30" t="n">
        <f aca="false">INDEX(scen_noagrowth,MATCH(cfg_scenario,scen_cols,0))</f>
        <v>0.025</v>
      </c>
      <c r="Z50" s="30" t="n">
        <f aca="false">INDEX(scen_noagrowth,MATCH(cfg_scenario,scen_cols,0))</f>
        <v>0.025</v>
      </c>
      <c r="AA50" s="30" t="n">
        <f aca="false">INDEX(scen_noagrowth,MATCH(cfg_scenario,scen_cols,0))</f>
        <v>0.025</v>
      </c>
      <c r="AB50" s="30" t="n">
        <f aca="false">INDEX(scen_noagrowth,MATCH(cfg_scenario,scen_cols,0))</f>
        <v>0.025</v>
      </c>
      <c r="AC50" s="30" t="n">
        <f aca="false">INDEX(scen_noagrowth,MATCH(cfg_scenario,scen_cols,0))</f>
        <v>0.025</v>
      </c>
      <c r="AD50" s="30" t="n">
        <f aca="false">INDEX(scen_noagrowth,MATCH(cfg_scenario,scen_cols,0))</f>
        <v>0.025</v>
      </c>
      <c r="AE50" s="30" t="n">
        <f aca="false">INDEX(scen_noagrowth,MATCH(cfg_scenario,scen_cols,0))</f>
        <v>0.025</v>
      </c>
      <c r="AF50" s="30" t="n">
        <f aca="false">INDEX(scen_noagrowth,MATCH(cfg_scenario,scen_cols,0))</f>
        <v>0.025</v>
      </c>
      <c r="AG50" s="30" t="n">
        <f aca="false">INDEX(scen_noagrowth,MATCH(cfg_scenario,scen_cols,0))</f>
        <v>0.025</v>
      </c>
      <c r="AH50" s="30" t="n">
        <f aca="false">INDEX(scen_noagrowth,MATCH(cfg_scenario,scen_cols,0))</f>
        <v>0.025</v>
      </c>
      <c r="AI50" s="30" t="n">
        <f aca="false">INDEX(scen_noagrowth,MATCH(cfg_scenario,scen_cols,0))</f>
        <v>0.025</v>
      </c>
      <c r="AJ50" s="30" t="n">
        <f aca="false">INDEX(scen_noagrowth,MATCH(cfg_scenario,scen_cols,0))</f>
        <v>0.025</v>
      </c>
    </row>
    <row r="51" customFormat="false" ht="15" hidden="false" customHeight="true" outlineLevel="0" collapsed="false">
      <c r="A51" s="26" t="s">
        <v>666</v>
      </c>
      <c r="F51" s="53" t="n">
        <f aca="false">anchor_real_nfo0/anchor_real_cse0</f>
        <v>0.193535515533205</v>
      </c>
      <c r="G51" s="53" t="n">
        <v>0.35</v>
      </c>
      <c r="H51" s="53" t="n">
        <v>0.35</v>
      </c>
      <c r="I51" s="53" t="n">
        <v>0.35</v>
      </c>
      <c r="J51" s="53" t="n">
        <v>0.35</v>
      </c>
      <c r="K51" s="53" t="n">
        <v>0.35</v>
      </c>
      <c r="L51" s="53" t="n">
        <v>0.35</v>
      </c>
      <c r="M51" s="53" t="n">
        <v>0.35</v>
      </c>
      <c r="N51" s="53" t="n">
        <v>0.35</v>
      </c>
      <c r="O51" s="53" t="n">
        <v>0.35</v>
      </c>
      <c r="P51" s="53" t="n">
        <v>0.35</v>
      </c>
      <c r="Q51" s="53" t="n">
        <v>0.35</v>
      </c>
      <c r="R51" s="53" t="n">
        <v>0.35</v>
      </c>
      <c r="S51" s="53" t="n">
        <f aca="false">$F$51</f>
        <v>0.193535515533205</v>
      </c>
      <c r="T51" s="53" t="n">
        <f aca="false">$F$51</f>
        <v>0.193535515533205</v>
      </c>
      <c r="U51" s="53" t="n">
        <f aca="false">$F$51</f>
        <v>0.193535515533205</v>
      </c>
      <c r="V51" s="53" t="n">
        <f aca="false">$F$51</f>
        <v>0.193535515533205</v>
      </c>
      <c r="W51" s="53" t="n">
        <f aca="false">$F$51</f>
        <v>0.193535515533205</v>
      </c>
      <c r="X51" s="53" t="n">
        <f aca="false">$F$51</f>
        <v>0.193535515533205</v>
      </c>
      <c r="Y51" s="53" t="n">
        <f aca="false">$F$51</f>
        <v>0.193535515533205</v>
      </c>
      <c r="Z51" s="53" t="n">
        <f aca="false">$F$51</f>
        <v>0.193535515533205</v>
      </c>
      <c r="AA51" s="53" t="n">
        <f aca="false">$F$51</f>
        <v>0.193535515533205</v>
      </c>
      <c r="AB51" s="53" t="n">
        <f aca="false">$F$51</f>
        <v>0.193535515533205</v>
      </c>
      <c r="AC51" s="53" t="n">
        <f aca="false">$F$51</f>
        <v>0.193535515533205</v>
      </c>
      <c r="AD51" s="53" t="n">
        <f aca="false">$F$51</f>
        <v>0.193535515533205</v>
      </c>
      <c r="AE51" s="53" t="n">
        <f aca="false">$F$51</f>
        <v>0.193535515533205</v>
      </c>
      <c r="AF51" s="53" t="n">
        <f aca="false">$F$51</f>
        <v>0.193535515533205</v>
      </c>
      <c r="AG51" s="53" t="n">
        <f aca="false">$F$51</f>
        <v>0.193535515533205</v>
      </c>
      <c r="AH51" s="53" t="n">
        <f aca="false">$F$51</f>
        <v>0.193535515533205</v>
      </c>
      <c r="AI51" s="53" t="n">
        <f aca="false">$F$51</f>
        <v>0.193535515533205</v>
      </c>
      <c r="AJ51" s="53" t="n">
        <f aca="false">$F$51</f>
        <v>0.193535515533205</v>
      </c>
    </row>
    <row r="52" customFormat="false" ht="15" hidden="false" customHeight="true" outlineLevel="0" collapsed="false">
      <c r="A52" s="1" t="s">
        <v>667</v>
      </c>
      <c r="G52" s="1" t="n">
        <f aca="false">G13*G38</f>
        <v>21524.3462952079</v>
      </c>
      <c r="H52" s="1" t="n">
        <f aca="false">H13*H38</f>
        <v>19138.3925983638</v>
      </c>
      <c r="I52" s="1" t="n">
        <f aca="false">I13*I38</f>
        <v>17017.7633030373</v>
      </c>
      <c r="J52" s="1" t="n">
        <f aca="false">J13*J38</f>
        <v>15128.6677813858</v>
      </c>
      <c r="K52" s="1" t="n">
        <f aca="false">K13*K38</f>
        <v>13442.3440033284</v>
      </c>
      <c r="L52" s="1" t="n">
        <f aca="false">L13*L38</f>
        <v>11938.0939969082</v>
      </c>
      <c r="M52" s="1" t="n">
        <f aca="false">M13*M38</f>
        <v>10586.6471052365</v>
      </c>
      <c r="N52" s="1" t="n">
        <f aca="false">N13*N38</f>
        <v>9367.96202794934</v>
      </c>
      <c r="O52" s="1" t="n">
        <f aca="false">O13*O38</f>
        <v>8268.75670764444</v>
      </c>
      <c r="P52" s="1" t="n">
        <f aca="false">P13*P38</f>
        <v>7276.96948391162</v>
      </c>
      <c r="Q52" s="1" t="n">
        <f aca="false">Q13*Q38</f>
        <v>6380.36599311865</v>
      </c>
      <c r="R52" s="1" t="n">
        <f aca="false">R13*R38</f>
        <v>5572.52271054499</v>
      </c>
      <c r="S52" s="1" t="n">
        <f aca="false">S13*S38</f>
        <v>4845.23983528301</v>
      </c>
      <c r="T52" s="1" t="n">
        <f aca="false">T13*T38</f>
        <v>4189.4394402732</v>
      </c>
      <c r="U52" s="1" t="n">
        <f aca="false">U13*U38</f>
        <v>3597.66907658426</v>
      </c>
      <c r="V52" s="1" t="n">
        <f aca="false">V13*V38</f>
        <v>3062.94689853343</v>
      </c>
      <c r="W52" s="1" t="n">
        <f aca="false">W13*W38</f>
        <v>2578.6606937511</v>
      </c>
      <c r="X52" s="1" t="n">
        <f aca="false">X13*X38</f>
        <v>2138.77569368177</v>
      </c>
      <c r="Y52" s="1" t="n">
        <f aca="false">Y13*Y38</f>
        <v>1737.7376478076</v>
      </c>
      <c r="Z52" s="1" t="n">
        <f aca="false">Z13*Z38</f>
        <v>1370.58045180612</v>
      </c>
      <c r="AA52" s="1" t="n">
        <f aca="false">AA13*AA38</f>
        <v>1032.89877901375</v>
      </c>
      <c r="AB52" s="1" t="n">
        <f aca="false">AB13*AB38</f>
        <v>720.69665022833</v>
      </c>
      <c r="AC52" s="1" t="n">
        <f aca="false">AC13*AC38</f>
        <v>430.548068410524</v>
      </c>
      <c r="AD52" s="1" t="n">
        <f aca="false">AD13*AD38</f>
        <v>159.377515108034</v>
      </c>
      <c r="AE52" s="1" t="n">
        <f aca="false">AE13*AE38</f>
        <v>-95.4467439497768</v>
      </c>
      <c r="AF52" s="1" t="n">
        <f aca="false">AF13*AF38</f>
        <v>-336.197627063454</v>
      </c>
      <c r="AG52" s="1" t="n">
        <f aca="false">AG13*AG38</f>
        <v>-564.788286982905</v>
      </c>
      <c r="AH52" s="1" t="n">
        <f aca="false">AH13*AH38</f>
        <v>-782.79741972577</v>
      </c>
      <c r="AI52" s="1" t="n">
        <f aca="false">AI13*AI38</f>
        <v>-991.502589241256</v>
      </c>
      <c r="AJ52" s="1" t="n">
        <f aca="false">AJ13*AJ38</f>
        <v>-1191.85360581025</v>
      </c>
    </row>
    <row r="53" customFormat="false" ht="15" hidden="false" customHeight="true" outlineLevel="0" collapsed="false">
      <c r="A53" s="23" t="s">
        <v>668</v>
      </c>
    </row>
    <row r="54" customFormat="false" ht="15" hidden="false" customHeight="true" outlineLevel="0" collapsed="false">
      <c r="A54" s="26" t="s">
        <v>669</v>
      </c>
      <c r="G54" s="44" t="n">
        <f aca="false">IF(F24=0,"",G16/F24)</f>
        <v>0.315628206816912</v>
      </c>
      <c r="H54" s="44" t="n">
        <f aca="false">IF(G24=0,"",H16/G24)</f>
        <v>0.289014847728088</v>
      </c>
      <c r="I54" s="44" t="n">
        <f aca="false">IF(H24=0,"",I16/H24)</f>
        <v>0.267940701700311</v>
      </c>
      <c r="J54" s="44" t="n">
        <f aca="false">IF(I24=0,"",J16/I24)</f>
        <v>0.250626977501816</v>
      </c>
      <c r="K54" s="44" t="n">
        <f aca="false">IF(J24=0,"",K16/J24)</f>
        <v>0.235911857198247</v>
      </c>
      <c r="L54" s="44" t="n">
        <f aca="false">IF(K24=0,"",L16/K24)</f>
        <v>0.222956404765548</v>
      </c>
      <c r="M54" s="44" t="n">
        <f aca="false">IF(L24=0,"",M16/L24)</f>
        <v>0.211497622721904</v>
      </c>
      <c r="N54" s="44" t="n">
        <f aca="false">IF(M24=0,"",N16/M24)</f>
        <v>0.201098211608616</v>
      </c>
      <c r="O54" s="44" t="n">
        <f aca="false">IF(N24=0,"",O16/N24)</f>
        <v>0.190946152292882</v>
      </c>
      <c r="P54" s="44" t="n">
        <f aca="false">IF(O24=0,"",P16/O24)</f>
        <v>0.181095201357655</v>
      </c>
      <c r="Q54" s="44" t="n">
        <f aca="false">IF(P24=0,"",Q16/P24)</f>
        <v>0.172876241735818</v>
      </c>
      <c r="R54" s="44" t="n">
        <f aca="false">IF(Q24=0,"",R16/Q24)</f>
        <v>0.164967100977825</v>
      </c>
      <c r="S54" s="44" t="n">
        <f aca="false">IF(R24=0,"",S16/R24)</f>
        <v>0.055423697710283</v>
      </c>
      <c r="T54" s="26" t="n">
        <f aca="false">IF(S24=0,"",T16/S24)</f>
        <v>0.0565659773212643</v>
      </c>
      <c r="U54" s="26" t="n">
        <f aca="false">IF(T24=0,"",U16/T24)</f>
        <v>0.0559862524911739</v>
      </c>
      <c r="V54" s="26" t="n">
        <f aca="false">IF(U24=0,"",V16/U24)</f>
        <v>0.0552992970784416</v>
      </c>
      <c r="W54" s="26" t="n">
        <f aca="false">IF(V24=0,"",W16/V24)</f>
        <v>0.0549548664590229</v>
      </c>
      <c r="X54" s="26" t="n">
        <f aca="false">IF(W24=0,"",X16/W24)</f>
        <v>0.0547459196095433</v>
      </c>
      <c r="Y54" s="26" t="n">
        <f aca="false">IF(X24=0,"",Y16/X24)</f>
        <v>0.0546956192660319</v>
      </c>
      <c r="Z54" s="26" t="n">
        <f aca="false">IF(Y24=0,"",Z16/Y24)</f>
        <v>0.0548226915375797</v>
      </c>
      <c r="AA54" s="26" t="n">
        <f aca="false">IF(Z24=0,"",AA16/Z24)</f>
        <v>0.055786969192438</v>
      </c>
      <c r="AB54" s="26" t="n">
        <f aca="false">IF(AA24=0,"",AB16/AA24)</f>
        <v>0.0559476527251787</v>
      </c>
      <c r="AC54" s="26" t="n">
        <f aca="false">IF(AB24=0,"",AC16/AB24)</f>
        <v>0.0561467084812917</v>
      </c>
      <c r="AD54" s="26" t="n">
        <f aca="false">IF(AC24=0,"",AD16/AC24)</f>
        <v>0.0563860218688966</v>
      </c>
      <c r="AE54" s="26" t="n">
        <f aca="false">IF(AD24=0,"",AE16/AD24)</f>
        <v>0.0566682161668473</v>
      </c>
      <c r="AF54" s="26" t="n">
        <f aca="false">IF(AE24=0,"",AF16/AE24)</f>
        <v>0.0570114138441128</v>
      </c>
      <c r="AG54" s="26" t="n">
        <f aca="false">IF(AF24=0,"",AG16/AF24)</f>
        <v>0.0573916034516178</v>
      </c>
      <c r="AH54" s="26" t="n">
        <f aca="false">IF(AG24=0,"",AH16/AG24)</f>
        <v>0.0578207437748263</v>
      </c>
      <c r="AI54" s="26" t="n">
        <f aca="false">IF(AH24=0,"",AI16/AH24)</f>
        <v>0.0582990091014143</v>
      </c>
      <c r="AJ54" s="26" t="n">
        <f aca="false">IF(AI24=0,"",AJ16/AI24)</f>
        <v>0.0588241833542707</v>
      </c>
    </row>
    <row r="55" customFormat="false" ht="15" hidden="false" customHeight="true" outlineLevel="0" collapsed="false">
      <c r="A55" s="26" t="s">
        <v>670</v>
      </c>
      <c r="F55" s="46" t="n">
        <f aca="false">IF(F27=0,"",F25/F27)</f>
        <v>0.193535515533205</v>
      </c>
      <c r="G55" s="46" t="n">
        <f aca="false">IF(G27=0,"",G25/G27)</f>
        <v>0.35</v>
      </c>
      <c r="H55" s="46" t="n">
        <f aca="false">IF(H27=0,"",H25/H27)</f>
        <v>0.35</v>
      </c>
      <c r="I55" s="46" t="n">
        <f aca="false">IF(I27=0,"",I25/I27)</f>
        <v>0.35</v>
      </c>
      <c r="J55" s="46" t="n">
        <f aca="false">IF(J27=0,"",J25/J27)</f>
        <v>0.35</v>
      </c>
      <c r="K55" s="46" t="n">
        <f aca="false">IF(K27=0,"",K25/K27)</f>
        <v>0.35</v>
      </c>
      <c r="L55" s="46" t="n">
        <f aca="false">IF(L27=0,"",L25/L27)</f>
        <v>0.35</v>
      </c>
      <c r="M55" s="46" t="n">
        <f aca="false">IF(M27=0,"",M25/M27)</f>
        <v>0.35</v>
      </c>
      <c r="N55" s="46" t="n">
        <f aca="false">IF(N27=0,"",N25/N27)</f>
        <v>0.35</v>
      </c>
      <c r="O55" s="46" t="n">
        <f aca="false">IF(O27=0,"",O25/O27)</f>
        <v>0.35</v>
      </c>
      <c r="P55" s="46" t="n">
        <f aca="false">IF(P27=0,"",P25/P27)</f>
        <v>0.35</v>
      </c>
      <c r="Q55" s="46" t="n">
        <f aca="false">IF(Q27=0,"",Q25/Q27)</f>
        <v>0.35</v>
      </c>
      <c r="R55" s="46" t="n">
        <f aca="false">IF(R27=0,"",R25/R27)</f>
        <v>0.35</v>
      </c>
      <c r="S55" s="46" t="n">
        <f aca="false">IF(S27=0,"",S25/S27)</f>
        <v>0.193535515533205</v>
      </c>
      <c r="T55" s="26" t="n">
        <f aca="false">IF(T27=0,"",T25/T27)</f>
        <v>0.193535515533205</v>
      </c>
      <c r="U55" s="26" t="n">
        <f aca="false">IF(U27=0,"",U25/U27)</f>
        <v>0.193535515533205</v>
      </c>
      <c r="V55" s="26" t="n">
        <f aca="false">IF(V27=0,"",V25/V27)</f>
        <v>0.193535515533205</v>
      </c>
      <c r="W55" s="26" t="n">
        <f aca="false">IF(W27=0,"",W25/W27)</f>
        <v>0.193535515533205</v>
      </c>
      <c r="X55" s="26" t="n">
        <f aca="false">IF(X27=0,"",X25/X27)</f>
        <v>0.193535515533205</v>
      </c>
      <c r="Y55" s="26" t="n">
        <f aca="false">IF(Y27=0,"",Y25/Y27)</f>
        <v>0.193535515533205</v>
      </c>
      <c r="Z55" s="26" t="n">
        <f aca="false">IF(Z27=0,"",Z25/Z27)</f>
        <v>0.193535515533205</v>
      </c>
      <c r="AA55" s="26" t="n">
        <f aca="false">IF(AA27=0,"",AA25/AA27)</f>
        <v>0.193535515533205</v>
      </c>
      <c r="AB55" s="26" t="n">
        <f aca="false">IF(AB27=0,"",AB25/AB27)</f>
        <v>0.193535515533205</v>
      </c>
      <c r="AC55" s="26" t="n">
        <f aca="false">IF(AC27=0,"",AC25/AC27)</f>
        <v>0.193535515533205</v>
      </c>
      <c r="AD55" s="26" t="n">
        <f aca="false">IF(AD27=0,"",AD25/AD27)</f>
        <v>0.193535515533205</v>
      </c>
      <c r="AE55" s="26" t="n">
        <f aca="false">IF(AE27=0,"",AE25/AE27)</f>
        <v>0.193535515533205</v>
      </c>
      <c r="AF55" s="26" t="n">
        <f aca="false">IF(AF27=0,"",AF25/AF27)</f>
        <v>0.193535515533205</v>
      </c>
      <c r="AG55" s="26" t="n">
        <f aca="false">IF(AG27=0,"",AG25/AG27)</f>
        <v>0.193535515533205</v>
      </c>
      <c r="AH55" s="26" t="n">
        <f aca="false">IF(AH27=0,"",AH25/AH27)</f>
        <v>0.193535515533205</v>
      </c>
      <c r="AI55" s="26" t="n">
        <f aca="false">IF(AI27=0,"",AI25/AI27)</f>
        <v>0.193535515533205</v>
      </c>
      <c r="AJ55" s="26" t="n">
        <f aca="false">IF(AJ27=0,"",AJ25/AJ27)</f>
        <v>0.193535515533205</v>
      </c>
    </row>
    <row r="56" customFormat="false" ht="15" hidden="false" customHeight="true" outlineLevel="0" collapsed="false">
      <c r="A56" s="26" t="s">
        <v>671</v>
      </c>
      <c r="F56" s="45" t="n">
        <f aca="false">F24-F25-F27</f>
        <v>0</v>
      </c>
      <c r="G56" s="45" t="n">
        <f aca="false">G24-G25-G27</f>
        <v>0</v>
      </c>
      <c r="H56" s="45" t="n">
        <f aca="false">H24-H25-H27</f>
        <v>0</v>
      </c>
      <c r="I56" s="45" t="n">
        <f aca="false">I24-I25-I27</f>
        <v>0</v>
      </c>
      <c r="J56" s="45" t="n">
        <f aca="false">J24-J25-J27</f>
        <v>0</v>
      </c>
      <c r="K56" s="45" t="n">
        <f aca="false">K24-K25-K27</f>
        <v>0</v>
      </c>
      <c r="L56" s="45" t="n">
        <f aca="false">L24-L25-L27</f>
        <v>0</v>
      </c>
      <c r="M56" s="45" t="n">
        <f aca="false">M24-M25-M27</f>
        <v>0</v>
      </c>
      <c r="N56" s="45" t="n">
        <f aca="false">N24-N25-N27</f>
        <v>0</v>
      </c>
      <c r="O56" s="45" t="n">
        <f aca="false">O24-O25-O27</f>
        <v>0</v>
      </c>
      <c r="P56" s="45" t="n">
        <f aca="false">P24-P25-P27</f>
        <v>0</v>
      </c>
      <c r="Q56" s="45" t="n">
        <f aca="false">Q24-Q25-Q27</f>
        <v>0</v>
      </c>
      <c r="R56" s="45" t="n">
        <f aca="false">R24-R25-R27</f>
        <v>0</v>
      </c>
      <c r="S56" s="45" t="n">
        <f aca="false">S24-S25-S27</f>
        <v>0</v>
      </c>
      <c r="T56" s="26" t="n">
        <f aca="false">T24-T25-T27</f>
        <v>0</v>
      </c>
      <c r="U56" s="26" t="n">
        <f aca="false">U24-U25-U27</f>
        <v>0</v>
      </c>
      <c r="V56" s="26" t="n">
        <f aca="false">V24-V25-V27</f>
        <v>0</v>
      </c>
      <c r="W56" s="26" t="n">
        <f aca="false">W24-W25-W27</f>
        <v>0</v>
      </c>
      <c r="X56" s="26" t="n">
        <f aca="false">X24-X25-X27</f>
        <v>0</v>
      </c>
      <c r="Y56" s="26" t="n">
        <f aca="false">Y24-Y25-Y27</f>
        <v>0</v>
      </c>
      <c r="Z56" s="26" t="n">
        <f aca="false">Z24-Z25-Z27</f>
        <v>0</v>
      </c>
      <c r="AA56" s="26" t="n">
        <f aca="false">AA24-AA25-AA27</f>
        <v>0</v>
      </c>
      <c r="AB56" s="26" t="n">
        <f aca="false">AB24-AB25-AB27</f>
        <v>0</v>
      </c>
      <c r="AC56" s="26" t="n">
        <f aca="false">AC24-AC25-AC27</f>
        <v>0</v>
      </c>
      <c r="AD56" s="26" t="n">
        <f aca="false">AD24-AD25-AD27</f>
        <v>0</v>
      </c>
      <c r="AE56" s="26" t="n">
        <f aca="false">AE24-AE25-AE27</f>
        <v>0</v>
      </c>
      <c r="AF56" s="26" t="n">
        <f aca="false">AF24-AF25-AF27</f>
        <v>0</v>
      </c>
      <c r="AG56" s="26" t="n">
        <f aca="false">AG24-AG25-AG27</f>
        <v>0</v>
      </c>
      <c r="AH56" s="26" t="n">
        <f aca="false">AH24-AH25-AH27</f>
        <v>0</v>
      </c>
      <c r="AI56" s="26" t="n">
        <f aca="false">AI24-AI25-AI27</f>
        <v>0</v>
      </c>
      <c r="AJ56" s="26" t="n">
        <f aca="false">AJ24-AJ25-AJ27</f>
        <v>0</v>
      </c>
    </row>
    <row r="57" customFormat="false" ht="15" hidden="false" customHeight="true" outlineLevel="0" collapsed="false">
      <c r="A57" s="26" t="s">
        <v>672</v>
      </c>
      <c r="G57" s="45" t="n">
        <f aca="false">G30*G20-G19</f>
        <v>0</v>
      </c>
      <c r="H57" s="45" t="n">
        <f aca="false">H30*H20-H19</f>
        <v>0</v>
      </c>
      <c r="I57" s="45" t="n">
        <f aca="false">I30*I20-I19</f>
        <v>0</v>
      </c>
      <c r="J57" s="45" t="n">
        <f aca="false">J30*J20-J19</f>
        <v>0</v>
      </c>
      <c r="K57" s="45" t="n">
        <f aca="false">K30*K20-K19</f>
        <v>0</v>
      </c>
      <c r="L57" s="45" t="n">
        <f aca="false">L30*L20-L19</f>
        <v>0</v>
      </c>
      <c r="M57" s="45" t="n">
        <f aca="false">M30*M20-M19</f>
        <v>0</v>
      </c>
      <c r="N57" s="45" t="n">
        <f aca="false">N30*N20-N19</f>
        <v>0</v>
      </c>
      <c r="O57" s="45" t="n">
        <f aca="false">O30*O20-O19</f>
        <v>0</v>
      </c>
      <c r="P57" s="45" t="n">
        <f aca="false">P30*P20-P19</f>
        <v>0</v>
      </c>
      <c r="Q57" s="45" t="n">
        <f aca="false">Q30*Q20-Q19</f>
        <v>0</v>
      </c>
      <c r="R57" s="45" t="n">
        <f aca="false">R30*R20-R19</f>
        <v>0</v>
      </c>
      <c r="S57" s="45" t="n">
        <f aca="false">S30*S20-S19</f>
        <v>0</v>
      </c>
      <c r="T57" s="26" t="n">
        <f aca="false">T30*T20-T19</f>
        <v>0</v>
      </c>
      <c r="U57" s="26" t="n">
        <f aca="false">U30*U20-U19</f>
        <v>0</v>
      </c>
      <c r="V57" s="26" t="n">
        <f aca="false">V30*V20-V19</f>
        <v>0</v>
      </c>
      <c r="W57" s="26" t="n">
        <f aca="false">W30*W20-W19</f>
        <v>0</v>
      </c>
      <c r="X57" s="26" t="n">
        <f aca="false">X30*X20-X19</f>
        <v>0</v>
      </c>
      <c r="Y57" s="26" t="n">
        <f aca="false">Y30*Y20-Y19</f>
        <v>0</v>
      </c>
      <c r="Z57" s="26" t="n">
        <f aca="false">Z30*Z20-Z19</f>
        <v>0</v>
      </c>
      <c r="AA57" s="26" t="n">
        <f aca="false">AA30*AA20-AA19</f>
        <v>0</v>
      </c>
      <c r="AB57" s="26" t="n">
        <f aca="false">AB30*AB20-AB19</f>
        <v>0</v>
      </c>
      <c r="AC57" s="26" t="n">
        <f aca="false">AC30*AC20-AC19</f>
        <v>0</v>
      </c>
      <c r="AD57" s="26" t="n">
        <f aca="false">AD30*AD20-AD19</f>
        <v>0</v>
      </c>
      <c r="AE57" s="26" t="n">
        <f aca="false">AE30*AE20-AE19</f>
        <v>0</v>
      </c>
      <c r="AF57" s="26" t="n">
        <f aca="false">AF30*AF20-AF19</f>
        <v>0</v>
      </c>
      <c r="AG57" s="26" t="n">
        <f aca="false">AG30*AG20-AG19</f>
        <v>0</v>
      </c>
      <c r="AH57" s="26" t="n">
        <f aca="false">AH30*AH20-AH19</f>
        <v>0</v>
      </c>
      <c r="AI57" s="26" t="n">
        <f aca="false">AI30*AI20-AI19</f>
        <v>0</v>
      </c>
      <c r="AJ57" s="26" t="n">
        <f aca="false">AJ30*AJ20-AJ19</f>
        <v>0</v>
      </c>
    </row>
    <row r="58" customFormat="false" ht="15" hidden="false" customHeight="true" outlineLevel="0" collapsed="false">
      <c r="A58" s="26" t="s">
        <v>673</v>
      </c>
      <c r="G58" s="45" t="n">
        <f aca="false">(G16-(G24-F24)-G18+(G25-F25))-(G29*G20+G31)</f>
        <v>0</v>
      </c>
      <c r="H58" s="45" t="n">
        <f aca="false">(H16-(H24-G24)-H18+(H25-G25))-(H29*H20+H31)</f>
        <v>0</v>
      </c>
      <c r="I58" s="45" t="n">
        <f aca="false">(I16-(I24-H24)-I18+(I25-H25))-(I29*I20+I31)</f>
        <v>0</v>
      </c>
      <c r="J58" s="45" t="n">
        <f aca="false">(J16-(J24-I24)-J18+(J25-I25))-(J29*J20+J31)</f>
        <v>0</v>
      </c>
      <c r="K58" s="45" t="n">
        <f aca="false">(K16-(K24-J24)-K18+(K25-J25))-(K29*K20+K31)</f>
        <v>0</v>
      </c>
      <c r="L58" s="45" t="n">
        <f aca="false">(L16-(L24-K24)-L18+(L25-K25))-(L29*L20+L31)</f>
        <v>0</v>
      </c>
      <c r="M58" s="45" t="n">
        <f aca="false">(M16-(M24-L24)-M18+(M25-L25))-(M29*M20+M31)</f>
        <v>0</v>
      </c>
      <c r="N58" s="45" t="n">
        <f aca="false">(N16-(N24-M24)-N18+(N25-M25))-(N29*N20+N31)</f>
        <v>0</v>
      </c>
      <c r="O58" s="45" t="n">
        <f aca="false">(O16-(O24-N24)-O18+(O25-N25))-(O29*O20+O31)</f>
        <v>0</v>
      </c>
      <c r="P58" s="45" t="n">
        <f aca="false">(P16-(P24-O24)-P18+(P25-O25))-(P29*P20+P31)</f>
        <v>0</v>
      </c>
      <c r="Q58" s="45" t="n">
        <f aca="false">(Q16-(Q24-P24)-Q18+(Q25-P25))-(Q29*Q20+Q31)</f>
        <v>0</v>
      </c>
      <c r="R58" s="45" t="n">
        <f aca="false">(R16-(R24-Q24)-R18+(R25-Q25))-(R29*R20+R31)</f>
        <v>0</v>
      </c>
      <c r="S58" s="45" t="n">
        <f aca="false">(S16-(S24-R24)-S18+(S25-R25))-(S29*S20+S31)</f>
        <v>0</v>
      </c>
      <c r="T58" s="26" t="n">
        <f aca="false">(T16-(T24-S24)-T18+(T25-S25))-(T29*T20+T31)</f>
        <v>0</v>
      </c>
      <c r="U58" s="26" t="n">
        <f aca="false">(U16-(U24-T24)-U18+(U25-T25))-(U29*U20+U31)</f>
        <v>0</v>
      </c>
      <c r="V58" s="26" t="n">
        <f aca="false">(V16-(V24-U24)-V18+(V25-U25))-(V29*V20+V31)</f>
        <v>0</v>
      </c>
      <c r="W58" s="26" t="n">
        <f aca="false">(W16-(W24-V24)-W18+(W25-V25))-(W29*W20+W31)</f>
        <v>0</v>
      </c>
      <c r="X58" s="26" t="n">
        <f aca="false">(X16-(X24-W24)-X18+(X25-W25))-(X29*X20+X31)</f>
        <v>-2.3283064365387E-010</v>
      </c>
      <c r="Y58" s="26" t="n">
        <f aca="false">(Y16-(Y24-X24)-Y18+(Y25-X25))-(Y29*Y20+Y31)</f>
        <v>2.25554686039686E-010</v>
      </c>
      <c r="Z58" s="26" t="n">
        <f aca="false">(Z16-(Z24-Y24)-Z18+(Z25-Y25))-(Z29*Z20+Z31)</f>
        <v>-2.40106601268053E-010</v>
      </c>
      <c r="AA58" s="26" t="n">
        <f aca="false">(AA16-(AA24-Z24)-AA18+(AA25-Z25))-(AA29*AA20+AA31)</f>
        <v>0</v>
      </c>
      <c r="AB58" s="26" t="n">
        <f aca="false">(AB16-(AB24-AA24)-AB18+(AB25-AA25))-(AB29*AB20+AB31)</f>
        <v>0</v>
      </c>
      <c r="AC58" s="26" t="n">
        <f aca="false">(AC16-(AC24-AB24)-AC18+(AC25-AB25))-(AC29*AC20+AC31)</f>
        <v>0</v>
      </c>
      <c r="AD58" s="26" t="n">
        <f aca="false">(AD16-(AD24-AC24)-AD18+(AD25-AC25))-(AD29*AD20+AD31)</f>
        <v>0</v>
      </c>
      <c r="AE58" s="26" t="n">
        <f aca="false">(AE16-(AE24-AD24)-AE18+(AE25-AD25))-(AE29*AE20+AE31)</f>
        <v>0</v>
      </c>
      <c r="AF58" s="26" t="n">
        <f aca="false">(AF16-(AF24-AE24)-AF18+(AF25-AE25))-(AF29*AF20+AF31)</f>
        <v>0</v>
      </c>
      <c r="AG58" s="26" t="n">
        <f aca="false">(AG16-(AG24-AF24)-AG18+(AG25-AF25))-(AG29*AG20+AG31)</f>
        <v>0</v>
      </c>
      <c r="AH58" s="26" t="n">
        <f aca="false">(AH16-(AH24-AG24)-AH18+(AH25-AG25))-(AH29*AH20+AH31)</f>
        <v>0</v>
      </c>
      <c r="AI58" s="26" t="n">
        <f aca="false">(AI16-(AI24-AH24)-AI18+(AI25-AH25))-(AI29*AI20+AI31)</f>
        <v>0</v>
      </c>
      <c r="AJ58" s="26" t="n">
        <f aca="false">(AJ16-(AJ24-AI24)-AJ18+(AJ25-AI25))-(AJ29*AJ20+AJ31)</f>
        <v>0</v>
      </c>
    </row>
    <row r="60" customFormat="false" ht="15" hidden="false" customHeight="true" outlineLevel="0" collapsed="false">
      <c r="B60" s="1" t="s">
        <v>674</v>
      </c>
      <c r="G60" s="1" t="n">
        <f aca="false">(INDEX(finrate_coe,G4)+F55*INDEX(finrate_cod,G4))/(1+F55)</f>
        <v>0.0475605408307817</v>
      </c>
      <c r="H60" s="1" t="n">
        <f aca="false">(INDEX(finrate_coe,H4)+G55*INDEX(finrate_cod,H4))/(1+G55)</f>
        <v>0.0485876078720048</v>
      </c>
      <c r="I60" s="1" t="n">
        <f aca="false">(INDEX(finrate_coe,I4)+H55*INDEX(finrate_cod,I4))/(1+H55)</f>
        <v>0.0526085724443668</v>
      </c>
      <c r="J60" s="1" t="n">
        <f aca="false">(INDEX(finrate_coe,J4)+I55*INDEX(finrate_cod,J4))/(1+I55)</f>
        <v>0.0536128166689741</v>
      </c>
      <c r="K60" s="1" t="n">
        <f aca="false">(INDEX(finrate_coe,K4)+J55*INDEX(finrate_cod,K4))/(1+J55)</f>
        <v>0.0549483790892294</v>
      </c>
      <c r="L60" s="1" t="n">
        <f aca="false">(INDEX(finrate_coe,L4)+K55*INDEX(finrate_cod,L4))/(1+K55)</f>
        <v>0.0560768572601823</v>
      </c>
      <c r="M60" s="1" t="n">
        <f aca="false">(INDEX(finrate_coe,M4)+L55*INDEX(finrate_cod,M4))/(1+L55)</f>
        <v>0.0570723306957572</v>
      </c>
      <c r="N60" s="1" t="n">
        <f aca="false">(INDEX(finrate_coe,N4)+M55*INDEX(finrate_cod,N4))/(1+M55)</f>
        <v>0.057477923307447</v>
      </c>
      <c r="O60" s="1" t="n">
        <f aca="false">(INDEX(finrate_coe,O4)+N55*INDEX(finrate_cod,O4))/(1+N55)</f>
        <v>0.0576724310855922</v>
      </c>
      <c r="P60" s="1" t="n">
        <f aca="false">(INDEX(finrate_coe,P4)+O55*INDEX(finrate_cod,P4))/(1+O55)</f>
        <v>0.0572873346836639</v>
      </c>
      <c r="Q60" s="1" t="n">
        <f aca="false">(INDEX(finrate_coe,Q4)+P55*INDEX(finrate_cod,Q4))/(1+P55)</f>
        <v>0.0566103864312149</v>
      </c>
      <c r="R60" s="1" t="n">
        <f aca="false">(INDEX(finrate_coe,R4)+Q55*INDEX(finrate_cod,R4))/(1+Q55)</f>
        <v>0.0559761894702023</v>
      </c>
      <c r="S60" s="1" t="n">
        <f aca="false">(INDEX(finrate_coe,S4)+R55*INDEX(finrate_cod,S4))/(1+R55)</f>
        <v>0.055423697710283</v>
      </c>
      <c r="T60" s="1" t="n">
        <f aca="false">(INDEX(finrate_coe,T4)+S55*INDEX(finrate_cod,T4))/(1+S55)</f>
        <v>0.0565659773212643</v>
      </c>
      <c r="U60" s="1" t="n">
        <f aca="false">(INDEX(finrate_coe,U4)+T55*INDEX(finrate_cod,U4))/(1+T55)</f>
        <v>0.0559862524911739</v>
      </c>
      <c r="V60" s="1" t="n">
        <f aca="false">(INDEX(finrate_coe,V4)+U55*INDEX(finrate_cod,V4))/(1+U55)</f>
        <v>0.0552992970784416</v>
      </c>
      <c r="W60" s="1" t="n">
        <f aca="false">(INDEX(finrate_coe,W4)+V55*INDEX(finrate_cod,W4))/(1+V55)</f>
        <v>0.0549548664590229</v>
      </c>
      <c r="X60" s="1" t="n">
        <f aca="false">(INDEX(finrate_coe,X4)+W55*INDEX(finrate_cod,X4))/(1+W55)</f>
        <v>0.0547459196095433</v>
      </c>
      <c r="Y60" s="1" t="n">
        <f aca="false">(INDEX(finrate_coe,Y4)+X55*INDEX(finrate_cod,Y4))/(1+X55)</f>
        <v>0.0546956192660319</v>
      </c>
      <c r="Z60" s="1" t="n">
        <f aca="false">(INDEX(finrate_coe,Z4)+Y55*INDEX(finrate_cod,Z4))/(1+Y55)</f>
        <v>0.0548226915375797</v>
      </c>
      <c r="AA60" s="1" t="n">
        <f aca="false">(INDEX(finrate_coe,AA4)+Z55*INDEX(finrate_cod,AA4))/(1+Z55)</f>
        <v>0.055786969192438</v>
      </c>
      <c r="AB60" s="1" t="n">
        <f aca="false">(INDEX(finrate_coe,AB4)+AA55*INDEX(finrate_cod,AB4))/(1+AA55)</f>
        <v>0.0559476527251787</v>
      </c>
      <c r="AC60" s="1" t="n">
        <f aca="false">(INDEX(finrate_coe,AC4)+AB55*INDEX(finrate_cod,AC4))/(1+AB55)</f>
        <v>0.0561467084812917</v>
      </c>
      <c r="AD60" s="1" t="n">
        <f aca="false">(INDEX(finrate_coe,AD4)+AC55*INDEX(finrate_cod,AD4))/(1+AC55)</f>
        <v>0.0563860218688966</v>
      </c>
      <c r="AE60" s="1" t="n">
        <f aca="false">(INDEX(finrate_coe,AE4)+AD55*INDEX(finrate_cod,AE4))/(1+AD55)</f>
        <v>0.0566682161668473</v>
      </c>
      <c r="AF60" s="1" t="n">
        <f aca="false">(INDEX(finrate_coe,AF4)+AE55*INDEX(finrate_cod,AF4))/(1+AE55)</f>
        <v>0.0570114138441128</v>
      </c>
      <c r="AG60" s="1" t="n">
        <f aca="false">(INDEX(finrate_coe,AG4)+AF55*INDEX(finrate_cod,AG4))/(1+AF55)</f>
        <v>0.0573916034516178</v>
      </c>
      <c r="AH60" s="1" t="n">
        <f aca="false">(INDEX(finrate_coe,AH4)+AG55*INDEX(finrate_cod,AH4))/(1+AG55)</f>
        <v>0.0578207437748264</v>
      </c>
      <c r="AI60" s="1" t="n">
        <f aca="false">(INDEX(finrate_coe,AI4)+AH55*INDEX(finrate_cod,AI4))/(1+AH55)</f>
        <v>0.0582990091014143</v>
      </c>
      <c r="AJ60" s="1" t="n">
        <f aca="false">(INDEX(finrate_coe,AJ4)+AI55*INDEX(finrate_cod,AJ4))/(1+AI55)</f>
        <v>0.0588241833542707</v>
      </c>
    </row>
    <row r="61" customFormat="false" ht="15" hidden="false" customHeight="true" outlineLevel="0" collapsed="false">
      <c r="B61" s="1" t="s">
        <v>675</v>
      </c>
      <c r="F61" s="1" t="n">
        <f aca="false">(F9-F11-F13)-F15</f>
        <v>24020.5914281245</v>
      </c>
      <c r="G61" s="1" t="n">
        <f aca="false">$F$61*G7/$F$7</f>
        <v>26811.5306561059</v>
      </c>
      <c r="H61" s="1" t="n">
        <f aca="false">$F$61*H7/$F$7</f>
        <v>29240.1614548924</v>
      </c>
      <c r="I61" s="1" t="n">
        <f aca="false">$F$61*I7/$F$7</f>
        <v>31324.9787252104</v>
      </c>
      <c r="J61" s="1" t="n">
        <f aca="false">$F$61*J7/$F$7</f>
        <v>33103.9564050904</v>
      </c>
      <c r="K61" s="1" t="n">
        <f aca="false">$F$61*K7/$F$7</f>
        <v>34622.6851164599</v>
      </c>
      <c r="L61" s="1" t="n">
        <f aca="false">$F$61*L7/$F$7</f>
        <v>35915.8789104132</v>
      </c>
      <c r="M61" s="1" t="n">
        <f aca="false">$F$61*M7/$F$7</f>
        <v>37049.4079255421</v>
      </c>
      <c r="N61" s="1" t="n">
        <f aca="false">$F$61*N7/$F$7</f>
        <v>38074.4517776346</v>
      </c>
      <c r="O61" s="1" t="n">
        <f aca="false">$F$61*O7/$F$7</f>
        <v>39022.5367096064</v>
      </c>
      <c r="P61" s="1" t="n">
        <f aca="false">$F$61*P7/$F$7</f>
        <v>39920.6766055583</v>
      </c>
      <c r="Q61" s="1" t="n">
        <f aca="false">$F$61*Q7/$F$7</f>
        <v>40799.9671072211</v>
      </c>
      <c r="R61" s="1" t="n">
        <f aca="false">$F$61*R7/$F$7</f>
        <v>41658.8331416639</v>
      </c>
      <c r="S61" s="1" t="n">
        <f aca="false">$F$61*S7/$F$7</f>
        <v>42908.5981359138</v>
      </c>
      <c r="T61" s="1" t="n">
        <f aca="false">$F$61*T7/$F$7</f>
        <v>44195.8560799912</v>
      </c>
      <c r="U61" s="1" t="n">
        <f aca="false">$F$61*U7/$F$7</f>
        <v>45521.7317623909</v>
      </c>
      <c r="V61" s="1" t="n">
        <f aca="false">$F$61*V7/$F$7</f>
        <v>46887.3837152627</v>
      </c>
      <c r="W61" s="1" t="n">
        <f aca="false">$F$61*W7/$F$7</f>
        <v>48294.0052267205</v>
      </c>
      <c r="X61" s="1" t="n">
        <f aca="false">$F$61*X7/$F$7</f>
        <v>49742.8253835221</v>
      </c>
      <c r="Y61" s="1" t="n">
        <f aca="false">$F$61*Y7/$F$7</f>
        <v>51235.1101450278</v>
      </c>
      <c r="Z61" s="1" t="n">
        <f aca="false">$F$61*Z7/$F$7</f>
        <v>52772.1634493787</v>
      </c>
      <c r="AA61" s="1" t="n">
        <f aca="false">$F$61*AA7/$F$7</f>
        <v>54355.32835286</v>
      </c>
      <c r="AB61" s="1" t="n">
        <f aca="false">$F$61*AB7/$F$7</f>
        <v>55985.9882034458</v>
      </c>
      <c r="AC61" s="1" t="n">
        <f aca="false">$F$61*AC7/$F$7</f>
        <v>57665.5678495492</v>
      </c>
      <c r="AD61" s="1" t="n">
        <f aca="false">$F$61*AD7/$F$7</f>
        <v>59395.5348850357</v>
      </c>
      <c r="AE61" s="1" t="n">
        <f aca="false">$F$61*AE7/$F$7</f>
        <v>61177.4009315867</v>
      </c>
      <c r="AF61" s="1" t="n">
        <f aca="false">$F$61*AF7/$F$7</f>
        <v>63012.7229595343</v>
      </c>
      <c r="AG61" s="1" t="n">
        <f aca="false">$F$61*AG7/$F$7</f>
        <v>64903.1046483204</v>
      </c>
      <c r="AH61" s="1" t="n">
        <f aca="false">$F$61*AH7/$F$7</f>
        <v>66850.19778777</v>
      </c>
      <c r="AI61" s="1" t="n">
        <f aca="false">$F$61*AI7/$F$7</f>
        <v>68855.7037214031</v>
      </c>
      <c r="AJ61" s="1" t="n">
        <f aca="false">$F$61*AJ7/$F$7</f>
        <v>70921.3748330452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676</v>
      </c>
    </row>
    <row r="2" customFormat="false" ht="15" hidden="false" customHeight="true" outlineLevel="0" collapsed="false">
      <c r="A2" s="3" t="s">
        <v>677</v>
      </c>
    </row>
    <row r="4" customFormat="false" ht="15" hidden="false" customHeight="true" outlineLevel="0" collapsed="false">
      <c r="A4" s="23" t="s">
        <v>678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679</v>
      </c>
      <c r="C5" s="54" t="n">
        <f aca="false">(1+INDEX(finrate_coe,C4))*(1+C56)-1</f>
        <v>0.0748665716577333</v>
      </c>
      <c r="D5" s="54" t="n">
        <f aca="false">(1+INDEX(finrate_coe,D4))*(1+D56)-1</f>
        <v>0.0811758566355036</v>
      </c>
      <c r="E5" s="54" t="n">
        <f aca="false">(1+INDEX(finrate_coe,E4))*(1+E56)-1</f>
        <v>0.0872295425336049</v>
      </c>
      <c r="F5" s="54" t="n">
        <f aca="false">(1+INDEX(finrate_coe,F4))*(1+F56)-1</f>
        <v>0.0889085040802657</v>
      </c>
      <c r="G5" s="54" t="n">
        <f aca="false">(1+INDEX(finrate_coe,G4))*(1+G56)-1</f>
        <v>0.0908748264171944</v>
      </c>
      <c r="H5" s="54" t="n">
        <f aca="false">(1+INDEX(finrate_coe,H4))*(1+H56)-1</f>
        <v>0.0926339156529727</v>
      </c>
      <c r="I5" s="54" t="n">
        <f aca="false">(1+INDEX(finrate_coe,I4))*(1+I56)-1</f>
        <v>0.0932414349996882</v>
      </c>
      <c r="J5" s="54" t="n">
        <f aca="false">(1+INDEX(finrate_coe,J4))*(1+J56)-1</f>
        <v>0.0924716319386079</v>
      </c>
      <c r="K5" s="54" t="n">
        <f aca="false">(1+INDEX(finrate_coe,K4))*(1+K56)-1</f>
        <v>0.0914188622358749</v>
      </c>
      <c r="L5" s="54" t="n">
        <f aca="false">(1+INDEX(finrate_coe,L4))*(1+L56)-1</f>
        <v>0.0896113040525863</v>
      </c>
      <c r="M5" s="54" t="n">
        <f aca="false">(1+INDEX(finrate_coe,M4))*(1+M56)-1</f>
        <v>0.0871656754250314</v>
      </c>
      <c r="N5" s="54" t="n">
        <f aca="false">(1+INDEX(finrate_coe,N4))*(1+N56)-1</f>
        <v>0.0853560454376265</v>
      </c>
      <c r="O5" s="54" t="n">
        <f aca="false">(1+INDEX(finrate_coe,O4))*(1+O56)-1</f>
        <v>0.0839397798592372</v>
      </c>
      <c r="P5" s="36" t="n">
        <f aca="false">(1+INDEX(finrate_coe,P4))*(1+P56)-1</f>
        <v>0.0829389086493455</v>
      </c>
      <c r="Q5" s="36" t="n">
        <f aca="false">(1+INDEX(finrate_coe,Q4))*(1+Q56)-1</f>
        <v>0.0822075015282449</v>
      </c>
      <c r="R5" s="36" t="n">
        <f aca="false">(1+INDEX(finrate_coe,R4))*(1+R56)-1</f>
        <v>0.0815424459806935</v>
      </c>
      <c r="S5" s="36" t="n">
        <f aca="false">(1+INDEX(finrate_coe,S4))*(1+S56)-1</f>
        <v>0.0814144672999213</v>
      </c>
      <c r="T5" s="36" t="n">
        <f aca="false">(1+INDEX(finrate_coe,T4))*(1+T56)-1</f>
        <v>0.0815430395984151</v>
      </c>
      <c r="U5" s="36" t="n">
        <f aca="false">(1+INDEX(finrate_coe,U4))*(1+U56)-1</f>
        <v>0.081883047859483</v>
      </c>
      <c r="V5" s="36" t="n">
        <f aca="false">(1+INDEX(finrate_coe,V4))*(1+V56)-1</f>
        <v>0.0824324626299091</v>
      </c>
      <c r="W5" s="36" t="n">
        <f aca="false">(1+INDEX(finrate_coe,W4))*(1+W56)-1</f>
        <v>0.0840082174473058</v>
      </c>
      <c r="X5" s="36" t="n">
        <f aca="false">(1+INDEX(finrate_coe,X4))*(1+X56)-1</f>
        <v>0.0844841802534386</v>
      </c>
      <c r="Y5" s="36" t="n">
        <f aca="false">(1+INDEX(finrate_coe,Y4))*(1+Y56)-1</f>
        <v>0.0849764398756003</v>
      </c>
      <c r="Z5" s="36" t="n">
        <f aca="false">(1+INDEX(finrate_coe,Z4))*(1+Z56)-1</f>
        <v>0.0853467965379036</v>
      </c>
      <c r="AA5" s="36" t="n">
        <f aca="false">(1+INDEX(finrate_coe,AA4))*(1+AA56)-1</f>
        <v>0.0856953988739095</v>
      </c>
      <c r="AB5" s="36" t="n">
        <f aca="false">(1+INDEX(finrate_coe,AB4))*(1+AB56)-1</f>
        <v>0.0858639683382756</v>
      </c>
      <c r="AC5" s="36" t="n">
        <f aca="false">(1+INDEX(finrate_coe,AC4))*(1+AC56)-1</f>
        <v>0.0859261019962971</v>
      </c>
      <c r="AD5" s="36" t="n">
        <f aca="false">(1+INDEX(finrate_coe,AD4))*(1+AD56)-1</f>
        <v>0.085818037009495</v>
      </c>
      <c r="AE5" s="36" t="n">
        <f aca="false">(1+INDEX(finrate_coe,AE4))*(1+AE56)-1</f>
        <v>0.0855464050879446</v>
      </c>
      <c r="AF5" s="36" t="n">
        <f aca="false">(1+INDEX(finrate_coe,AF4))*(1+AF56)-1</f>
        <v>0.0850605440076557</v>
      </c>
    </row>
    <row r="6" customFormat="false" ht="15" hidden="false" customHeight="true" outlineLevel="0" collapsed="false">
      <c r="A6" s="26" t="s">
        <v>680</v>
      </c>
      <c r="C6" s="54" t="n">
        <f aca="false">(1+INDEX(finrate_cod,C4))*(1+C56)-1</f>
        <v>0.04428147302648</v>
      </c>
      <c r="D6" s="54" t="n">
        <f aca="false">(1+INDEX(finrate_cod,D4))*(1+D56)-1</f>
        <v>0.0460369576802924</v>
      </c>
      <c r="E6" s="54" t="n">
        <f aca="false">(1+INDEX(finrate_cod,E4))*(1+E56)-1</f>
        <v>0.0482489916176181</v>
      </c>
      <c r="F6" s="54" t="n">
        <f aca="false">(1+INDEX(finrate_cod,F4))*(1+F56)-1</f>
        <v>0.0504408379508758</v>
      </c>
      <c r="G6" s="54" t="n">
        <f aca="false">(1+INDEX(finrate_cod,G4))*(1+G56)-1</f>
        <v>0.0525326259385541</v>
      </c>
      <c r="H6" s="54" t="n">
        <f aca="false">(1+INDEX(finrate_cod,H4))*(1+H56)-1</f>
        <v>0.0552121791594553</v>
      </c>
      <c r="I6" s="54" t="n">
        <f aca="false">(1+INDEX(finrate_cod,I4))*(1+I56)-1</f>
        <v>0.0574439071164092</v>
      </c>
      <c r="J6" s="54" t="n">
        <f aca="false">(1+INDEX(finrate_cod,J4))*(1+J56)-1</f>
        <v>0.0594327852106051</v>
      </c>
      <c r="K6" s="54" t="n">
        <f aca="false">(1+INDEX(finrate_cod,K4))*(1+K56)-1</f>
        <v>0.0612005729429339</v>
      </c>
      <c r="L6" s="54" t="n">
        <f aca="false">(1+INDEX(finrate_cod,L4))*(1+L56)-1</f>
        <v>0.0625752897478815</v>
      </c>
      <c r="M6" s="54" t="n">
        <f aca="false">(1+INDEX(finrate_cod,M4))*(1+M56)-1</f>
        <v>0.0634346402057266</v>
      </c>
      <c r="N6" s="54" t="n">
        <f aca="false">(1+INDEX(finrate_cod,N4))*(1+N56)-1</f>
        <v>0.0644580750520492</v>
      </c>
      <c r="O6" s="54" t="n">
        <f aca="false">(1+INDEX(finrate_cod,O4))*(1+O56)-1</f>
        <v>0.0653894641781176</v>
      </c>
      <c r="P6" s="36" t="n">
        <f aca="false">(1+INDEX(finrate_cod,P4))*(1+P56)-1</f>
        <v>0.0662113877179866</v>
      </c>
      <c r="Q6" s="36" t="n">
        <f aca="false">(1+INDEX(finrate_cod,Q4))*(1+Q56)-1</f>
        <v>0.066868096076214</v>
      </c>
      <c r="R6" s="36" t="n">
        <f aca="false">(1+INDEX(finrate_cod,R4))*(1+R56)-1</f>
        <v>0.0673767919162638</v>
      </c>
      <c r="S6" s="36" t="n">
        <f aca="false">(1+INDEX(finrate_cod,S4))*(1+S56)-1</f>
        <v>0.0677185754537277</v>
      </c>
      <c r="T6" s="36" t="n">
        <f aca="false">(1+INDEX(finrate_cod,T4))*(1+T56)-1</f>
        <v>0.0679208969576028</v>
      </c>
      <c r="U6" s="36" t="n">
        <f aca="false">(1+INDEX(finrate_cod,U4))*(1+U56)-1</f>
        <v>0.0679670909507089</v>
      </c>
      <c r="V6" s="36" t="n">
        <f aca="false">(1+INDEX(finrate_cod,V4))*(1+V56)-1</f>
        <v>0.0678825569805333</v>
      </c>
      <c r="W6" s="36" t="n">
        <f aca="false">(1+INDEX(finrate_cod,W4))*(1+W56)-1</f>
        <v>0.0676472020876284</v>
      </c>
      <c r="X6" s="36" t="n">
        <f aca="false">(1+INDEX(finrate_cod,X4))*(1+X56)-1</f>
        <v>0.0672323333345359</v>
      </c>
      <c r="Y6" s="36" t="n">
        <f aca="false">(1+INDEX(finrate_cod,Y4))*(1+Y56)-1</f>
        <v>0.0667544401659723</v>
      </c>
      <c r="Z6" s="36" t="n">
        <f aca="false">(1+INDEX(finrate_cod,Z4))*(1+Z56)-1</f>
        <v>0.0661048182643726</v>
      </c>
      <c r="AA6" s="36" t="n">
        <f aca="false">(1+INDEX(finrate_cod,AA4))*(1+AA56)-1</f>
        <v>0.0654145824135273</v>
      </c>
      <c r="AB6" s="36" t="n">
        <f aca="false">(1+INDEX(finrate_cod,AB4))*(1+AB56)-1</f>
        <v>0.0645462635520144</v>
      </c>
      <c r="AC6" s="36" t="n">
        <f aca="false">(1+INDEX(finrate_cod,AC4))*(1+AC56)-1</f>
        <v>0.0636392210099113</v>
      </c>
      <c r="AD6" s="36" t="n">
        <f aca="false">(1+INDEX(finrate_cod,AD4))*(1+AD56)-1</f>
        <v>0.0626548180199442</v>
      </c>
      <c r="AE6" s="36" t="n">
        <f aca="false">(1+INDEX(finrate_cod,AE4))*(1+AE56)-1</f>
        <v>0.0616184744205068</v>
      </c>
      <c r="AF6" s="36" t="n">
        <f aca="false">(1+INDEX(finrate_cod,AF4))*(1+AF56)-1</f>
        <v>0.0604783455183917</v>
      </c>
    </row>
    <row r="7" customFormat="false" ht="15" hidden="false" customHeight="true" outlineLevel="0" collapsed="false">
      <c r="A7" s="26" t="s">
        <v>681</v>
      </c>
      <c r="B7" s="47" t="n">
        <f aca="false">anchor_ni0/anchor_shares0</f>
        <v>18.2075616544201</v>
      </c>
      <c r="C7" s="47" t="n">
        <f aca="false">IF(cfg_mode="Enterprise",INDEX(fc_ni,C4)/anchor_shares0,INDEX(fc_eps,C4))</f>
        <v>13.8642589869454</v>
      </c>
      <c r="D7" s="47" t="n">
        <f aca="false">IF(cfg_mode="Enterprise",INDEX(fc_ni,D4)/anchor_shares0,INDEX(fc_eps,D4))</f>
        <v>15.4857835933958</v>
      </c>
      <c r="E7" s="47" t="n">
        <f aca="false">IF(cfg_mode="Enterprise",INDEX(fc_ni,E4)/anchor_shares0,INDEX(fc_eps,E4))</f>
        <v>17.1123168455469</v>
      </c>
      <c r="F7" s="47" t="n">
        <f aca="false">IF(cfg_mode="Enterprise",INDEX(fc_ni,F4)/anchor_shares0,INDEX(fc_eps,F4))</f>
        <v>18.650671978459</v>
      </c>
      <c r="G7" s="47" t="n">
        <f aca="false">IF(cfg_mode="Enterprise",INDEX(fc_ni,G4)/anchor_shares0,INDEX(fc_eps,G4))</f>
        <v>20.1074261928823</v>
      </c>
      <c r="H7" s="47" t="n">
        <f aca="false">IF(cfg_mode="Enterprise",INDEX(fc_ni,H4)/anchor_shares0,INDEX(fc_eps,H4))</f>
        <v>21.4823221139832</v>
      </c>
      <c r="I7" s="47" t="n">
        <f aca="false">IF(cfg_mode="Enterprise",INDEX(fc_ni,I4)/anchor_shares0,INDEX(fc_eps,I4))</f>
        <v>22.7867356129006</v>
      </c>
      <c r="J7" s="47" t="n">
        <f aca="false">IF(cfg_mode="Enterprise",INDEX(fc_ni,J4)/anchor_shares0,INDEX(fc_eps,J4))</f>
        <v>24.0312386310325</v>
      </c>
      <c r="K7" s="47" t="n">
        <f aca="false">IF(cfg_mode="Enterprise",INDEX(fc_ni,K4)/anchor_shares0,INDEX(fc_eps,K4))</f>
        <v>25.1671518586914</v>
      </c>
      <c r="L7" s="47" t="n">
        <f aca="false">IF(cfg_mode="Enterprise",INDEX(fc_ni,L4)/anchor_shares0,INDEX(fc_eps,L4))</f>
        <v>26.2193819949024</v>
      </c>
      <c r="M7" s="47" t="n">
        <f aca="false">IF(cfg_mode="Enterprise",INDEX(fc_ni,M4)/anchor_shares0,INDEX(fc_eps,M4))</f>
        <v>27.4135011864695</v>
      </c>
      <c r="N7" s="47" t="n">
        <f aca="false">IF(cfg_mode="Enterprise",INDEX(fc_ni,N4)/anchor_shares0,INDEX(fc_eps,N4))</f>
        <v>28.6029391696601</v>
      </c>
      <c r="O7" s="47" t="n">
        <f aca="false">IF(cfg_mode="Enterprise",INDEX(fc_ni,O4)/anchor_shares0,INDEX(fc_eps,O4))</f>
        <v>9.05861202747951</v>
      </c>
      <c r="P7" s="26" t="n">
        <f aca="false">IF(cfg_mode="Enterprise",INDEX(fc_ni,P4)/anchor_shares0,INDEX(fc_eps,P4))</f>
        <v>10.5752537470682</v>
      </c>
      <c r="Q7" s="26" t="n">
        <f aca="false">IF(cfg_mode="Enterprise",INDEX(fc_ni,Q4)/anchor_shares0,INDEX(fc_eps,Q4))</f>
        <v>10.9335221786838</v>
      </c>
      <c r="R7" s="26" t="n">
        <f aca="false">IF(cfg_mode="Enterprise",INDEX(fc_ni,R4)/anchor_shares0,INDEX(fc_eps,R4))</f>
        <v>11.289773189959</v>
      </c>
      <c r="S7" s="26" t="n">
        <f aca="false">IF(cfg_mode="Enterprise",INDEX(fc_ni,S4)/anchor_shares0,INDEX(fc_eps,S4))</f>
        <v>11.7515966402777</v>
      </c>
      <c r="T7" s="26" t="n">
        <f aca="false">IF(cfg_mode="Enterprise",INDEX(fc_ni,T4)/anchor_shares0,INDEX(fc_eps,T4))</f>
        <v>12.2784283821358</v>
      </c>
      <c r="U7" s="26" t="n">
        <f aca="false">IF(cfg_mode="Enterprise",INDEX(fc_ni,U4)/anchor_shares0,INDEX(fc_eps,U4))</f>
        <v>12.8818763875283</v>
      </c>
      <c r="V7" s="26" t="n">
        <f aca="false">IF(cfg_mode="Enterprise",INDEX(fc_ni,V4)/anchor_shares0,INDEX(fc_eps,V4))</f>
        <v>13.5738948062397</v>
      </c>
      <c r="W7" s="26" t="n">
        <f aca="false">IF(cfg_mode="Enterprise",INDEX(fc_ni,W4)/anchor_shares0,INDEX(fc_eps,W4))</f>
        <v>14.5620882765839</v>
      </c>
      <c r="X7" s="26" t="n">
        <f aca="false">IF(cfg_mode="Enterprise",INDEX(fc_ni,X4)/anchor_shares0,INDEX(fc_eps,X4))</f>
        <v>15.3688851602329</v>
      </c>
      <c r="Y7" s="26" t="n">
        <f aca="false">IF(cfg_mode="Enterprise",INDEX(fc_ni,Y4)/anchor_shares0,INDEX(fc_eps,Y4))</f>
        <v>16.2359399613211</v>
      </c>
      <c r="Z7" s="26" t="n">
        <f aca="false">IF(cfg_mode="Enterprise",INDEX(fc_ni,Z4)/anchor_shares0,INDEX(fc_eps,Z4))</f>
        <v>17.1646954469932</v>
      </c>
      <c r="AA7" s="26" t="n">
        <f aca="false">IF(cfg_mode="Enterprise",INDEX(fc_ni,AA4)/anchor_shares0,INDEX(fc_eps,AA4))</f>
        <v>18.1579015191291</v>
      </c>
      <c r="AB7" s="26" t="n">
        <f aca="false">IF(cfg_mode="Enterprise",INDEX(fc_ni,AB4)/anchor_shares0,INDEX(fc_eps,AB4))</f>
        <v>19.2208485105315</v>
      </c>
      <c r="AC7" s="26" t="n">
        <f aca="false">IF(cfg_mode="Enterprise",INDEX(fc_ni,AC4)/anchor_shares0,INDEX(fc_eps,AC4))</f>
        <v>20.3444290128994</v>
      </c>
      <c r="AD7" s="26" t="n">
        <f aca="false">IF(cfg_mode="Enterprise",INDEX(fc_ni,AD4)/anchor_shares0,INDEX(fc_eps,AD4))</f>
        <v>21.5305971433354</v>
      </c>
      <c r="AE7" s="26" t="n">
        <f aca="false">IF(cfg_mode="Enterprise",INDEX(fc_ni,AE4)/anchor_shares0,INDEX(fc_eps,AE4))</f>
        <v>22.7771827634679</v>
      </c>
      <c r="AF7" s="26" t="n">
        <f aca="false">IF(cfg_mode="Enterprise",INDEX(fc_ni,AF4)/anchor_shares0,INDEX(fc_eps,AF4))</f>
        <v>24.0802362076716</v>
      </c>
    </row>
    <row r="8" customFormat="false" ht="15" hidden="false" customHeight="true" outlineLevel="0" collapsed="false">
      <c r="A8" s="26" t="s">
        <v>682</v>
      </c>
      <c r="B8" s="47" t="n">
        <f aca="false">anchor_dps0*INDEX(md_deflator,MATCH(in_anchor_year&amp;"",md_years,0))</f>
        <v>2.7624995618325</v>
      </c>
      <c r="C8" s="47" t="n">
        <f aca="false">IF(cfg_mode="Enterprise",C7-(C71-(1+C56)*B71),INDEX(fc_dps,C4))</f>
        <v>11.4541425385063</v>
      </c>
      <c r="D8" s="47" t="n">
        <f aca="false">IF(cfg_mode="Enterprise",D7-(D71-(1+D56)*C71),INDEX(fc_dps,D4))</f>
        <v>8.66757303414667</v>
      </c>
      <c r="E8" s="47" t="n">
        <f aca="false">IF(cfg_mode="Enterprise",E7-(E71-(1+E56)*D71),INDEX(fc_dps,E4))</f>
        <v>10.2594862935943</v>
      </c>
      <c r="F8" s="47" t="n">
        <f aca="false">IF(cfg_mode="Enterprise",F7-(F71-(1+F56)*E71),INDEX(fc_dps,F4))</f>
        <v>11.7660353167389</v>
      </c>
      <c r="G8" s="47" t="n">
        <f aca="false">IF(cfg_mode="Enterprise",G7-(G71-(1+G56)*F71),INDEX(fc_dps,G4))</f>
        <v>13.1554922395862</v>
      </c>
      <c r="H8" s="47" t="n">
        <f aca="false">IF(cfg_mode="Enterprise",H7-(H71-(1+H56)*G71),INDEX(fc_dps,H4))</f>
        <v>14.4250010054351</v>
      </c>
      <c r="I8" s="47" t="n">
        <f aca="false">IF(cfg_mode="Enterprise",I7-(I71-(1+I56)*H71),INDEX(fc_dps,I4))</f>
        <v>15.4984396239156</v>
      </c>
      <c r="J8" s="47" t="n">
        <f aca="false">IF(cfg_mode="Enterprise",J7-(J71-(1+J56)*I71),INDEX(fc_dps,J4))</f>
        <v>16.3890644739381</v>
      </c>
      <c r="K8" s="47" t="n">
        <f aca="false">IF(cfg_mode="Enterprise",K7-(K71-(1+K56)*J71),INDEX(fc_dps,K4))</f>
        <v>17.0714134842698</v>
      </c>
      <c r="L8" s="47" t="n">
        <f aca="false">IF(cfg_mode="Enterprise",L7-(L71-(1+L56)*K71),INDEX(fc_dps,L4))</f>
        <v>17.5637259220884</v>
      </c>
      <c r="M8" s="47" t="n">
        <f aca="false">IF(cfg_mode="Enterprise",M7-(M71-(1+M56)*L71),INDEX(fc_dps,M4))</f>
        <v>18.0596958880477</v>
      </c>
      <c r="N8" s="47" t="n">
        <f aca="false">IF(cfg_mode="Enterprise",N7-(N71-(1+N56)*M71),INDEX(fc_dps,N4))</f>
        <v>18.4981048755114</v>
      </c>
      <c r="O8" s="47" t="n">
        <f aca="false">IF(cfg_mode="Enterprise",O7-(O71-(1+O56)*N71),INDEX(fc_dps,O4))</f>
        <v>-14.951687516048</v>
      </c>
      <c r="P8" s="26" t="n">
        <f aca="false">IF(cfg_mode="Enterprise",P7-(P71-(1+P56)*O71),INDEX(fc_dps,P4))</f>
        <v>6.11078448622418</v>
      </c>
      <c r="Q8" s="26" t="n">
        <f aca="false">IF(cfg_mode="Enterprise",Q7-(Q71-(1+Q56)*P71),INDEX(fc_dps,Q4))</f>
        <v>6.25459105561252</v>
      </c>
      <c r="R8" s="26" t="n">
        <f aca="false">IF(cfg_mode="Enterprise",R7-(R71-(1+R56)*Q71),INDEX(fc_dps,R4))</f>
        <v>6.38504334300075</v>
      </c>
      <c r="S8" s="26" t="n">
        <f aca="false">IF(cfg_mode="Enterprise",S7-(S71-(1+S56)*R71),INDEX(fc_dps,S4))</f>
        <v>6.60873959621875</v>
      </c>
      <c r="T8" s="26" t="n">
        <f aca="false">IF(cfg_mode="Enterprise",T7-(T71-(1+T56)*S71),INDEX(fc_dps,T4))</f>
        <v>6.88411232104643</v>
      </c>
      <c r="U8" s="26" t="n">
        <f aca="false">IF(cfg_mode="Enterprise",U7-(U71-(1+U56)*T71),INDEX(fc_dps,U4))</f>
        <v>7.22200371839546</v>
      </c>
      <c r="V8" s="26" t="n">
        <f aca="false">IF(cfg_mode="Enterprise",V7-(V71-(1+V56)*U71),INDEX(fc_dps,V4))</f>
        <v>7.63365151718905</v>
      </c>
      <c r="W8" s="26" t="n">
        <f aca="false">IF(cfg_mode="Enterprise",W7-(W71-(1+W56)*V71),INDEX(fc_dps,W4))</f>
        <v>8.32588613105721</v>
      </c>
      <c r="X8" s="26" t="n">
        <f aca="false">IF(cfg_mode="Enterprise",X7-(X71-(1+X56)*W71),INDEX(fc_dps,X4))</f>
        <v>8.82096815326025</v>
      </c>
      <c r="Y8" s="26" t="n">
        <f aca="false">IF(cfg_mode="Enterprise",Y7-(Y71-(1+Y56)*X71),INDEX(fc_dps,Y4))</f>
        <v>9.35989438545729</v>
      </c>
      <c r="Z8" s="26" t="n">
        <f aca="false">IF(cfg_mode="Enterprise",Z7-(Z71-(1+Z56)*Y71),INDEX(fc_dps,Z4))</f>
        <v>9.9443464435904</v>
      </c>
      <c r="AA8" s="26" t="n">
        <f aca="false">IF(cfg_mode="Enterprise",AA7-(AA71-(1+AA56)*Z71),INDEX(fc_dps,AA4))</f>
        <v>10.5767718735676</v>
      </c>
      <c r="AB8" s="26" t="n">
        <f aca="false">IF(cfg_mode="Enterprise",AB7-(AB71-(1+AB56)*AA71),INDEX(fc_dps,AB4))</f>
        <v>11.2634923138431</v>
      </c>
      <c r="AC8" s="26" t="n">
        <f aca="false">IF(cfg_mode="Enterprise",AC7-(AC71-(1+AC56)*AB71),INDEX(fc_dps,AC4))</f>
        <v>11.9959114214343</v>
      </c>
      <c r="AD8" s="26" t="n">
        <f aca="false">IF(cfg_mode="Enterprise",AD7-(AD71-(1+AD56)*AC71),INDEX(fc_dps,AD4))</f>
        <v>12.7772668142373</v>
      </c>
      <c r="AE8" s="26" t="n">
        <f aca="false">IF(cfg_mode="Enterprise",AE7-(AE71-(1+AE56)*AD71),INDEX(fc_dps,AE4))</f>
        <v>13.6069124044724</v>
      </c>
      <c r="AF8" s="26" t="n">
        <f aca="false">IF(cfg_mode="Enterprise",AF7-(AF71-(1+AF56)*AE71),INDEX(fc_dps,AF4))</f>
        <v>14.4831861048239</v>
      </c>
    </row>
    <row r="9" customFormat="false" ht="15" hidden="false" customHeight="true" outlineLevel="0" collapsed="false">
      <c r="A9" s="26" t="s">
        <v>683</v>
      </c>
      <c r="B9" s="47" t="n">
        <f aca="false">B7-B8</f>
        <v>15.4450620925876</v>
      </c>
      <c r="C9" s="47" t="n">
        <f aca="false">C7-C8</f>
        <v>2.41011644843907</v>
      </c>
      <c r="D9" s="47" t="n">
        <f aca="false">D7-D8</f>
        <v>6.81821055924915</v>
      </c>
      <c r="E9" s="47" t="n">
        <f aca="false">E7-E8</f>
        <v>6.85283055195261</v>
      </c>
      <c r="F9" s="47" t="n">
        <f aca="false">F7-F8</f>
        <v>6.88463666172012</v>
      </c>
      <c r="G9" s="47" t="n">
        <f aca="false">G7-G8</f>
        <v>6.95193395329608</v>
      </c>
      <c r="H9" s="47" t="n">
        <f aca="false">H7-H8</f>
        <v>7.05732110854808</v>
      </c>
      <c r="I9" s="47" t="n">
        <f aca="false">I7-I8</f>
        <v>7.28829598898507</v>
      </c>
      <c r="J9" s="47" t="n">
        <f aca="false">J7-J8</f>
        <v>7.64217415709436</v>
      </c>
      <c r="K9" s="47" t="n">
        <f aca="false">K7-K8</f>
        <v>8.09573837442154</v>
      </c>
      <c r="L9" s="47" t="n">
        <f aca="false">L7-L8</f>
        <v>8.65565607281404</v>
      </c>
      <c r="M9" s="47" t="n">
        <f aca="false">M7-M8</f>
        <v>9.35380529842183</v>
      </c>
      <c r="N9" s="47" t="n">
        <f aca="false">N7-N8</f>
        <v>10.1048342941487</v>
      </c>
      <c r="O9" s="47" t="n">
        <f aca="false">O7-O8</f>
        <v>24.0102995435275</v>
      </c>
      <c r="P9" s="26" t="n">
        <f aca="false">P7-P8</f>
        <v>4.464469260844</v>
      </c>
      <c r="Q9" s="26" t="n">
        <f aca="false">Q7-Q8</f>
        <v>4.67893112307124</v>
      </c>
      <c r="R9" s="26" t="n">
        <f aca="false">R7-R8</f>
        <v>4.90472984695822</v>
      </c>
      <c r="S9" s="26" t="n">
        <f aca="false">S7-S8</f>
        <v>5.1428570440589</v>
      </c>
      <c r="T9" s="26" t="n">
        <f aca="false">T7-T8</f>
        <v>5.3943160610894</v>
      </c>
      <c r="U9" s="26" t="n">
        <f aca="false">U7-U8</f>
        <v>5.65987266913288</v>
      </c>
      <c r="V9" s="26" t="n">
        <f aca="false">V7-V8</f>
        <v>5.94024328905067</v>
      </c>
      <c r="W9" s="26" t="n">
        <f aca="false">W7-W8</f>
        <v>6.23620214552673</v>
      </c>
      <c r="X9" s="26" t="n">
        <f aca="false">X7-X8</f>
        <v>6.54791700697268</v>
      </c>
      <c r="Y9" s="26" t="n">
        <f aca="false">Y7-Y8</f>
        <v>6.87604557586377</v>
      </c>
      <c r="Z9" s="26" t="n">
        <f aca="false">Z7-Z8</f>
        <v>7.22034900340276</v>
      </c>
      <c r="AA9" s="26" t="n">
        <f aca="false">AA7-AA8</f>
        <v>7.58112964556148</v>
      </c>
      <c r="AB9" s="26" t="n">
        <f aca="false">AB7-AB8</f>
        <v>7.95735619668841</v>
      </c>
      <c r="AC9" s="26" t="n">
        <f aca="false">AC7-AC8</f>
        <v>8.34851759146511</v>
      </c>
      <c r="AD9" s="26" t="n">
        <f aca="false">AD7-AD8</f>
        <v>8.75333032909811</v>
      </c>
      <c r="AE9" s="26" t="n">
        <f aca="false">AE7-AE8</f>
        <v>9.17027035899548</v>
      </c>
      <c r="AF9" s="26" t="n">
        <f aca="false">AF7-AF8</f>
        <v>9.59705010284779</v>
      </c>
    </row>
    <row r="10" customFormat="false" ht="15" hidden="false" customHeight="true" outlineLevel="0" collapsed="false">
      <c r="A10" s="26" t="s">
        <v>684</v>
      </c>
      <c r="B10" s="47" t="n">
        <f aca="false">anchor_real_cse0/anchor_shares0</f>
        <v>36.4553451781192</v>
      </c>
      <c r="C10" s="47" t="n">
        <f aca="false">IF(cfg_mode="Enterprise",C71,(1+C56)*B10+C9)</f>
        <v>39.6431270498979</v>
      </c>
      <c r="D10" s="47" t="n">
        <f aca="false">IF(cfg_mode="Enterprise",D71,(1+D56)*C10+D9)</f>
        <v>47.3489580858571</v>
      </c>
      <c r="E10" s="47" t="n">
        <f aca="false">IF(cfg_mode="Enterprise",E71,(1+E56)*D10+E9)</f>
        <v>55.3045300234428</v>
      </c>
      <c r="F10" s="47" t="n">
        <f aca="false">IF(cfg_mode="Enterprise",F71,(1+F56)*E10+F9)</f>
        <v>63.5183588225245</v>
      </c>
      <c r="G10" s="47" t="n">
        <f aca="false">IF(cfg_mode="Enterprise",G71,(1+G56)*F10+G9)</f>
        <v>72.0349003734486</v>
      </c>
      <c r="H10" s="47" t="n">
        <f aca="false">IF(cfg_mode="Enterprise",H71,(1+H56)*G10+H9)</f>
        <v>80.9240070795322</v>
      </c>
      <c r="I10" s="47" t="n">
        <f aca="false">IF(cfg_mode="Enterprise",I71,(1+I56)*H10+I9)</f>
        <v>90.2707298972181</v>
      </c>
      <c r="J10" s="47" t="n">
        <f aca="false">IF(cfg_mode="Enterprise",J71,(1+J56)*I10+J9)</f>
        <v>100.168915430448</v>
      </c>
      <c r="K10" s="47" t="n">
        <f aca="false">IF(cfg_mode="Enterprise",K71,(1+K56)*J10+K9)</f>
        <v>110.718705603583</v>
      </c>
      <c r="L10" s="47" t="n">
        <f aca="false">IF(cfg_mode="Enterprise",L71,(1+L56)*K10+L9)</f>
        <v>122.025299819821</v>
      </c>
      <c r="M10" s="47" t="n">
        <f aca="false">IF(cfg_mode="Enterprise",M71,(1+M56)*L10+M9)</f>
        <v>134.197323476848</v>
      </c>
      <c r="N10" s="47" t="n">
        <f aca="false">IF(cfg_mode="Enterprise",N71,(1+N56)*M10+N9)</f>
        <v>147.347319204344</v>
      </c>
      <c r="O10" s="47" t="n">
        <f aca="false">IF(cfg_mode="Enterprise",O71,(1+O56)*N10+O9)</f>
        <v>174.667308257254</v>
      </c>
      <c r="P10" s="26" t="n">
        <f aca="false">IF(cfg_mode="Enterprise",P71,(1+P56)*O10+P9)</f>
        <v>183.043239694605</v>
      </c>
      <c r="Q10" s="26" t="n">
        <f aca="false">IF(cfg_mode="Enterprise",Q71,(1+Q56)*P10+Q9)</f>
        <v>191.836176045921</v>
      </c>
      <c r="R10" s="26" t="n">
        <f aca="false">IF(cfg_mode="Enterprise",R71,(1+R56)*Q10+R9)</f>
        <v>201.093923725288</v>
      </c>
      <c r="S10" s="26" t="n">
        <f aca="false">IF(cfg_mode="Enterprise",S71,(1+S56)*R10+S9)</f>
        <v>210.857138806415</v>
      </c>
      <c r="T10" s="26" t="n">
        <f aca="false">IF(cfg_mode="Enterprise",T71,(1+T56)*S10+T9)</f>
        <v>221.166958504668</v>
      </c>
      <c r="U10" s="26" t="n">
        <f aca="false">IF(cfg_mode="Enterprise",U71,(1+U56)*T10+U9)</f>
        <v>232.054779434447</v>
      </c>
      <c r="V10" s="26" t="n">
        <f aca="false">IF(cfg_mode="Enterprise",V71,(1+V56)*U10+V9)</f>
        <v>243.549974851079</v>
      </c>
      <c r="W10" s="26" t="n">
        <f aca="false">IF(cfg_mode="Enterprise",W71,(1+W56)*V10+W9)</f>
        <v>255.684287966597</v>
      </c>
      <c r="X10" s="26" t="n">
        <f aca="false">IF(cfg_mode="Enterprise",X71,(1+X56)*W10+X9)</f>
        <v>268.464597285879</v>
      </c>
      <c r="Y10" s="26" t="n">
        <f aca="false">IF(cfg_mode="Enterprise",Y71,(1+Y56)*X10+Y9)</f>
        <v>281.917868610413</v>
      </c>
      <c r="Z10" s="26" t="n">
        <f aca="false">IF(cfg_mode="Enterprise",Z71,(1+Z56)*Y10+Z9)</f>
        <v>296.034309139515</v>
      </c>
      <c r="AA10" s="26" t="n">
        <f aca="false">IF(cfg_mode="Enterprise",AA71,(1+AA56)*Z10+AA9)</f>
        <v>310.82631546802</v>
      </c>
      <c r="AB10" s="26" t="n">
        <f aca="false">IF(cfg_mode="Enterprise",AB71,(1+AB56)*AA10+AB9)</f>
        <v>326.251604064226</v>
      </c>
      <c r="AC10" s="26" t="n">
        <f aca="false">IF(cfg_mode="Enterprise",AC71,(1+AC56)*AB10+AC9)</f>
        <v>342.28922125007</v>
      </c>
      <c r="AD10" s="26" t="n">
        <f aca="false">IF(cfg_mode="Enterprise",AD71,(1+AD56)*AC10+AD9)</f>
        <v>358.886543493022</v>
      </c>
      <c r="AE10" s="26" t="n">
        <f aca="false">IF(cfg_mode="Enterprise",AE71,(1+AE56)*AD10+AE9)</f>
        <v>375.981084718816</v>
      </c>
      <c r="AF10" s="26" t="n">
        <f aca="false">IF(cfg_mode="Enterprise",AF71,(1+AF56)*AE10+AF9)</f>
        <v>393.479054216763</v>
      </c>
    </row>
    <row r="11" customFormat="false" ht="15" hidden="false" customHeight="true" outlineLevel="0" collapsed="false">
      <c r="A11" s="26" t="s">
        <v>685</v>
      </c>
      <c r="B11" s="47" t="n">
        <f aca="false">anchor_real_nfo0/anchor_shares0</f>
        <v>7.05540402298824</v>
      </c>
      <c r="C11" s="47" t="n">
        <f aca="false">IF(cfg_mode="Enterprise",INDEX(fc_nfo,C4)/anchor_shares0,INDEX(fc_nfo,C4)/INDEX(fc_shares,C4))</f>
        <v>13.8750944674643</v>
      </c>
      <c r="D11" s="47" t="n">
        <f aca="false">IF(cfg_mode="Enterprise",INDEX(fc_nfo,D4)/anchor_shares0,INDEX(fc_nfo,D4)/INDEX(fc_shares,D4))</f>
        <v>16.57213533005</v>
      </c>
      <c r="E11" s="47" t="n">
        <f aca="false">IF(cfg_mode="Enterprise",INDEX(fc_nfo,E4)/anchor_shares0,INDEX(fc_nfo,E4)/INDEX(fc_shares,E4))</f>
        <v>19.356585508205</v>
      </c>
      <c r="F11" s="47" t="n">
        <f aca="false">IF(cfg_mode="Enterprise",INDEX(fc_nfo,F4)/anchor_shares0,INDEX(fc_nfo,F4)/INDEX(fc_shares,F4))</f>
        <v>22.2314255878836</v>
      </c>
      <c r="G11" s="47" t="n">
        <f aca="false">IF(cfg_mode="Enterprise",INDEX(fc_nfo,G4)/anchor_shares0,INDEX(fc_nfo,G4)/INDEX(fc_shares,G4))</f>
        <v>25.212215130707</v>
      </c>
      <c r="H11" s="47" t="n">
        <f aca="false">IF(cfg_mode="Enterprise",INDEX(fc_nfo,H4)/anchor_shares0,INDEX(fc_nfo,H4)/INDEX(fc_shares,H4))</f>
        <v>28.3234024778362</v>
      </c>
      <c r="I11" s="47" t="n">
        <f aca="false">IF(cfg_mode="Enterprise",INDEX(fc_nfo,I4)/anchor_shares0,INDEX(fc_nfo,I4)/INDEX(fc_shares,I4))</f>
        <v>31.5947554640263</v>
      </c>
      <c r="J11" s="47" t="n">
        <f aca="false">IF(cfg_mode="Enterprise",INDEX(fc_nfo,J4)/anchor_shares0,INDEX(fc_nfo,J4)/INDEX(fc_shares,J4))</f>
        <v>35.0591204006568</v>
      </c>
      <c r="K11" s="47" t="n">
        <f aca="false">IF(cfg_mode="Enterprise",INDEX(fc_nfo,K4)/anchor_shares0,INDEX(fc_nfo,K4)/INDEX(fc_shares,K4))</f>
        <v>38.751546961254</v>
      </c>
      <c r="L11" s="47" t="n">
        <f aca="false">IF(cfg_mode="Enterprise",INDEX(fc_nfo,L4)/anchor_shares0,INDEX(fc_nfo,L4)/INDEX(fc_shares,L4))</f>
        <v>42.7088549369372</v>
      </c>
      <c r="M11" s="47" t="n">
        <f aca="false">IF(cfg_mode="Enterprise",INDEX(fc_nfo,M4)/anchor_shares0,INDEX(fc_nfo,M4)/INDEX(fc_shares,M4))</f>
        <v>46.9690632168967</v>
      </c>
      <c r="N11" s="47" t="n">
        <f aca="false">IF(cfg_mode="Enterprise",INDEX(fc_nfo,N4)/anchor_shares0,INDEX(fc_nfo,N4)/INDEX(fc_shares,N4))</f>
        <v>51.5715617215204</v>
      </c>
      <c r="O11" s="47" t="n">
        <f aca="false">IF(cfg_mode="Enterprise",INDEX(fc_nfo,O4)/anchor_shares0,INDEX(fc_nfo,O4)/INDEX(fc_shares,O4))</f>
        <v>33.8043275503648</v>
      </c>
      <c r="P11" s="26" t="n">
        <f aca="false">IF(cfg_mode="Enterprise",INDEX(fc_nfo,P4)/anchor_shares0,INDEX(fc_nfo,P4)/INDEX(fc_shares,P4))</f>
        <v>35.4253677591633</v>
      </c>
      <c r="Q11" s="26" t="n">
        <f aca="false">IF(cfg_mode="Enterprise",INDEX(fc_nfo,Q4)/anchor_shares0,INDEX(fc_nfo,Q4)/INDEX(fc_shares,Q4))</f>
        <v>37.127113228966</v>
      </c>
      <c r="R11" s="26" t="n">
        <f aca="false">IF(cfg_mode="Enterprise",INDEX(fc_nfo,R4)/anchor_shares0,INDEX(fc_nfo,R4)/INDEX(fc_shares,R4))</f>
        <v>38.9188161987686</v>
      </c>
      <c r="S11" s="26" t="n">
        <f aca="false">IF(cfg_mode="Enterprise",INDEX(fc_nfo,S4)/anchor_shares0,INDEX(fc_nfo,S4)/INDEX(fc_shares,S4))</f>
        <v>40.808345062756</v>
      </c>
      <c r="T11" s="26" t="n">
        <f aca="false">IF(cfg_mode="Enterprise",INDEX(fc_nfo,T4)/anchor_shares0,INDEX(fc_nfo,T4)/INDEX(fc_shares,T4))</f>
        <v>42.8036613331119</v>
      </c>
      <c r="U11" s="26" t="n">
        <f aca="false">IF(cfg_mode="Enterprise",INDEX(fc_nfo,U4)/anchor_shares0,INDEX(fc_nfo,U4)/INDEX(fc_shares,U4))</f>
        <v>44.9108413697898</v>
      </c>
      <c r="V11" s="26" t="n">
        <f aca="false">IF(cfg_mode="Enterprise",INDEX(fc_nfo,V4)/anchor_shares0,INDEX(fc_nfo,V4)/INDEX(fc_shares,V4))</f>
        <v>47.1355699409027</v>
      </c>
      <c r="W11" s="26" t="n">
        <f aca="false">IF(cfg_mode="Enterprise",INDEX(fc_nfo,W4)/anchor_shares0,INDEX(fc_nfo,W4)/INDEX(fc_shares,W4))</f>
        <v>49.4839904853559</v>
      </c>
      <c r="X11" s="26" t="n">
        <f aca="false">IF(cfg_mode="Enterprise",INDEX(fc_nfo,X4)/anchor_shares0,INDEX(fc_nfo,X4)/INDEX(fc_shares,X4))</f>
        <v>51.9574342381369</v>
      </c>
      <c r="Y11" s="26" t="n">
        <f aca="false">IF(cfg_mode="Enterprise",INDEX(fc_nfo,Y4)/anchor_shares0,INDEX(fc_nfo,Y4)/INDEX(fc_shares,Y4))</f>
        <v>54.5611200395385</v>
      </c>
      <c r="Z11" s="26" t="n">
        <f aca="false">IF(cfg_mode="Enterprise",INDEX(fc_nfo,Z4)/anchor_shares0,INDEX(fc_nfo,Z4)/INDEX(fc_shares,Z4))</f>
        <v>57.2931526348321</v>
      </c>
      <c r="AA11" s="26" t="n">
        <f aca="false">IF(cfg_mode="Enterprise",INDEX(fc_nfo,AA4)/anchor_shares0,INDEX(fc_nfo,AA4)/INDEX(fc_shares,AA4))</f>
        <v>60.1559312053898</v>
      </c>
      <c r="AB11" s="26" t="n">
        <f aca="false">IF(cfg_mode="Enterprise",INDEX(fc_nfo,AB4)/anchor_shares0,INDEX(fc_nfo,AB4)/INDEX(fc_shares,AB4))</f>
        <v>63.141272386105</v>
      </c>
      <c r="AC11" s="26" t="n">
        <f aca="false">IF(cfg_mode="Enterprise",INDEX(fc_nfo,AC4)/anchor_shares0,INDEX(fc_nfo,AC4)/INDEX(fc_shares,AC4))</f>
        <v>66.2451208960915</v>
      </c>
      <c r="AD11" s="26" t="n">
        <f aca="false">IF(cfg_mode="Enterprise",INDEX(fc_nfo,AD4)/anchor_shares0,INDEX(fc_nfo,AD4)/INDEX(fc_shares,AD4))</f>
        <v>69.457292212852</v>
      </c>
      <c r="AE11" s="26" t="n">
        <f aca="false">IF(cfg_mode="Enterprise",INDEX(fc_nfo,AE4)/anchor_shares0,INDEX(fc_nfo,AE4)/INDEX(fc_shares,AE4))</f>
        <v>72.7656930617896</v>
      </c>
      <c r="AF11" s="26" t="n">
        <f aca="false">IF(cfg_mode="Enterprise",INDEX(fc_nfo,AF4)/anchor_shares0,INDEX(fc_nfo,AF4)/INDEX(fc_shares,AF4))</f>
        <v>76.1521716093591</v>
      </c>
    </row>
    <row r="12" customFormat="false" ht="15" hidden="false" customHeight="true" outlineLevel="0" collapsed="false">
      <c r="A12" s="26" t="s">
        <v>686</v>
      </c>
      <c r="B12" s="47" t="n">
        <v>0</v>
      </c>
      <c r="C12" s="47" t="n">
        <f aca="false">C6*C11</f>
        <v>0.614409621400881</v>
      </c>
      <c r="D12" s="47" t="n">
        <f aca="false">D6*D11</f>
        <v>0.762930692861589</v>
      </c>
      <c r="E12" s="47" t="n">
        <f aca="false">E6*E11</f>
        <v>0.933935731931089</v>
      </c>
      <c r="F12" s="47" t="n">
        <f aca="false">F6*F11</f>
        <v>1.12137173549539</v>
      </c>
      <c r="G12" s="47" t="n">
        <f aca="false">G6*G11</f>
        <v>1.32446386654379</v>
      </c>
      <c r="H12" s="47" t="n">
        <f aca="false">H6*H11</f>
        <v>1.56379677201165</v>
      </c>
      <c r="I12" s="47" t="n">
        <f aca="false">I6*I11</f>
        <v>1.81492619824119</v>
      </c>
      <c r="J12" s="47" t="n">
        <f aca="false">J6*J11</f>
        <v>2.08366117244498</v>
      </c>
      <c r="K12" s="47" t="n">
        <f aca="false">K6*K11</f>
        <v>2.37161687645375</v>
      </c>
      <c r="L12" s="47" t="n">
        <f aca="false">L6*L11</f>
        <v>2.67251897247909</v>
      </c>
      <c r="M12" s="47" t="n">
        <f aca="false">M6*M11</f>
        <v>2.97946562596387</v>
      </c>
      <c r="N12" s="47" t="n">
        <f aca="false">N6*N11</f>
        <v>3.32420359599715</v>
      </c>
      <c r="O12" s="47" t="n">
        <f aca="false">O6*O11</f>
        <v>2.21044686541993</v>
      </c>
      <c r="P12" s="26" t="n">
        <f aca="false">P6*P11</f>
        <v>2.34556275975423</v>
      </c>
      <c r="Q12" s="26" t="n">
        <f aca="false">Q6*Q11</f>
        <v>2.48261937442698</v>
      </c>
      <c r="R12" s="26" t="n">
        <f aca="false">R6*R11</f>
        <v>2.62222498065175</v>
      </c>
      <c r="S12" s="26" t="n">
        <f aca="false">S6*S11</f>
        <v>2.763482994274</v>
      </c>
      <c r="T12" s="26" t="n">
        <f aca="false">T6*T11</f>
        <v>2.90726307081442</v>
      </c>
      <c r="U12" s="26" t="n">
        <f aca="false">U6*U11</f>
        <v>3.05245924005336</v>
      </c>
      <c r="V12" s="26" t="n">
        <f aca="false">V6*V11</f>
        <v>3.19968301232324</v>
      </c>
      <c r="W12" s="26" t="n">
        <f aca="false">W6*W11</f>
        <v>3.34745350446515</v>
      </c>
      <c r="X12" s="26" t="n">
        <f aca="false">X6*X11</f>
        <v>3.49321953790565</v>
      </c>
      <c r="Y12" s="26" t="n">
        <f aca="false">Y6*Y11</f>
        <v>3.64219702306781</v>
      </c>
      <c r="Z12" s="26" t="n">
        <f aca="false">Z6*Z11</f>
        <v>3.78735344271854</v>
      </c>
      <c r="AA12" s="26" t="n">
        <f aca="false">AA6*AA11</f>
        <v>3.93507511949745</v>
      </c>
      <c r="AB12" s="26" t="n">
        <f aca="false">AB6*AB11</f>
        <v>4.07553320844306</v>
      </c>
      <c r="AC12" s="26" t="n">
        <f aca="false">AC6*AC11</f>
        <v>4.21578788953466</v>
      </c>
      <c r="AD12" s="26" t="n">
        <f aca="false">AD6*AD11</f>
        <v>4.35183400375433</v>
      </c>
      <c r="AE12" s="26" t="n">
        <f aca="false">AE6*AE11</f>
        <v>4.48371099661834</v>
      </c>
      <c r="AF12" s="26" t="n">
        <f aca="false">AF6*AF11</f>
        <v>4.60555734656668</v>
      </c>
    </row>
    <row r="13" customFormat="false" ht="15" hidden="false" customHeight="true" outlineLevel="0" collapsed="false">
      <c r="A13" s="26" t="s">
        <v>687</v>
      </c>
      <c r="B13" s="47" t="n">
        <f aca="false">B7+B12</f>
        <v>18.2075616544201</v>
      </c>
      <c r="C13" s="47" t="n">
        <f aca="false">C7+C12</f>
        <v>14.4786686083462</v>
      </c>
      <c r="D13" s="47" t="n">
        <f aca="false">D7+D12</f>
        <v>16.2487142862574</v>
      </c>
      <c r="E13" s="47" t="n">
        <f aca="false">E7+E12</f>
        <v>18.046252577478</v>
      </c>
      <c r="F13" s="47" t="n">
        <f aca="false">F7+F12</f>
        <v>19.7720437139544</v>
      </c>
      <c r="G13" s="47" t="n">
        <f aca="false">G7+G12</f>
        <v>21.4318900594261</v>
      </c>
      <c r="H13" s="47" t="n">
        <f aca="false">H7+H12</f>
        <v>23.0461188859949</v>
      </c>
      <c r="I13" s="47" t="n">
        <f aca="false">I7+I12</f>
        <v>24.6016618111418</v>
      </c>
      <c r="J13" s="47" t="n">
        <f aca="false">J7+J12</f>
        <v>26.1148998034775</v>
      </c>
      <c r="K13" s="47" t="n">
        <f aca="false">K7+K12</f>
        <v>27.5387687351451</v>
      </c>
      <c r="L13" s="47" t="n">
        <f aca="false">L7+L12</f>
        <v>28.8919009673815</v>
      </c>
      <c r="M13" s="47" t="n">
        <f aca="false">M7+M12</f>
        <v>30.3929668124334</v>
      </c>
      <c r="N13" s="47" t="n">
        <f aca="false">N7+N12</f>
        <v>31.9271427656572</v>
      </c>
      <c r="O13" s="47" t="n">
        <f aca="false">O7+O12</f>
        <v>11.2690588928994</v>
      </c>
      <c r="P13" s="26" t="n">
        <f aca="false">P7+P12</f>
        <v>12.9208165068224</v>
      </c>
      <c r="Q13" s="26" t="n">
        <f aca="false">Q7+Q12</f>
        <v>13.4161415531107</v>
      </c>
      <c r="R13" s="26" t="n">
        <f aca="false">R7+R12</f>
        <v>13.9119981706107</v>
      </c>
      <c r="S13" s="26" t="n">
        <f aca="false">S7+S12</f>
        <v>14.5150796345516</v>
      </c>
      <c r="T13" s="26" t="n">
        <f aca="false">T7+T12</f>
        <v>15.1856914529502</v>
      </c>
      <c r="U13" s="26" t="n">
        <f aca="false">U7+U12</f>
        <v>15.9343356275817</v>
      </c>
      <c r="V13" s="26" t="n">
        <f aca="false">V7+V12</f>
        <v>16.773577818563</v>
      </c>
      <c r="W13" s="26" t="n">
        <f aca="false">W7+W12</f>
        <v>17.9095417810491</v>
      </c>
      <c r="X13" s="26" t="n">
        <f aca="false">X7+X12</f>
        <v>18.8621046981386</v>
      </c>
      <c r="Y13" s="26" t="n">
        <f aca="false">Y7+Y12</f>
        <v>19.8781369843889</v>
      </c>
      <c r="Z13" s="26" t="n">
        <f aca="false">Z7+Z12</f>
        <v>20.9520488897117</v>
      </c>
      <c r="AA13" s="26" t="n">
        <f aca="false">AA7+AA12</f>
        <v>22.0929766386265</v>
      </c>
      <c r="AB13" s="26" t="n">
        <f aca="false">AB7+AB12</f>
        <v>23.2963817189746</v>
      </c>
      <c r="AC13" s="26" t="n">
        <f aca="false">AC7+AC12</f>
        <v>24.5602169024341</v>
      </c>
      <c r="AD13" s="26" t="n">
        <f aca="false">AD7+AD12</f>
        <v>25.8824311470897</v>
      </c>
      <c r="AE13" s="26" t="n">
        <f aca="false">AE7+AE12</f>
        <v>27.2608937600862</v>
      </c>
      <c r="AF13" s="26" t="n">
        <f aca="false">AF7+AF12</f>
        <v>28.6857935542383</v>
      </c>
    </row>
    <row r="14" customFormat="false" ht="15" hidden="false" customHeight="true" outlineLevel="0" collapsed="false">
      <c r="A14" s="26" t="s">
        <v>688</v>
      </c>
      <c r="B14" s="46" t="n">
        <f aca="false">IF(B10=0,"",B11/B10)</f>
        <v>0.193535515533205</v>
      </c>
      <c r="C14" s="46" t="n">
        <f aca="false">IF(C10=0,"",C11/C10)</f>
        <v>0.35</v>
      </c>
      <c r="D14" s="46" t="n">
        <f aca="false">IF(D10=0,"",D11/D10)</f>
        <v>0.35</v>
      </c>
      <c r="E14" s="46" t="n">
        <f aca="false">IF(E10=0,"",E11/E10)</f>
        <v>0.35</v>
      </c>
      <c r="F14" s="46" t="n">
        <f aca="false">IF(F10=0,"",F11/F10)</f>
        <v>0.35</v>
      </c>
      <c r="G14" s="46" t="n">
        <f aca="false">IF(G10=0,"",G11/G10)</f>
        <v>0.35</v>
      </c>
      <c r="H14" s="46" t="n">
        <f aca="false">IF(H10=0,"",H11/H10)</f>
        <v>0.35</v>
      </c>
      <c r="I14" s="46" t="n">
        <f aca="false">IF(I10=0,"",I11/I10)</f>
        <v>0.35</v>
      </c>
      <c r="J14" s="46" t="n">
        <f aca="false">IF(J10=0,"",J11/J10)</f>
        <v>0.35</v>
      </c>
      <c r="K14" s="46" t="n">
        <f aca="false">IF(K10=0,"",K11/K10)</f>
        <v>0.35</v>
      </c>
      <c r="L14" s="46" t="n">
        <f aca="false">IF(L10=0,"",L11/L10)</f>
        <v>0.35</v>
      </c>
      <c r="M14" s="46" t="n">
        <f aca="false">IF(M10=0,"",M11/M10)</f>
        <v>0.35</v>
      </c>
      <c r="N14" s="46" t="n">
        <f aca="false">IF(N10=0,"",N11/N10)</f>
        <v>0.35</v>
      </c>
      <c r="O14" s="46" t="n">
        <f aca="false">IF(O10=0,"",O11/O10)</f>
        <v>0.193535515533205</v>
      </c>
      <c r="P14" s="26" t="n">
        <f aca="false">IF(P10=0,"",P11/P10)</f>
        <v>0.193535515533205</v>
      </c>
      <c r="Q14" s="26" t="n">
        <f aca="false">IF(Q10=0,"",Q11/Q10)</f>
        <v>0.193535515533205</v>
      </c>
      <c r="R14" s="26" t="n">
        <f aca="false">IF(R10=0,"",R11/R10)</f>
        <v>0.193535515533205</v>
      </c>
      <c r="S14" s="26" t="n">
        <f aca="false">IF(S10=0,"",S11/S10)</f>
        <v>0.193535515533205</v>
      </c>
      <c r="T14" s="26" t="n">
        <f aca="false">IF(T10=0,"",T11/T10)</f>
        <v>0.193535515533205</v>
      </c>
      <c r="U14" s="26" t="n">
        <f aca="false">IF(U10=0,"",U11/U10)</f>
        <v>0.193535515533205</v>
      </c>
      <c r="V14" s="26" t="n">
        <f aca="false">IF(V10=0,"",V11/V10)</f>
        <v>0.193535515533205</v>
      </c>
      <c r="W14" s="26" t="n">
        <f aca="false">IF(W10=0,"",W11/W10)</f>
        <v>0.193535515533205</v>
      </c>
      <c r="X14" s="26" t="n">
        <f aca="false">IF(X10=0,"",X11/X10)</f>
        <v>0.193535515533205</v>
      </c>
      <c r="Y14" s="26" t="n">
        <f aca="false">IF(Y10=0,"",Y11/Y10)</f>
        <v>0.193535515533205</v>
      </c>
      <c r="Z14" s="26" t="n">
        <f aca="false">IF(Z10=0,"",Z11/Z10)</f>
        <v>0.193535515533205</v>
      </c>
      <c r="AA14" s="26" t="n">
        <f aca="false">IF(AA10=0,"",AA11/AA10)</f>
        <v>0.193535515533205</v>
      </c>
      <c r="AB14" s="26" t="n">
        <f aca="false">IF(AB10=0,"",AB11/AB10)</f>
        <v>0.193535515533205</v>
      </c>
      <c r="AC14" s="26" t="n">
        <f aca="false">IF(AC10=0,"",AC11/AC10)</f>
        <v>0.193535515533205</v>
      </c>
      <c r="AD14" s="26" t="n">
        <f aca="false">IF(AD10=0,"",AD11/AD10)</f>
        <v>0.193535515533205</v>
      </c>
      <c r="AE14" s="26" t="n">
        <f aca="false">IF(AE10=0,"",AE11/AE10)</f>
        <v>0.193535515533205</v>
      </c>
      <c r="AF14" s="26" t="n">
        <f aca="false">IF(AF10=0,"",AF11/AF10)</f>
        <v>0.193535515533205</v>
      </c>
    </row>
    <row r="15" customFormat="false" ht="15" hidden="false" customHeight="true" outlineLevel="0" collapsed="false">
      <c r="A15" s="26" t="s">
        <v>689</v>
      </c>
      <c r="C15" s="54" t="n">
        <f aca="false">IF(cfg_rf_mode="Single",(1+in_rf_single)*(1+C56)-1,(C5+C14*C6)/(1+C14))</f>
        <v>0.0669371016422232</v>
      </c>
      <c r="D15" s="54" t="n">
        <f aca="false">IF(cfg_rf_mode="Single",(1+in_rf_single)*(1+D56)-1,(D5+D14*D6)/(1+D14))</f>
        <v>0.0720657717211896</v>
      </c>
      <c r="E15" s="54" t="n">
        <f aca="false">IF(cfg_rf_mode="Single",(1+in_rf_single)*(1+E56)-1,(E5+E14*E6)/(1+E14))</f>
        <v>0.0771234737776084</v>
      </c>
      <c r="F15" s="54" t="n">
        <f aca="false">IF(cfg_rf_mode="Single",(1+in_rf_single)*(1+F56)-1,(F5+F14*F6)/(1+F14))</f>
        <v>0.0789354054541276</v>
      </c>
      <c r="G15" s="54" t="n">
        <f aca="false">IF(cfg_rf_mode="Single",(1+in_rf_single)*(1+G56)-1,(G5+G14*G6)/(1+G14))</f>
        <v>0.0809342559227321</v>
      </c>
      <c r="H15" s="54" t="n">
        <f aca="false">IF(cfg_rf_mode="Single",(1+in_rf_single)*(1+H56)-1,(H5+H14*H6)/(1+H14))</f>
        <v>0.0829319839694682</v>
      </c>
      <c r="I15" s="54" t="n">
        <f aca="false">IF(cfg_rf_mode="Single",(1+in_rf_single)*(1+I56)-1,(I5+I14*I6)/(1+I14))</f>
        <v>0.0839605944373566</v>
      </c>
      <c r="J15" s="54" t="n">
        <f aca="false">IF(cfg_rf_mode="Single",(1+in_rf_single)*(1+J56)-1,(J5+J14*J6)/(1+J14))</f>
        <v>0.0839060050091257</v>
      </c>
      <c r="K15" s="54" t="n">
        <f aca="false">IF(cfg_rf_mode="Single",(1+in_rf_single)*(1+K56)-1,(K5+K14*K6)/(1+K14))</f>
        <v>0.083584490937705</v>
      </c>
      <c r="L15" s="54" t="n">
        <f aca="false">IF(cfg_rf_mode="Single",(1+in_rf_single)*(1+L56)-1,(L5+L14*L6)/(1+L14))</f>
        <v>0.0826019670106258</v>
      </c>
      <c r="M15" s="54" t="n">
        <f aca="false">IF(cfg_rf_mode="Single",(1+in_rf_single)*(1+M56)-1,(M5+M14*M6)/(1+M14))</f>
        <v>0.081013184812619</v>
      </c>
      <c r="N15" s="54" t="n">
        <f aca="false">IF(cfg_rf_mode="Single",(1+in_rf_single)*(1+N56)-1,(N5+N14*N6)/(1+N14))</f>
        <v>0.0799380531154398</v>
      </c>
      <c r="O15" s="54" t="n">
        <f aca="false">IF(cfg_rf_mode="Single",(1+in_rf_single)*(1+O56)-1,(O5+O14*O6)/(1+O14))</f>
        <v>0.0809317881724165</v>
      </c>
      <c r="P15" s="26" t="n">
        <f aca="false">IF(cfg_rf_mode="Single",(1+in_rf_single)*(1+P56)-1,(P5+P14*P6)/(1+P14))</f>
        <v>0.0802264888303201</v>
      </c>
      <c r="Q15" s="26" t="n">
        <f aca="false">IF(cfg_rf_mode="Single",(1+in_rf_single)*(1+Q56)-1,(Q5+Q14*Q6)/(1+Q14))</f>
        <v>0.0797201689742526</v>
      </c>
      <c r="R15" s="26" t="n">
        <f aca="false">IF(cfg_rf_mode="Single",(1+in_rf_single)*(1+R56)-1,(R5+R14*R6)/(1+R14))</f>
        <v>0.0792454408840335</v>
      </c>
      <c r="S15" s="26" t="n">
        <f aca="false">IF(cfg_rf_mode="Single",(1+in_rf_single)*(1+S56)-1,(S5+S14*S6)/(1+S14))</f>
        <v>0.0791936356156996</v>
      </c>
      <c r="T15" s="26" t="n">
        <f aca="false">IF(cfg_rf_mode="Single",(1+in_rf_single)*(1+T56)-1,(T5+T14*T6)/(1+T14))</f>
        <v>0.0793341665784291</v>
      </c>
      <c r="U15" s="26" t="n">
        <f aca="false">IF(cfg_rf_mode="Single",(1+in_rf_single)*(1+U56)-1,(U5+U14*U6)/(1+U14))</f>
        <v>0.0796265319373118</v>
      </c>
      <c r="V15" s="26" t="n">
        <f aca="false">IF(cfg_rf_mode="Single",(1+in_rf_single)*(1+V56)-1,(V5+V14*V6)/(1+V14))</f>
        <v>0.0800731499373551</v>
      </c>
      <c r="W15" s="26" t="n">
        <f aca="false">IF(cfg_rf_mode="Single",(1+in_rf_single)*(1+W56)-1,(W5+W14*W6)/(1+W14))</f>
        <v>0.0813552276526391</v>
      </c>
      <c r="X15" s="26" t="n">
        <f aca="false">IF(cfg_rf_mode="Single",(1+in_rf_single)*(1+X56)-1,(X5+X14*X6)/(1+X14))</f>
        <v>0.0816867393361835</v>
      </c>
      <c r="Y15" s="26" t="n">
        <f aca="false">IF(cfg_rf_mode="Single",(1+in_rf_single)*(1+Y56)-1,(Y5+Y14*Y6)/(1+Y14))</f>
        <v>0.0820216856500645</v>
      </c>
      <c r="Z15" s="26" t="n">
        <f aca="false">IF(cfg_rf_mode="Single",(1+in_rf_single)*(1+Z56)-1,(Z5+Z14*Z6)/(1+Z14))</f>
        <v>0.0822266495991819</v>
      </c>
      <c r="AA15" s="26" t="n">
        <f aca="false">IF(cfg_rf_mode="Single",(1+in_rf_single)*(1+AA56)-1,(AA5+AA14*AA6)/(1+AA14))</f>
        <v>0.0824068010751747</v>
      </c>
      <c r="AB15" s="26" t="n">
        <f aca="false">IF(cfg_rf_mode="Single",(1+in_rf_single)*(1+AB56)-1,(AB5+AB14*AB6)/(1+AB14))</f>
        <v>0.0824072358555806</v>
      </c>
      <c r="AC15" s="26" t="n">
        <f aca="false">IF(cfg_rf_mode="Single",(1+in_rf_single)*(1+AC56)-1,(AC5+AC14*AC6)/(1+AC14))</f>
        <v>0.0823122145625408</v>
      </c>
      <c r="AD15" s="26" t="n">
        <f aca="false">IF(cfg_rf_mode="Single",(1+in_rf_single)*(1+AD56)-1,(AD5+AD14*AD6)/(1+AD14))</f>
        <v>0.0820620486285807</v>
      </c>
      <c r="AE15" s="26" t="n">
        <f aca="false">IF(cfg_rf_mode="Single",(1+in_rf_single)*(1+AE56)-1,(AE5+AE14*AE6)/(1+AE14))</f>
        <v>0.0816664163175254</v>
      </c>
      <c r="AF15" s="26" t="n">
        <f aca="false">IF(cfg_rf_mode="Single",(1+in_rf_single)*(1+AF56)-1,(AF5+AF14*AF6)/(1+AF14))</f>
        <v>0.0810744636643038</v>
      </c>
    </row>
    <row r="16" customFormat="false" ht="15" hidden="false" customHeight="true" outlineLevel="0" collapsed="false">
      <c r="A16" s="26" t="s">
        <v>690</v>
      </c>
      <c r="B16" s="41" t="n">
        <v>1</v>
      </c>
      <c r="C16" s="41" t="n">
        <f aca="false">B16/(1+C5)</f>
        <v>0.930348032368084</v>
      </c>
      <c r="D16" s="41" t="n">
        <f aca="false">C16/(1+D5)</f>
        <v>0.860496492460737</v>
      </c>
      <c r="E16" s="41" t="n">
        <f aca="false">D16/(1+E5)</f>
        <v>0.791457975337476</v>
      </c>
      <c r="F16" s="41" t="n">
        <f aca="false">E16/(1+F5)</f>
        <v>0.726836067834709</v>
      </c>
      <c r="G16" s="41" t="n">
        <f aca="false">F16/(1+G5)</f>
        <v>0.666287323012015</v>
      </c>
      <c r="H16" s="41" t="n">
        <f aca="false">G16/(1+H5)</f>
        <v>0.609799232356643</v>
      </c>
      <c r="I16" s="41" t="n">
        <f aca="false">H16/(1+I5)</f>
        <v>0.557790084453593</v>
      </c>
      <c r="J16" s="41" t="n">
        <f aca="false">I16/(1+J5)</f>
        <v>0.510576264084574</v>
      </c>
      <c r="K16" s="41" t="n">
        <f aca="false">J16/(1+K5)</f>
        <v>0.467809639132139</v>
      </c>
      <c r="L16" s="41" t="n">
        <f aca="false">K16/(1+L5)</f>
        <v>0.429336257243493</v>
      </c>
      <c r="M16" s="41" t="n">
        <f aca="false">L16/(1+M5)</f>
        <v>0.394913366884622</v>
      </c>
      <c r="N16" s="41" t="n">
        <f aca="false">M16/(1+N5)</f>
        <v>0.363856053084763</v>
      </c>
      <c r="O16" s="41" t="n">
        <f aca="false">N16/(1+O5)</f>
        <v>0.335679213777</v>
      </c>
      <c r="P16" s="26" t="n">
        <f aca="false">O16/(1+P5)</f>
        <v>0.309970591227222</v>
      </c>
      <c r="Q16" s="26" t="n">
        <f aca="false">P16/(1+Q5)</f>
        <v>0.286424360198479</v>
      </c>
      <c r="R16" s="26" t="n">
        <f aca="false">Q16/(1+R5)</f>
        <v>0.264829513869668</v>
      </c>
      <c r="S16" s="26" t="n">
        <f aca="false">R16/(1+S5)</f>
        <v>0.24489178005071</v>
      </c>
      <c r="T16" s="26" t="n">
        <f aca="false">S16/(1+T5)</f>
        <v>0.226428141169158</v>
      </c>
      <c r="U16" s="26" t="n">
        <f aca="false">T16/(1+U5)</f>
        <v>0.209290774651797</v>
      </c>
      <c r="V16" s="26" t="n">
        <f aca="false">U16/(1+V5)</f>
        <v>0.19335227081355</v>
      </c>
      <c r="W16" s="26" t="n">
        <f aca="false">V16/(1+W5)</f>
        <v>0.178367901369668</v>
      </c>
      <c r="X16" s="26" t="n">
        <f aca="false">W16/(1+X5)</f>
        <v>0.164472571031865</v>
      </c>
      <c r="Y16" s="26" t="n">
        <f aca="false">X16/(1+Y5)</f>
        <v>0.151590914776659</v>
      </c>
      <c r="Z16" s="26" t="n">
        <f aca="false">Y16/(1+Z5)</f>
        <v>0.139670486207922</v>
      </c>
      <c r="AA16" s="26" t="n">
        <f aca="false">Z16/(1+AA5)</f>
        <v>0.128646106774321</v>
      </c>
      <c r="AB16" s="26" t="n">
        <f aca="false">AA16/(1+AB5)</f>
        <v>0.118473501769463</v>
      </c>
      <c r="AC16" s="26" t="n">
        <f aca="false">AB16/(1+AC5)</f>
        <v>0.109099046013968</v>
      </c>
      <c r="AD16" s="26" t="n">
        <f aca="false">AC16/(1+AD5)</f>
        <v>0.100476361872237</v>
      </c>
      <c r="AE16" s="26" t="n">
        <f aca="false">AD16/(1+AE5)</f>
        <v>0.0925583295207881</v>
      </c>
      <c r="AF16" s="26" t="n">
        <f aca="false">AE16/(1+AF5)</f>
        <v>0.0853024561919146</v>
      </c>
    </row>
    <row r="17" customFormat="false" ht="15" hidden="false" customHeight="true" outlineLevel="0" collapsed="false">
      <c r="A17" s="26" t="s">
        <v>691</v>
      </c>
      <c r="B17" s="41" t="n">
        <v>1</v>
      </c>
      <c r="C17" s="41" t="n">
        <f aca="false">B17/(1+C6)</f>
        <v>0.957596228440072</v>
      </c>
      <c r="D17" s="41" t="n">
        <f aca="false">C17/(1+D6)</f>
        <v>0.915451620909888</v>
      </c>
      <c r="E17" s="41" t="n">
        <f aca="false">D17/(1+E6)</f>
        <v>0.873315050365275</v>
      </c>
      <c r="F17" s="41" t="n">
        <f aca="false">E17/(1+F6)</f>
        <v>0.831379568285706</v>
      </c>
      <c r="G17" s="41" t="n">
        <f aca="false">F17/(1+G6)</f>
        <v>0.789884843279187</v>
      </c>
      <c r="H17" s="41" t="n">
        <f aca="false">G17/(1+H6)</f>
        <v>0.748555464843461</v>
      </c>
      <c r="I17" s="41" t="n">
        <f aca="false">H17/(1+I6)</f>
        <v>0.707891416089133</v>
      </c>
      <c r="J17" s="41" t="n">
        <f aca="false">I17/(1+J6)</f>
        <v>0.668179639115483</v>
      </c>
      <c r="K17" s="41" t="n">
        <f aca="false">J17/(1+K6)</f>
        <v>0.629645004113105</v>
      </c>
      <c r="L17" s="41" t="n">
        <f aca="false">K17/(1+L6)</f>
        <v>0.592565072977089</v>
      </c>
      <c r="M17" s="41" t="n">
        <f aca="false">L17/(1+M6)</f>
        <v>0.557218140705342</v>
      </c>
      <c r="N17" s="41" t="n">
        <f aca="false">M17/(1+N6)</f>
        <v>0.52347589234841</v>
      </c>
      <c r="O17" s="41" t="n">
        <f aca="false">N17/(1+O6)</f>
        <v>0.491346976809311</v>
      </c>
      <c r="P17" s="26" t="n">
        <f aca="false">O17/(1+P6)</f>
        <v>0.460834485984005</v>
      </c>
      <c r="Q17" s="26" t="n">
        <f aca="false">P17/(1+Q6)</f>
        <v>0.431950760997435</v>
      </c>
      <c r="R17" s="26" t="n">
        <f aca="false">Q17/(1+R6)</f>
        <v>0.404684422847486</v>
      </c>
      <c r="S17" s="26" t="n">
        <f aca="false">R17/(1+S6)</f>
        <v>0.379017872453437</v>
      </c>
      <c r="T17" s="26" t="n">
        <f aca="false">S17/(1+T6)</f>
        <v>0.354911935456287</v>
      </c>
      <c r="U17" s="26" t="n">
        <f aca="false">T17/(1+U6)</f>
        <v>0.332324786469162</v>
      </c>
      <c r="V17" s="26" t="n">
        <f aca="false">U17/(1+V6)</f>
        <v>0.311199751598921</v>
      </c>
      <c r="W17" s="26" t="n">
        <f aca="false">V17/(1+W6)</f>
        <v>0.291481821888743</v>
      </c>
      <c r="X17" s="26" t="n">
        <f aca="false">W17/(1+X6)</f>
        <v>0.273119369404801</v>
      </c>
      <c r="Y17" s="26" t="n">
        <f aca="false">X17/(1+Y6)</f>
        <v>0.256028340845066</v>
      </c>
      <c r="Z17" s="26" t="n">
        <f aca="false">Y17/(1+Z6)</f>
        <v>0.240153066057691</v>
      </c>
      <c r="AA17" s="26" t="n">
        <f aca="false">Z17/(1+AA6)</f>
        <v>0.225408089979078</v>
      </c>
      <c r="AB17" s="26" t="n">
        <f aca="false">AA17/(1+AB6)</f>
        <v>0.211740999613273</v>
      </c>
      <c r="AC17" s="26" t="n">
        <f aca="false">AB17/(1+AC6)</f>
        <v>0.199072199887691</v>
      </c>
      <c r="AD17" s="26" t="n">
        <f aca="false">AC17/(1+AD6)</f>
        <v>0.187334773730782</v>
      </c>
      <c r="AE17" s="26" t="n">
        <f aca="false">AD17/(1+AE6)</f>
        <v>0.176461486159649</v>
      </c>
      <c r="AF17" s="26" t="n">
        <f aca="false">AE17/(1+AF6)</f>
        <v>0.166398009827715</v>
      </c>
    </row>
    <row r="18" customFormat="false" ht="15" hidden="false" customHeight="true" outlineLevel="0" collapsed="false">
      <c r="A18" s="26" t="s">
        <v>692</v>
      </c>
      <c r="B18" s="41" t="n">
        <v>1</v>
      </c>
      <c r="C18" s="41" t="n">
        <f aca="false">B18/(1+C15)</f>
        <v>0.937262373255936</v>
      </c>
      <c r="D18" s="41" t="n">
        <f aca="false">C18/(1+D15)</f>
        <v>0.874258275918251</v>
      </c>
      <c r="E18" s="41" t="n">
        <f aca="false">D18/(1+E15)</f>
        <v>0.81166022020866</v>
      </c>
      <c r="F18" s="41" t="n">
        <f aca="false">E18/(1+F15)</f>
        <v>0.752278788985546</v>
      </c>
      <c r="G18" s="41" t="n">
        <f aca="false">F18/(1+G15)</f>
        <v>0.69595239938378</v>
      </c>
      <c r="H18" s="41" t="n">
        <f aca="false">G18/(1+H15)</f>
        <v>0.642655688155759</v>
      </c>
      <c r="I18" s="41" t="n">
        <f aca="false">H18/(1+I15)</f>
        <v>0.592877353156309</v>
      </c>
      <c r="J18" s="41" t="n">
        <f aca="false">I18/(1+J15)</f>
        <v>0.546982257148135</v>
      </c>
      <c r="K18" s="41" t="n">
        <f aca="false">J18/(1+K15)</f>
        <v>0.50478966958524</v>
      </c>
      <c r="L18" s="41" t="n">
        <f aca="false">K18/(1+L15)</f>
        <v>0.466274480342123</v>
      </c>
      <c r="M18" s="41" t="n">
        <f aca="false">L18/(1+M15)</f>
        <v>0.431330983648406</v>
      </c>
      <c r="N18" s="41" t="n">
        <f aca="false">M18/(1+N15)</f>
        <v>0.39940344948869</v>
      </c>
      <c r="O18" s="41" t="n">
        <f aca="false">N18/(1+O15)</f>
        <v>0.369499217118945</v>
      </c>
      <c r="P18" s="26" t="n">
        <f aca="false">O18/(1+P15)</f>
        <v>0.342057171287331</v>
      </c>
      <c r="Q18" s="26" t="n">
        <f aca="false">P18/(1+Q15)</f>
        <v>0.316801687248549</v>
      </c>
      <c r="R18" s="26" t="n">
        <f aca="false">Q18/(1+R15)</f>
        <v>0.293539981960961</v>
      </c>
      <c r="S18" s="26" t="n">
        <f aca="false">R18/(1+S15)</f>
        <v>0.27199936348169</v>
      </c>
      <c r="T18" s="26" t="n">
        <f aca="false">S18/(1+T15)</f>
        <v>0.252006627700806</v>
      </c>
      <c r="U18" s="26" t="n">
        <f aca="false">T18/(1+U15)</f>
        <v>0.233420187672304</v>
      </c>
      <c r="V18" s="26" t="n">
        <f aca="false">U18/(1+V15)</f>
        <v>0.21611516561248</v>
      </c>
      <c r="W18" s="26" t="n">
        <f aca="false">V18/(1+W15)</f>
        <v>0.199855847630767</v>
      </c>
      <c r="X18" s="26" t="n">
        <f aca="false">W18/(1+X15)</f>
        <v>0.184763148481802</v>
      </c>
      <c r="Y18" s="26" t="n">
        <f aca="false">X18/(1+Y15)</f>
        <v>0.170757343343631</v>
      </c>
      <c r="Z18" s="26" t="n">
        <f aca="false">Y18/(1+Z15)</f>
        <v>0.15778334733013</v>
      </c>
      <c r="AA18" s="26" t="n">
        <f aca="false">Z18/(1+AA15)</f>
        <v>0.145770838813467</v>
      </c>
      <c r="AB18" s="26" t="n">
        <f aca="false">AA18/(1+AB15)</f>
        <v>0.13467282366996</v>
      </c>
      <c r="AC18" s="26" t="n">
        <f aca="false">AB18/(1+AC15)</f>
        <v>0.124430660448929</v>
      </c>
      <c r="AD18" s="26" t="n">
        <f aca="false">AC18/(1+AD15)</f>
        <v>0.114994015922316</v>
      </c>
      <c r="AE18" s="26" t="n">
        <f aca="false">AD18/(1+AE15)</f>
        <v>0.106311903732582</v>
      </c>
      <c r="AF18" s="26" t="n">
        <f aca="false">AE18/(1+AF15)</f>
        <v>0.098339112897217</v>
      </c>
    </row>
    <row r="20" customFormat="false" ht="15" hidden="false" customHeight="true" outlineLevel="0" collapsed="false">
      <c r="A20" s="23" t="s">
        <v>693</v>
      </c>
      <c r="B20" s="54" t="n">
        <f aca="false">INDEX(finrate_coe,COLUMNS(finrate_coe))</f>
        <v>0.0627282236458418</v>
      </c>
      <c r="C20" s="54" t="n">
        <f aca="false">INDEX(finrate_cod,COLUMNS(finrate_cod))</f>
        <v>0.038651967</v>
      </c>
      <c r="D20" s="54" t="n">
        <f aca="false">IF(cfg_rf_mode="Single",in_rf_lr,($B$20+O14*$C$20)/(1+O14))</f>
        <v>0.0588241833542707</v>
      </c>
      <c r="E20" s="7" t="s">
        <v>694</v>
      </c>
    </row>
    <row r="22" customFormat="false" ht="15" hidden="false" customHeight="true" outlineLevel="0" collapsed="false">
      <c r="A22" s="26" t="s">
        <v>695</v>
      </c>
      <c r="C22" s="47" t="n">
        <f aca="false">(1+C56)*B7+(C5-C56)*B9</f>
        <v>19.422810142986</v>
      </c>
      <c r="D22" s="47" t="n">
        <f aca="false">(1+D56)*C7+(D5-D56)*C9</f>
        <v>14.3163636440664</v>
      </c>
      <c r="E22" s="47" t="n">
        <f aca="false">(1+E56)*D7+(E5-E56)*D9</f>
        <v>16.2823978562158</v>
      </c>
      <c r="F22" s="47" t="n">
        <f aca="false">(1+F56)*E7+(F5-F56)*E9</f>
        <v>17.9681688203897</v>
      </c>
      <c r="G22" s="47" t="n">
        <f aca="false">(1+G56)*F7+(G5-G56)*F9</f>
        <v>19.5661374534089</v>
      </c>
      <c r="H22" s="47" t="n">
        <f aca="false">(1+H56)*G7+(H5-H56)*G9</f>
        <v>21.0859439159374</v>
      </c>
      <c r="I22" s="47" t="n">
        <f aca="false">(1+I56)*H7+(I5-I56)*H9</f>
        <v>22.5072789917422</v>
      </c>
      <c r="J22" s="47" t="n">
        <f aca="false">(1+J56)*I7+(J5-J56)*I9</f>
        <v>23.8480272816095</v>
      </c>
      <c r="K22" s="47" t="n">
        <f aca="false">(1+K56)*J7+(K5-K56)*J9</f>
        <v>25.1313954032985</v>
      </c>
      <c r="L22" s="47" t="n">
        <f aca="false">(1+L56)*K7+(L5-L56)*K9</f>
        <v>26.3013624117528</v>
      </c>
      <c r="M22" s="47" t="n">
        <f aca="false">(1+M56)*L7+(M5-M56)*L9</f>
        <v>27.3794986945824</v>
      </c>
      <c r="N22" s="47" t="n">
        <f aca="false">(1+N56)*M7+(N5-N56)*M9</f>
        <v>28.6217096832125</v>
      </c>
      <c r="O22" s="47" t="n">
        <f aca="false">(1+O56)*N7+(O5-O56)*N9</f>
        <v>29.8666379066676</v>
      </c>
      <c r="P22" s="26" t="n">
        <f aca="false">(1+P56)*O7+(P5-P56)*O9</f>
        <v>10.7151751898711</v>
      </c>
      <c r="Q22" s="26" t="n">
        <f aca="false">(1+Q56)*P7+(Q5-Q56)*P9</f>
        <v>11.0796101113839</v>
      </c>
      <c r="R22" s="26" t="n">
        <f aca="false">(1+R56)*Q7+(R5-R56)*Q9</f>
        <v>11.4569786519911</v>
      </c>
      <c r="S22" s="26" t="n">
        <f aca="false">(1+S56)*R7+(S5-S56)*R9</f>
        <v>11.8357926770315</v>
      </c>
      <c r="T22" s="26" t="n">
        <f aca="false">(1+T56)*S7+(T5-T56)*S9</f>
        <v>12.3250238365644</v>
      </c>
      <c r="U22" s="26" t="n">
        <f aca="false">(1+U56)*T7+(U5-U56)*T9</f>
        <v>12.8828581844078</v>
      </c>
      <c r="V22" s="26" t="n">
        <f aca="false">(1+V56)*U7+(V5-V56)*U9</f>
        <v>13.5213147271967</v>
      </c>
      <c r="W22" s="26" t="n">
        <f aca="false">(1+W56)*V7+(W5-W56)*V9</f>
        <v>14.2577901140655</v>
      </c>
      <c r="X22" s="26" t="n">
        <f aca="false">(1+X56)*W7+(X5-X56)*W9</f>
        <v>15.2918950360088</v>
      </c>
      <c r="Y22" s="26" t="n">
        <f aca="false">(1+Y56)*X7+(Y5-Y56)*X9</f>
        <v>16.1414124010605</v>
      </c>
      <c r="Z22" s="26" t="n">
        <f aca="false">(1+Z56)*Y7+(Z5-Z56)*Y9</f>
        <v>17.0517440722914</v>
      </c>
      <c r="AA22" s="26" t="n">
        <f aca="false">(1+AA56)*Z7+(AA5-AA56)*Z9</f>
        <v>18.0256729770874</v>
      </c>
      <c r="AB22" s="26" t="n">
        <f aca="false">(1+AB56)*AA7+(AB5-AB56)*AA9</f>
        <v>19.0629655742571</v>
      </c>
      <c r="AC22" s="26" t="n">
        <f aca="false">(1+AC56)*AB7+(AC5-AC56)*AB9</f>
        <v>20.1700511593524</v>
      </c>
      <c r="AD22" s="26" t="n">
        <f aca="false">(1+AD56)*AC7+(AD5-AD56)*AC9</f>
        <v>21.33578393911</v>
      </c>
      <c r="AE22" s="26" t="n">
        <f aca="false">(1+AE56)*AD7+(AE5-AE56)*AD9</f>
        <v>22.5615371300551</v>
      </c>
      <c r="AF22" s="26" t="n">
        <f aca="false">(1+AF56)*AE7+(AF5-AF56)*AE9</f>
        <v>23.8431485199478</v>
      </c>
    </row>
    <row r="23" customFormat="false" ht="15" hidden="false" customHeight="true" outlineLevel="0" collapsed="false">
      <c r="A23" s="26" t="s">
        <v>696</v>
      </c>
      <c r="C23" s="47" t="n">
        <f aca="false">C7-C22</f>
        <v>-5.55855115604059</v>
      </c>
      <c r="D23" s="47" t="n">
        <f aca="false">D7-D22</f>
        <v>1.16941994932939</v>
      </c>
      <c r="E23" s="47" t="n">
        <f aca="false">E7-E22</f>
        <v>0.829918989331187</v>
      </c>
      <c r="F23" s="47" t="n">
        <f aca="false">F7-F22</f>
        <v>0.682503158069327</v>
      </c>
      <c r="G23" s="47" t="n">
        <f aca="false">G7-G22</f>
        <v>0.541288739473355</v>
      </c>
      <c r="H23" s="47" t="n">
        <f aca="false">H7-H22</f>
        <v>0.396378198045813</v>
      </c>
      <c r="I23" s="47" t="n">
        <f aca="false">I7-I22</f>
        <v>0.279456621158449</v>
      </c>
      <c r="J23" s="47" t="n">
        <f aca="false">J7-J22</f>
        <v>0.183211349422997</v>
      </c>
      <c r="K23" s="47" t="n">
        <f aca="false">K7-K22</f>
        <v>0.0357564553928995</v>
      </c>
      <c r="L23" s="47" t="n">
        <f aca="false">L7-L22</f>
        <v>-0.0819804168503531</v>
      </c>
      <c r="M23" s="47" t="n">
        <f aca="false">M7-M22</f>
        <v>0.0340024918871471</v>
      </c>
      <c r="N23" s="47" t="n">
        <f aca="false">N7-N22</f>
        <v>-0.0187705135524823</v>
      </c>
      <c r="O23" s="47" t="n">
        <f aca="false">O7-O22</f>
        <v>-20.8080258791881</v>
      </c>
      <c r="P23" s="26" t="n">
        <f aca="false">P7-P22</f>
        <v>-0.139921442802896</v>
      </c>
      <c r="Q23" s="26" t="n">
        <f aca="false">Q7-Q22</f>
        <v>-0.146087932700187</v>
      </c>
      <c r="R23" s="26" t="n">
        <f aca="false">R7-R22</f>
        <v>-0.167205462032094</v>
      </c>
      <c r="S23" s="26" t="n">
        <f aca="false">S7-S22</f>
        <v>-0.0841960367538306</v>
      </c>
      <c r="T23" s="26" t="n">
        <f aca="false">T7-T22</f>
        <v>-0.0465954544285871</v>
      </c>
      <c r="U23" s="26" t="n">
        <f aca="false">U7-U22</f>
        <v>-0.000981796879424124</v>
      </c>
      <c r="V23" s="26" t="n">
        <f aca="false">V7-V22</f>
        <v>0.0525800790430182</v>
      </c>
      <c r="W23" s="26" t="n">
        <f aca="false">W7-W22</f>
        <v>0.304298162518471</v>
      </c>
      <c r="X23" s="26" t="n">
        <f aca="false">X7-X22</f>
        <v>0.0769901242241637</v>
      </c>
      <c r="Y23" s="26" t="n">
        <f aca="false">Y7-Y22</f>
        <v>0.09452756026052</v>
      </c>
      <c r="Z23" s="26" t="n">
        <f aca="false">Z7-Z22</f>
        <v>0.112951374701751</v>
      </c>
      <c r="AA23" s="26" t="n">
        <f aca="false">AA7-AA22</f>
        <v>0.132228542041691</v>
      </c>
      <c r="AB23" s="26" t="n">
        <f aca="false">AB7-AB22</f>
        <v>0.157882936274415</v>
      </c>
      <c r="AC23" s="26" t="n">
        <f aca="false">AC7-AC22</f>
        <v>0.174377853547043</v>
      </c>
      <c r="AD23" s="26" t="n">
        <f aca="false">AD7-AD22</f>
        <v>0.194813204225337</v>
      </c>
      <c r="AE23" s="26" t="n">
        <f aca="false">AE7-AE22</f>
        <v>0.215645633412784</v>
      </c>
      <c r="AF23" s="26" t="n">
        <f aca="false">AF7-AF22</f>
        <v>0.237087687723875</v>
      </c>
    </row>
    <row r="24" customFormat="false" ht="15" hidden="false" customHeight="true" outlineLevel="0" collapsed="false">
      <c r="A24" s="26" t="s">
        <v>697</v>
      </c>
      <c r="C24" s="47" t="n">
        <f aca="false">IF(C4&lt;=cfg_N,C63*C62,0)</f>
        <v>-72.8727312775523</v>
      </c>
      <c r="D24" s="47" t="n">
        <f aca="false">IF(D4&lt;=cfg_N,D63*D62,0)</f>
        <v>15.1357007547213</v>
      </c>
      <c r="E24" s="47" t="n">
        <f aca="false">IF(E4&lt;=cfg_N,E63*E62,0)</f>
        <v>10.5210742135468</v>
      </c>
      <c r="F24" s="47" t="n">
        <f aca="false">IF(F4&lt;=cfg_N,F63*F62,0)</f>
        <v>10.2960134514919</v>
      </c>
      <c r="G24" s="47" t="n">
        <f aca="false">IF(G4&lt;=cfg_N,G63*G62,0)</f>
        <v>8.20327010948935</v>
      </c>
      <c r="H24" s="47" t="n">
        <f aca="false">IF(H4&lt;=cfg_N,H63*H62,0)</f>
        <v>6.77256235184841</v>
      </c>
      <c r="I24" s="47" t="n">
        <f aca="false">IF(I4&lt;=cfg_N,I63*I62,0)</f>
        <v>5.61323021249492</v>
      </c>
      <c r="J24" s="47" t="n">
        <f aca="false">IF(J4&lt;=cfg_N,J63*J62,0)</f>
        <v>5.09949342375715</v>
      </c>
      <c r="K24" s="47" t="n">
        <f aca="false">IF(K4&lt;=cfg_N,K63*K62,0)</f>
        <v>3.90796834614416</v>
      </c>
      <c r="L24" s="47" t="n">
        <f aca="false">IF(L4&lt;=cfg_N,L63*L62,0)</f>
        <v>3.38806391170373</v>
      </c>
      <c r="M24" s="47" t="n">
        <f aca="false">IF(M4&lt;=cfg_N,M63*M62,0)</f>
        <v>4.24142615653941</v>
      </c>
      <c r="N24" s="47" t="n">
        <f aca="false">IF(N4&lt;=cfg_N,N63*N62,0)</f>
        <v>3.68781016553102</v>
      </c>
      <c r="O24" s="47" t="n">
        <f aca="false">IF(O4&lt;=cfg_N,O63*O62,0)</f>
        <v>0</v>
      </c>
      <c r="P24" s="26" t="n">
        <f aca="false">IF(P4&lt;=cfg_N,P63*P62,0)</f>
        <v>0</v>
      </c>
      <c r="Q24" s="26" t="n">
        <f aca="false">IF(Q4&lt;=cfg_N,Q63*Q62,0)</f>
        <v>0</v>
      </c>
      <c r="R24" s="26" t="n">
        <f aca="false">IF(R4&lt;=cfg_N,R63*R62,0)</f>
        <v>0</v>
      </c>
      <c r="S24" s="26" t="n">
        <f aca="false">IF(S4&lt;=cfg_N,S63*S62,0)</f>
        <v>0</v>
      </c>
      <c r="T24" s="26" t="n">
        <f aca="false">IF(T4&lt;=cfg_N,T63*T62,0)</f>
        <v>0</v>
      </c>
      <c r="U24" s="26" t="n">
        <f aca="false">IF(U4&lt;=cfg_N,U63*U62,0)</f>
        <v>0</v>
      </c>
      <c r="V24" s="26" t="n">
        <f aca="false">IF(V4&lt;=cfg_N,V63*V62,0)</f>
        <v>0</v>
      </c>
      <c r="W24" s="26" t="n">
        <f aca="false">IF(W4&lt;=cfg_N,W63*W62,0)</f>
        <v>0</v>
      </c>
      <c r="X24" s="26" t="n">
        <f aca="false">IF(X4&lt;=cfg_N,X63*X62,0)</f>
        <v>0</v>
      </c>
      <c r="Y24" s="26" t="n">
        <f aca="false">IF(Y4&lt;=cfg_N,Y63*Y62,0)</f>
        <v>0</v>
      </c>
      <c r="Z24" s="26" t="n">
        <f aca="false">IF(Z4&lt;=cfg_N,Z63*Z62,0)</f>
        <v>0</v>
      </c>
      <c r="AA24" s="26" t="n">
        <f aca="false">IF(AA4&lt;=cfg_N,AA63*AA62,0)</f>
        <v>0</v>
      </c>
      <c r="AB24" s="26" t="n">
        <f aca="false">IF(AB4&lt;=cfg_N,AB63*AB62,0)</f>
        <v>0</v>
      </c>
      <c r="AC24" s="26" t="n">
        <f aca="false">IF(AC4&lt;=cfg_N,AC63*AC62,0)</f>
        <v>0</v>
      </c>
      <c r="AD24" s="26" t="n">
        <f aca="false">IF(AD4&lt;=cfg_N,AD63*AD62,0)</f>
        <v>0</v>
      </c>
      <c r="AE24" s="26" t="n">
        <f aca="false">IF(AE4&lt;=cfg_N,AE63*AE62,0)</f>
        <v>0</v>
      </c>
      <c r="AF24" s="26" t="n">
        <f aca="false">IF(AF4&lt;=cfg_N,AF63*AF62,0)</f>
        <v>0</v>
      </c>
    </row>
    <row r="26" customFormat="false" ht="15" hidden="false" customHeight="true" outlineLevel="0" collapsed="false">
      <c r="A26" s="26" t="s">
        <v>698</v>
      </c>
      <c r="C26" s="47" t="n">
        <f aca="false">(1+C56)*B12</f>
        <v>0</v>
      </c>
      <c r="D26" s="47" t="n">
        <f aca="false">(1+D56)*C12</f>
        <v>0.628166421169896</v>
      </c>
      <c r="E26" s="47" t="n">
        <f aca="false">(1+E56)*D12</f>
        <v>0.780699093337533</v>
      </c>
      <c r="F26" s="47" t="n">
        <f aca="false">(1+F56)*E12</f>
        <v>0.956381995033907</v>
      </c>
      <c r="G26" s="47" t="n">
        <f aca="false">(1+G56)*F12</f>
        <v>1.14899377689642</v>
      </c>
      <c r="H26" s="47" t="n">
        <f aca="false">(1+H56)*G12</f>
        <v>1.35814384420202</v>
      </c>
      <c r="I26" s="47" t="n">
        <f aca="false">(1+I56)*H12</f>
        <v>1.60357435281016</v>
      </c>
      <c r="J26" s="47" t="n">
        <f aca="false">(1+J56)*I12</f>
        <v>1.86028413602169</v>
      </c>
      <c r="K26" s="47" t="n">
        <f aca="false">(1+K56)*J12</f>
        <v>2.134709069152</v>
      </c>
      <c r="L26" s="47" t="n">
        <f aca="false">(1+L56)*K12</f>
        <v>2.42840050307859</v>
      </c>
      <c r="M26" s="47" t="n">
        <f aca="false">(1+M56)*L12</f>
        <v>2.73424176310597</v>
      </c>
      <c r="N26" s="47" t="n">
        <f aca="false">(1+N56)*M12</f>
        <v>3.04707467792634</v>
      </c>
      <c r="O26" s="47" t="n">
        <f aca="false">(1+O56)*N12</f>
        <v>3.3988712711753</v>
      </c>
      <c r="P26" s="26" t="n">
        <f aca="false">(1+P56)*O12</f>
        <v>2.25994713764337</v>
      </c>
      <c r="Q26" s="26" t="n">
        <f aca="false">(1+Q56)*P12</f>
        <v>2.39828067205138</v>
      </c>
      <c r="R26" s="26" t="n">
        <f aca="false">(1+R56)*Q12</f>
        <v>2.53895330805051</v>
      </c>
      <c r="S26" s="26" t="n">
        <f aca="false">(1+S56)*R12</f>
        <v>2.68247353535649</v>
      </c>
      <c r="T26" s="26" t="n">
        <f aca="false">(1+T56)*S12</f>
        <v>2.82790533627526</v>
      </c>
      <c r="U26" s="26" t="n">
        <f aca="false">(1+U56)*T12</f>
        <v>2.97598500386023</v>
      </c>
      <c r="V26" s="26" t="n">
        <f aca="false">(1+V56)*U12</f>
        <v>3.12552933579203</v>
      </c>
      <c r="W26" s="26" t="n">
        <f aca="false">(1+W56)*V12</f>
        <v>3.27717054024033</v>
      </c>
      <c r="X26" s="26" t="n">
        <f aca="false">(1+X56)*W12</f>
        <v>3.42904883303601</v>
      </c>
      <c r="Y26" s="26" t="n">
        <f aca="false">(1+Y56)*X12</f>
        <v>3.5788013752233</v>
      </c>
      <c r="Z26" s="26" t="n">
        <f aca="false">(1+Z56)*Y12</f>
        <v>3.73129007754324</v>
      </c>
      <c r="AA26" s="26" t="n">
        <f aca="false">(1+AA56)*Z12</f>
        <v>3.87960673156722</v>
      </c>
      <c r="AB26" s="26" t="n">
        <f aca="false">(1+AB56)*AA12</f>
        <v>4.02961947921545</v>
      </c>
      <c r="AC26" s="26" t="n">
        <f aca="false">(1+AC56)*AB12</f>
        <v>4.17158539745774</v>
      </c>
      <c r="AD26" s="26" t="n">
        <f aca="false">(1+AD56)*AC12</f>
        <v>4.31239801939871</v>
      </c>
      <c r="AE26" s="26" t="n">
        <f aca="false">(1+AE56)*AD12</f>
        <v>4.44792317744541</v>
      </c>
      <c r="AF26" s="26" t="n">
        <f aca="false">(1+AF56)*AE12</f>
        <v>4.57793233012424</v>
      </c>
    </row>
    <row r="27" customFormat="false" ht="15" hidden="false" customHeight="true" outlineLevel="0" collapsed="false">
      <c r="A27" s="26" t="s">
        <v>699</v>
      </c>
      <c r="C27" s="47" t="n">
        <f aca="false">C12-C26</f>
        <v>0.614409621400881</v>
      </c>
      <c r="D27" s="47" t="n">
        <f aca="false">D12-D26</f>
        <v>0.134764271691693</v>
      </c>
      <c r="E27" s="47" t="n">
        <f aca="false">E12-E26</f>
        <v>0.153236638593556</v>
      </c>
      <c r="F27" s="47" t="n">
        <f aca="false">F12-F26</f>
        <v>0.164989740461483</v>
      </c>
      <c r="G27" s="47" t="n">
        <f aca="false">G12-G26</f>
        <v>0.175470089647364</v>
      </c>
      <c r="H27" s="47" t="n">
        <f aca="false">H12-H26</f>
        <v>0.205652927809632</v>
      </c>
      <c r="I27" s="47" t="n">
        <f aca="false">I12-I26</f>
        <v>0.211351845431034</v>
      </c>
      <c r="J27" s="47" t="n">
        <f aca="false">J12-J26</f>
        <v>0.223377036423286</v>
      </c>
      <c r="K27" s="47" t="n">
        <f aca="false">K12-K26</f>
        <v>0.236907807301755</v>
      </c>
      <c r="L27" s="47" t="n">
        <f aca="false">L12-L26</f>
        <v>0.244118469400498</v>
      </c>
      <c r="M27" s="47" t="n">
        <f aca="false">M12-M26</f>
        <v>0.245223862857903</v>
      </c>
      <c r="N27" s="47" t="n">
        <f aca="false">N12-N26</f>
        <v>0.277128918070809</v>
      </c>
      <c r="O27" s="47" t="n">
        <f aca="false">O12-O26</f>
        <v>-1.18842440575537</v>
      </c>
      <c r="P27" s="26" t="n">
        <f aca="false">P12-P26</f>
        <v>0.0856156221108559</v>
      </c>
      <c r="Q27" s="26" t="n">
        <f aca="false">Q12-Q26</f>
        <v>0.0843387023756006</v>
      </c>
      <c r="R27" s="26" t="n">
        <f aca="false">R12-R26</f>
        <v>0.0832716726012368</v>
      </c>
      <c r="S27" s="26" t="n">
        <f aca="false">S12-S26</f>
        <v>0.0810094589175101</v>
      </c>
      <c r="T27" s="26" t="n">
        <f aca="false">T12-T26</f>
        <v>0.0793577345391578</v>
      </c>
      <c r="U27" s="26" t="n">
        <f aca="false">U12-U26</f>
        <v>0.0764742361931279</v>
      </c>
      <c r="V27" s="26" t="n">
        <f aca="false">V12-V26</f>
        <v>0.0741536765312065</v>
      </c>
      <c r="W27" s="26" t="n">
        <f aca="false">W12-W26</f>
        <v>0.0702829642248237</v>
      </c>
      <c r="X27" s="26" t="n">
        <f aca="false">X12-X26</f>
        <v>0.0641707048696381</v>
      </c>
      <c r="Y27" s="26" t="n">
        <f aca="false">Y12-Y26</f>
        <v>0.0633956478445086</v>
      </c>
      <c r="Z27" s="26" t="n">
        <f aca="false">Z12-Z26</f>
        <v>0.0560633651753002</v>
      </c>
      <c r="AA27" s="26" t="n">
        <f aca="false">AA12-AA26</f>
        <v>0.0554683879302318</v>
      </c>
      <c r="AB27" s="26" t="n">
        <f aca="false">AB12-AB26</f>
        <v>0.0459137292276122</v>
      </c>
      <c r="AC27" s="26" t="n">
        <f aca="false">AC12-AC26</f>
        <v>0.0442024920769208</v>
      </c>
      <c r="AD27" s="26" t="n">
        <f aca="false">AD12-AD26</f>
        <v>0.0394359843556202</v>
      </c>
      <c r="AE27" s="26" t="n">
        <f aca="false">AE12-AE26</f>
        <v>0.0357878191729242</v>
      </c>
      <c r="AF27" s="26" t="n">
        <f aca="false">AF12-AF26</f>
        <v>0.0276250164424443</v>
      </c>
    </row>
    <row r="28" customFormat="false" ht="15" hidden="false" customHeight="true" outlineLevel="0" collapsed="false">
      <c r="A28" s="26" t="s">
        <v>700</v>
      </c>
      <c r="C28" s="47" t="n">
        <f aca="false">IF(C4&lt;=cfg_N,C66*C65,0)</f>
        <v>13.7249747357005</v>
      </c>
      <c r="D28" s="47" t="n">
        <f aca="false">IF(D4&lt;=cfg_N,D66*D65,0)</f>
        <v>2.99424265954201</v>
      </c>
      <c r="E28" s="47" t="n">
        <f aca="false">IF(E4&lt;=cfg_N,E66*E65,0)</f>
        <v>2.96826388734085</v>
      </c>
      <c r="F28" s="47" t="n">
        <f aca="false">IF(F4&lt;=cfg_N,F66*F65,0)</f>
        <v>3.0026209654966</v>
      </c>
      <c r="G28" s="47" t="n">
        <f aca="false">IF(G4&lt;=cfg_N,G66*G65,0)</f>
        <v>3.02430286675818</v>
      </c>
      <c r="H28" s="47" t="n">
        <f aca="false">IF(H4&lt;=cfg_N,H66*H65,0)</f>
        <v>3.2557145909448</v>
      </c>
      <c r="I28" s="47" t="n">
        <f aca="false">IF(I4&lt;=cfg_N,I66*I65,0)</f>
        <v>3.00578080244377</v>
      </c>
      <c r="J28" s="47" t="n">
        <f aca="false">IF(J4&lt;=cfg_N,J66*J65,0)</f>
        <v>2.88982640275926</v>
      </c>
      <c r="K28" s="47" t="n">
        <f aca="false">IF(K4&lt;=cfg_N,K66*K65,0)</f>
        <v>2.97217269378584</v>
      </c>
      <c r="L28" s="47" t="n">
        <f aca="false">IF(L4&lt;=cfg_N,L66*L65,0)</f>
        <v>3.0437142641333</v>
      </c>
      <c r="M28" s="47" t="n">
        <f aca="false">IF(M4&lt;=cfg_N,M66*M65,0)</f>
        <v>2.97408810732375</v>
      </c>
      <c r="N28" s="47" t="n">
        <f aca="false">IF(N4&lt;=cfg_N,N66*N65,0)</f>
        <v>3.41245905808866</v>
      </c>
      <c r="O28" s="47" t="n">
        <f aca="false">IF(O4&lt;=cfg_N,O66*O65,0)</f>
        <v>0</v>
      </c>
      <c r="P28" s="26" t="n">
        <f aca="false">IF(P4&lt;=cfg_N,P66*P65,0)</f>
        <v>0</v>
      </c>
      <c r="Q28" s="26" t="n">
        <f aca="false">IF(Q4&lt;=cfg_N,Q66*Q65,0)</f>
        <v>0</v>
      </c>
      <c r="R28" s="26" t="n">
        <f aca="false">IF(R4&lt;=cfg_N,R66*R65,0)</f>
        <v>0</v>
      </c>
      <c r="S28" s="26" t="n">
        <f aca="false">IF(S4&lt;=cfg_N,S66*S65,0)</f>
        <v>0</v>
      </c>
      <c r="T28" s="26" t="n">
        <f aca="false">IF(T4&lt;=cfg_N,T66*T65,0)</f>
        <v>0</v>
      </c>
      <c r="U28" s="26" t="n">
        <f aca="false">IF(U4&lt;=cfg_N,U66*U65,0)</f>
        <v>0</v>
      </c>
      <c r="V28" s="26" t="n">
        <f aca="false">IF(V4&lt;=cfg_N,V66*V65,0)</f>
        <v>0</v>
      </c>
      <c r="W28" s="26" t="n">
        <f aca="false">IF(W4&lt;=cfg_N,W66*W65,0)</f>
        <v>0</v>
      </c>
      <c r="X28" s="26" t="n">
        <f aca="false">IF(X4&lt;=cfg_N,X66*X65,0)</f>
        <v>0</v>
      </c>
      <c r="Y28" s="26" t="n">
        <f aca="false">IF(Y4&lt;=cfg_N,Y66*Y65,0)</f>
        <v>0</v>
      </c>
      <c r="Z28" s="26" t="n">
        <f aca="false">IF(Z4&lt;=cfg_N,Z66*Z65,0)</f>
        <v>0</v>
      </c>
      <c r="AA28" s="26" t="n">
        <f aca="false">IF(AA4&lt;=cfg_N,AA66*AA65,0)</f>
        <v>0</v>
      </c>
      <c r="AB28" s="26" t="n">
        <f aca="false">IF(AB4&lt;=cfg_N,AB66*AB65,0)</f>
        <v>0</v>
      </c>
      <c r="AC28" s="26" t="n">
        <f aca="false">IF(AC4&lt;=cfg_N,AC66*AC65,0)</f>
        <v>0</v>
      </c>
      <c r="AD28" s="26" t="n">
        <f aca="false">IF(AD4&lt;=cfg_N,AD66*AD65,0)</f>
        <v>0</v>
      </c>
      <c r="AE28" s="26" t="n">
        <f aca="false">IF(AE4&lt;=cfg_N,AE66*AE65,0)</f>
        <v>0</v>
      </c>
      <c r="AF28" s="26" t="n">
        <f aca="false">IF(AF4&lt;=cfg_N,AF66*AF65,0)</f>
        <v>0</v>
      </c>
    </row>
    <row r="30" customFormat="false" ht="15" hidden="false" customHeight="true" outlineLevel="0" collapsed="false">
      <c r="A30" s="26" t="s">
        <v>701</v>
      </c>
      <c r="C30" s="47" t="n">
        <f aca="false">(1+C56)*B13+(C15-C56)*B9</f>
        <v>19.3003389862351</v>
      </c>
      <c r="D30" s="47" t="n">
        <f aca="false">(1+D56)*C13+(D15-D56)*C9</f>
        <v>14.9225736997377</v>
      </c>
      <c r="E30" s="47" t="n">
        <f aca="false">(1+E56)*D13+(E15-E56)*D9</f>
        <v>16.9941916448486</v>
      </c>
      <c r="F30" s="47" t="n">
        <f aca="false">(1+F56)*E13+(F15-F56)*E9</f>
        <v>18.8562068604607</v>
      </c>
      <c r="G30" s="47" t="n">
        <f aca="false">(1+G56)*F13+(G15-G56)*F9</f>
        <v>20.6466940142408</v>
      </c>
      <c r="H30" s="47" t="n">
        <f aca="false">(1+H56)*G13+(H15-H56)*G9</f>
        <v>22.3766405718563</v>
      </c>
      <c r="I30" s="47" t="n">
        <f aca="false">(1+I56)*H13+(I15-I56)*H9</f>
        <v>24.0453554725467</v>
      </c>
      <c r="J30" s="47" t="n">
        <f aca="false">(1+J56)*I13+(J15-J56)*I9</f>
        <v>25.6458825932379</v>
      </c>
      <c r="K30" s="47" t="n">
        <f aca="false">(1+K56)*J13+(K15-K56)*J9</f>
        <v>27.2062328425785</v>
      </c>
      <c r="L30" s="47" t="n">
        <f aca="false">(1+L56)*K13+(L15-L56)*K9</f>
        <v>28.6730171559615</v>
      </c>
      <c r="M30" s="47" t="n">
        <f aca="false">(1+M56)*L13+(M15-M56)*L9</f>
        <v>30.0604866149561</v>
      </c>
      <c r="N30" s="47" t="n">
        <f aca="false">(1+N56)*M13+(N15-N56)*M9</f>
        <v>31.6181055158488</v>
      </c>
      <c r="O30" s="47" t="n">
        <f aca="false">(1+O56)*N13+(O15-O56)*N9</f>
        <v>33.2351139202894</v>
      </c>
      <c r="P30" s="26" t="n">
        <f aca="false">(1+P56)*O13+(P15-P56)*O9</f>
        <v>12.9099963151718</v>
      </c>
      <c r="Q30" s="26" t="n">
        <f aca="false">(1+Q56)*P13+(Q15-Q56)*P9</f>
        <v>13.4667861637065</v>
      </c>
      <c r="R30" s="26" t="n">
        <f aca="false">(1+R56)*Q13+(R15-R56)*Q9</f>
        <v>13.985184431405</v>
      </c>
      <c r="S30" s="26" t="n">
        <f aca="false">(1+S56)*R13+(S15-S56)*R9</f>
        <v>14.5073736329413</v>
      </c>
      <c r="T30" s="26" t="n">
        <f aca="false">(1+T56)*S13+(T15-T56)*S9</f>
        <v>15.1415692546694</v>
      </c>
      <c r="U30" s="26" t="n">
        <f aca="false">(1+U56)*T13+(U15-U56)*T9</f>
        <v>15.8466708281869</v>
      </c>
      <c r="V30" s="26" t="n">
        <f aca="false">(1+V56)*U13+(V15-V56)*U9</f>
        <v>16.6334906535622</v>
      </c>
      <c r="W30" s="26" t="n">
        <f aca="false">(1+W56)*V13+(W15-W56)*V9</f>
        <v>17.5192012494821</v>
      </c>
      <c r="X30" s="26" t="n">
        <f aca="false">(1+X56)*W13+(X15-X56)*W9</f>
        <v>18.7034984619946</v>
      </c>
      <c r="Y30" s="26" t="n">
        <f aca="false">(1+Y56)*X13+(Y15-Y56)*X9</f>
        <v>19.700866290839</v>
      </c>
      <c r="Z30" s="26" t="n">
        <f aca="false">(1+Z56)*Y13+(Z15-Z56)*Y9</f>
        <v>20.7615798772806</v>
      </c>
      <c r="AA30" s="26" t="n">
        <f aca="false">(1+AA56)*Z13+(AA15-AA56)*Z9</f>
        <v>21.8815348848159</v>
      </c>
      <c r="AB30" s="26" t="n">
        <f aca="false">(1+AB56)*AA13+(AB15-AB56)*AA9</f>
        <v>23.0663791163712</v>
      </c>
      <c r="AC30" s="26" t="n">
        <f aca="false">(1+AC56)*AB13+(AC15-AC56)*AB9</f>
        <v>24.312879567245</v>
      </c>
      <c r="AD30" s="26" t="n">
        <f aca="false">(1+AD56)*AC13+(AD15-AD56)*AC9</f>
        <v>25.6168250234373</v>
      </c>
      <c r="AE30" s="26" t="n">
        <f aca="false">(1+AE56)*AD13+(AE15-AE56)*AD9</f>
        <v>26.9754974841198</v>
      </c>
      <c r="AF30" s="26" t="n">
        <f aca="false">(1+AF56)*AE13+(AF15-AF56)*AE9</f>
        <v>28.3845274156508</v>
      </c>
    </row>
    <row r="31" customFormat="false" ht="15" hidden="false" customHeight="true" outlineLevel="0" collapsed="false">
      <c r="A31" s="26" t="s">
        <v>702</v>
      </c>
      <c r="C31" s="47" t="n">
        <f aca="false">C13-C30</f>
        <v>-4.82167037788885</v>
      </c>
      <c r="D31" s="47" t="n">
        <f aca="false">D13-D30</f>
        <v>1.32614058651974</v>
      </c>
      <c r="E31" s="47" t="n">
        <f aca="false">E13-E30</f>
        <v>1.05206093262938</v>
      </c>
      <c r="F31" s="47" t="n">
        <f aca="false">F13-F30</f>
        <v>0.915836853493648</v>
      </c>
      <c r="G31" s="47" t="n">
        <f aca="false">G13-G30</f>
        <v>0.785196045185305</v>
      </c>
      <c r="H31" s="47" t="n">
        <f aca="false">H13-H30</f>
        <v>0.669478314138562</v>
      </c>
      <c r="I31" s="47" t="n">
        <f aca="false">I13-I30</f>
        <v>0.556306338595096</v>
      </c>
      <c r="J31" s="47" t="n">
        <f aca="false">J13-J30</f>
        <v>0.469017210239571</v>
      </c>
      <c r="K31" s="47" t="n">
        <f aca="false">K13-K30</f>
        <v>0.332535892566611</v>
      </c>
      <c r="L31" s="47" t="n">
        <f aca="false">L13-L30</f>
        <v>0.21888381142</v>
      </c>
      <c r="M31" s="47" t="n">
        <f aca="false">M13-M30</f>
        <v>0.332480197477306</v>
      </c>
      <c r="N31" s="47" t="n">
        <f aca="false">N13-N30</f>
        <v>0.309037249808405</v>
      </c>
      <c r="O31" s="47" t="n">
        <f aca="false">O13-O30</f>
        <v>-21.9660550273899</v>
      </c>
      <c r="P31" s="26" t="n">
        <f aca="false">P13-P30</f>
        <v>0.010820191650561</v>
      </c>
      <c r="Q31" s="26" t="n">
        <f aca="false">Q13-Q30</f>
        <v>-0.0506446105957927</v>
      </c>
      <c r="R31" s="26" t="n">
        <f aca="false">R13-R30</f>
        <v>-0.0731862607942411</v>
      </c>
      <c r="S31" s="26" t="n">
        <f aca="false">S13-S30</f>
        <v>0.00770600161035162</v>
      </c>
      <c r="T31" s="26" t="n">
        <f aca="false">T13-T30</f>
        <v>0.0441221982808386</v>
      </c>
      <c r="U31" s="26" t="n">
        <f aca="false">U13-U30</f>
        <v>0.0876647993947763</v>
      </c>
      <c r="V31" s="26" t="n">
        <f aca="false">V13-V30</f>
        <v>0.140087165000747</v>
      </c>
      <c r="W31" s="26" t="n">
        <f aca="false">W13-W30</f>
        <v>0.390340531566984</v>
      </c>
      <c r="X31" s="26" t="n">
        <f aca="false">X13-X30</f>
        <v>0.158606236143971</v>
      </c>
      <c r="Y31" s="26" t="n">
        <f aca="false">Y13-Y30</f>
        <v>0.177270693549836</v>
      </c>
      <c r="Z31" s="26" t="n">
        <f aca="false">Z13-Z30</f>
        <v>0.190469012431095</v>
      </c>
      <c r="AA31" s="26" t="n">
        <f aca="false">AA13-AA30</f>
        <v>0.211441753810607</v>
      </c>
      <c r="AB31" s="26" t="n">
        <f aca="false">AB13-AB30</f>
        <v>0.230002602603363</v>
      </c>
      <c r="AC31" s="26" t="n">
        <f aca="false">AC13-AC30</f>
        <v>0.247337335189101</v>
      </c>
      <c r="AD31" s="26" t="n">
        <f aca="false">AD13-AD30</f>
        <v>0.265606123652358</v>
      </c>
      <c r="AE31" s="26" t="n">
        <f aca="false">AE13-AE30</f>
        <v>0.285396275966377</v>
      </c>
      <c r="AF31" s="26" t="n">
        <f aca="false">AF13-AF30</f>
        <v>0.301266138587536</v>
      </c>
    </row>
    <row r="32" customFormat="false" ht="15" hidden="false" customHeight="true" outlineLevel="0" collapsed="false">
      <c r="A32" s="26" t="s">
        <v>703</v>
      </c>
      <c r="C32" s="47" t="n">
        <f aca="false">IF(C4&lt;=cfg_N,C69*C68,0)</f>
        <v>-69.6514833133356</v>
      </c>
      <c r="D32" s="47" t="n">
        <f aca="false">IF(D4&lt;=cfg_N,D69*D68,0)</f>
        <v>19.2777349271853</v>
      </c>
      <c r="E32" s="47" t="n">
        <f aca="false">IF(E4&lt;=cfg_N,E69*E68,0)</f>
        <v>14.4461353050679</v>
      </c>
      <c r="F32" s="47" t="n">
        <f aca="false">IF(F4&lt;=cfg_N,F69*F68,0)</f>
        <v>14.1819629671537</v>
      </c>
      <c r="G32" s="47" t="n">
        <f aca="false">IF(G4&lt;=cfg_N,G69*G68,0)</f>
        <v>11.8076906768571</v>
      </c>
      <c r="H32" s="47" t="n">
        <f aca="false">IF(H4&lt;=cfg_N,H69*H68,0)</f>
        <v>10.2706931123133</v>
      </c>
      <c r="I32" s="47" t="n">
        <f aca="false">IF(I4&lt;=cfg_N,I69*I68,0)</f>
        <v>8.74355824042585</v>
      </c>
      <c r="J32" s="47" t="n">
        <f aca="false">IF(J4&lt;=cfg_N,J69*J68,0)</f>
        <v>8.01903033833659</v>
      </c>
      <c r="K32" s="47" t="n">
        <f aca="false">IF(K4&lt;=cfg_N,K69*K68,0)</f>
        <v>6.62876783146827</v>
      </c>
      <c r="L32" s="47" t="n">
        <f aca="false">IF(L4&lt;=cfg_N,L69*L68,0)</f>
        <v>5.99691539988643</v>
      </c>
      <c r="M32" s="47" t="n">
        <f aca="false">IF(M4&lt;=cfg_N,M69*M68,0)</f>
        <v>6.88325804173159</v>
      </c>
      <c r="N32" s="47" t="n">
        <f aca="false">IF(N4&lt;=cfg_N,N69*N68,0)</f>
        <v>6.40926351099349</v>
      </c>
      <c r="O32" s="47" t="n">
        <f aca="false">IF(O4&lt;=cfg_N,O69*O68,0)</f>
        <v>0</v>
      </c>
      <c r="P32" s="26" t="n">
        <f aca="false">IF(P4&lt;=cfg_N,P69*P68,0)</f>
        <v>0</v>
      </c>
      <c r="Q32" s="26" t="n">
        <f aca="false">IF(Q4&lt;=cfg_N,Q69*Q68,0)</f>
        <v>0</v>
      </c>
      <c r="R32" s="26" t="n">
        <f aca="false">IF(R4&lt;=cfg_N,R69*R68,0)</f>
        <v>0</v>
      </c>
      <c r="S32" s="26" t="n">
        <f aca="false">IF(S4&lt;=cfg_N,S69*S68,0)</f>
        <v>0</v>
      </c>
      <c r="T32" s="26" t="n">
        <f aca="false">IF(T4&lt;=cfg_N,T69*T68,0)</f>
        <v>0</v>
      </c>
      <c r="U32" s="26" t="n">
        <f aca="false">IF(U4&lt;=cfg_N,U69*U68,0)</f>
        <v>0</v>
      </c>
      <c r="V32" s="26" t="n">
        <f aca="false">IF(V4&lt;=cfg_N,V69*V68,0)</f>
        <v>0</v>
      </c>
      <c r="W32" s="26" t="n">
        <f aca="false">IF(W4&lt;=cfg_N,W69*W68,0)</f>
        <v>0</v>
      </c>
      <c r="X32" s="26" t="n">
        <f aca="false">IF(X4&lt;=cfg_N,X69*X68,0)</f>
        <v>0</v>
      </c>
      <c r="Y32" s="26" t="n">
        <f aca="false">IF(Y4&lt;=cfg_N,Y69*Y68,0)</f>
        <v>0</v>
      </c>
      <c r="Z32" s="26" t="n">
        <f aca="false">IF(Z4&lt;=cfg_N,Z69*Z68,0)</f>
        <v>0</v>
      </c>
      <c r="AA32" s="26" t="n">
        <f aca="false">IF(AA4&lt;=cfg_N,AA69*AA68,0)</f>
        <v>0</v>
      </c>
      <c r="AB32" s="26" t="n">
        <f aca="false">IF(AB4&lt;=cfg_N,AB69*AB68,0)</f>
        <v>0</v>
      </c>
      <c r="AC32" s="26" t="n">
        <f aca="false">IF(AC4&lt;=cfg_N,AC69*AC68,0)</f>
        <v>0</v>
      </c>
      <c r="AD32" s="26" t="n">
        <f aca="false">IF(AD4&lt;=cfg_N,AD69*AD68,0)</f>
        <v>0</v>
      </c>
      <c r="AE32" s="26" t="n">
        <f aca="false">IF(AE4&lt;=cfg_N,AE69*AE68,0)</f>
        <v>0</v>
      </c>
      <c r="AF32" s="26" t="n">
        <f aca="false">IF(AF4&lt;=cfg_N,AF69*AF68,0)</f>
        <v>0</v>
      </c>
    </row>
    <row r="35" customFormat="false" ht="15" hidden="false" customHeight="true" outlineLevel="0" collapsed="false">
      <c r="A35" s="4" t="s">
        <v>704</v>
      </c>
    </row>
    <row r="36" customFormat="false" ht="15" hidden="false" customHeight="true" outlineLevel="0" collapsed="false">
      <c r="A36" s="26" t="s">
        <v>705</v>
      </c>
      <c r="B36" s="47" t="n">
        <f aca="false">B43+SUM(C24:AF24)</f>
        <v>269.496907721409</v>
      </c>
    </row>
    <row r="37" customFormat="false" ht="15" hidden="false" customHeight="true" outlineLevel="0" collapsed="false">
      <c r="A37" s="26" t="s">
        <v>706</v>
      </c>
      <c r="B37" s="47" t="n">
        <f aca="false">B11+(C26-C64*B11)*C65+SUM(C28:AF28)</f>
        <v>50.7065680310598</v>
      </c>
    </row>
    <row r="38" customFormat="false" ht="15" hidden="false" customHeight="true" outlineLevel="0" collapsed="false">
      <c r="A38" s="26" t="s">
        <v>707</v>
      </c>
      <c r="B38" s="47" t="n">
        <f aca="false">B36+B37</f>
        <v>320.203475752469</v>
      </c>
    </row>
    <row r="39" customFormat="false" ht="15" hidden="false" customHeight="true" outlineLevel="0" collapsed="false">
      <c r="A39" s="26" t="s">
        <v>708</v>
      </c>
      <c r="B39" s="47" t="n">
        <f aca="false">B38-B37</f>
        <v>269.496907721409</v>
      </c>
    </row>
    <row r="40" customFormat="false" ht="15" hidden="false" customHeight="true" outlineLevel="0" collapsed="false">
      <c r="A40" s="23" t="s">
        <v>709</v>
      </c>
      <c r="B40" s="49" t="n">
        <f aca="false">B39-B36</f>
        <v>0</v>
      </c>
      <c r="D40" s="23" t="str">
        <f aca="false">IF(ABS(B40)&lt;in_tie_tol,"TIE ✓","BREAK")</f>
        <v>TIE ✓</v>
      </c>
    </row>
    <row r="41" customFormat="false" ht="15" hidden="false" customHeight="true" outlineLevel="0" collapsed="false">
      <c r="A41" s="7" t="s">
        <v>710</v>
      </c>
      <c r="B41" s="55" t="n">
        <f aca="false">B70+(C30-C67*B70)*C68+SUM(C32:AF32)</f>
        <v>336.66309959705</v>
      </c>
      <c r="D41" s="7" t="s">
        <v>711</v>
      </c>
    </row>
    <row r="42" customFormat="false" ht="15" hidden="false" customHeight="true" outlineLevel="0" collapsed="false">
      <c r="A42" s="4" t="s">
        <v>712</v>
      </c>
    </row>
    <row r="43" customFormat="false" ht="15" hidden="false" customHeight="true" outlineLevel="0" collapsed="false">
      <c r="A43" s="26" t="s">
        <v>713</v>
      </c>
      <c r="B43" s="47" t="n">
        <f aca="false">B10+(C22-C61*B10)*C62</f>
        <v>265.503025901693</v>
      </c>
    </row>
    <row r="44" customFormat="false" ht="15" hidden="false" customHeight="true" outlineLevel="0" collapsed="false">
      <c r="A44" s="26" t="s">
        <v>714</v>
      </c>
      <c r="B44" s="47" t="n">
        <f aca="false">B36</f>
        <v>269.496907721409</v>
      </c>
    </row>
    <row r="45" customFormat="false" ht="15" hidden="false" customHeight="true" outlineLevel="0" collapsed="false">
      <c r="A45" s="26" t="s">
        <v>715</v>
      </c>
      <c r="B45" s="47" t="n">
        <f aca="false">in_price*INDEX(md_deflator,MATCH(in_anchor_year&amp;"",md_years,0))</f>
        <v>490.075515035427</v>
      </c>
    </row>
    <row r="46" customFormat="false" ht="15" hidden="false" customHeight="true" outlineLevel="0" collapsed="false">
      <c r="A46" s="26" t="s">
        <v>716</v>
      </c>
      <c r="B46" s="47" t="n">
        <f aca="false">B45-B43</f>
        <v>224.572489133734</v>
      </c>
    </row>
    <row r="47" customFormat="false" ht="15" hidden="false" customHeight="true" outlineLevel="0" collapsed="false">
      <c r="A47" s="26" t="s">
        <v>717</v>
      </c>
      <c r="B47" s="46" t="n">
        <f aca="false">B44/(C7/C57)</f>
        <v>19.8529049418432</v>
      </c>
    </row>
    <row r="48" customFormat="false" ht="15" hidden="false" customHeight="true" outlineLevel="0" collapsed="false">
      <c r="A48" s="26" t="s">
        <v>718</v>
      </c>
      <c r="B48" s="46" t="n">
        <f aca="false">1/$B$20</f>
        <v>15.9417873148443</v>
      </c>
    </row>
    <row r="49" customFormat="false" ht="15" hidden="false" customHeight="true" outlineLevel="0" collapsed="false">
      <c r="A49" s="26" t="s">
        <v>719</v>
      </c>
      <c r="B49" s="46" t="n">
        <f aca="false">B47-B48</f>
        <v>3.91111762699887</v>
      </c>
    </row>
    <row r="51" customFormat="false" ht="15" hidden="false" customHeight="true" outlineLevel="0" collapsed="false">
      <c r="A51" s="4" t="s">
        <v>720</v>
      </c>
    </row>
    <row r="52" customFormat="false" ht="15" hidden="false" customHeight="true" outlineLevel="0" collapsed="false">
      <c r="A52" s="26" t="s">
        <v>721</v>
      </c>
      <c r="B52" s="47" t="n">
        <f aca="false">B36</f>
        <v>269.496907721409</v>
      </c>
    </row>
    <row r="53" customFormat="false" ht="15" hidden="false" customHeight="true" outlineLevel="0" collapsed="false">
      <c r="A53" s="26" t="s">
        <v>722</v>
      </c>
      <c r="B53" s="47" t="n">
        <f aca="false">B39</f>
        <v>269.496907721409</v>
      </c>
    </row>
    <row r="54" customFormat="false" ht="15" hidden="false" customHeight="true" outlineLevel="0" collapsed="false">
      <c r="A54" s="56" t="s">
        <v>723</v>
      </c>
      <c r="B54" s="57" t="n">
        <f aca="false">IF(cfg_valread="Enterprise path",B53,B52)</f>
        <v>269.496907721409</v>
      </c>
    </row>
    <row r="55" customFormat="false" ht="15" hidden="false" customHeight="true" outlineLevel="0" collapsed="false">
      <c r="A55" s="7" t="s">
        <v>724</v>
      </c>
      <c r="B55" s="58" t="n">
        <f aca="false">B52-B53</f>
        <v>0</v>
      </c>
    </row>
    <row r="56" customFormat="false" ht="15" hidden="false" customHeight="true" outlineLevel="0" collapsed="false">
      <c r="A56" s="1" t="s">
        <v>725</v>
      </c>
      <c r="C56" s="52" t="n">
        <f aca="false">INDEX(finrate_infl,C4)</f>
        <v>0.021332</v>
      </c>
      <c r="D56" s="52" t="n">
        <f aca="false">INDEX(finrate_infl,D4)</f>
        <v>0.0223902739961148</v>
      </c>
      <c r="E56" s="52" t="n">
        <f aca="false">INDEX(finrate_infl,E4)</f>
        <v>0.0232896652896462</v>
      </c>
      <c r="F56" s="52" t="n">
        <f aca="false">INDEX(finrate_infl,F4)</f>
        <v>0.0240340553802407</v>
      </c>
      <c r="G56" s="52" t="n">
        <f aca="false">INDEX(finrate_infl,G4)</f>
        <v>0.024632368131545</v>
      </c>
      <c r="H56" s="52" t="n">
        <f aca="false">INDEX(finrate_infl,H4)</f>
        <v>0.0254291404310829</v>
      </c>
      <c r="I56" s="52" t="n">
        <f aca="false">INDEX(finrate_infl,I4)</f>
        <v>0.0254365410585498</v>
      </c>
      <c r="J56" s="52" t="n">
        <f aca="false">INDEX(finrate_infl,J4)</f>
        <v>0.0249916155403227</v>
      </c>
      <c r="K56" s="52" t="n">
        <f aca="false">INDEX(finrate_infl,K4)</f>
        <v>0.0244991351675081</v>
      </c>
      <c r="L56" s="52" t="n">
        <f aca="false">INDEX(finrate_infl,L4)</f>
        <v>0.0239430015820024</v>
      </c>
      <c r="M56" s="52" t="n">
        <f aca="false">INDEX(finrate_infl,M4)</f>
        <v>0.0230953610666524</v>
      </c>
      <c r="N56" s="52" t="n">
        <f aca="false">INDEX(finrate_infl,N4)</f>
        <v>0.0226916704033444</v>
      </c>
      <c r="O56" s="52" t="n">
        <f aca="false">INDEX(finrate_infl,O4)</f>
        <v>0.0224618237186383</v>
      </c>
      <c r="P56" s="52" t="n">
        <f aca="false">INDEX(finrate_infl,P4)</f>
        <v>0.0223937851652603</v>
      </c>
      <c r="Q56" s="52" t="n">
        <f aca="false">INDEX(finrate_infl,Q4)</f>
        <v>0.022475592297805</v>
      </c>
      <c r="R56" s="52" t="n">
        <f aca="false">INDEX(finrate_infl,R4)</f>
        <v>0.022691329248381</v>
      </c>
      <c r="S56" s="52" t="n">
        <f aca="false">INDEX(finrate_infl,S4)</f>
        <v>0.0229761195737543</v>
      </c>
      <c r="T56" s="52" t="n">
        <f aca="false">INDEX(finrate_infl,T4)</f>
        <v>0.0233120095671837</v>
      </c>
      <c r="U56" s="52" t="n">
        <f aca="false">INDEX(finrate_infl,U4)</f>
        <v>0.0236380167091519</v>
      </c>
      <c r="V56" s="52" t="n">
        <f aca="false">INDEX(finrate_infl,V4)</f>
        <v>0.0239381069466458</v>
      </c>
      <c r="W56" s="52" t="n">
        <f aca="false">INDEX(finrate_infl,W4)</f>
        <v>0.0242172514022956</v>
      </c>
      <c r="X56" s="52" t="n">
        <f aca="false">INDEX(finrate_infl,X4)</f>
        <v>0.0243753433653435</v>
      </c>
      <c r="Y56" s="52" t="n">
        <f aca="false">INDEX(finrate_infl,Y4)</f>
        <v>0.0244994156218887</v>
      </c>
      <c r="Z56" s="52" t="n">
        <f aca="false">INDEX(finrate_infl,Z4)</f>
        <v>0.0244613495401707</v>
      </c>
      <c r="AA56" s="52" t="n">
        <f aca="false">INDEX(finrate_infl,AA4)</f>
        <v>0.0243582465285992</v>
      </c>
      <c r="AB56" s="52" t="n">
        <f aca="false">INDEX(finrate_infl,AB4)</f>
        <v>0.0240260622343791</v>
      </c>
      <c r="AC56" s="52" t="n">
        <f aca="false">INDEX(finrate_infl,AC4)</f>
        <v>0.0235680054859291</v>
      </c>
      <c r="AD56" s="52" t="n">
        <f aca="false">INDEX(finrate_infl,AD4)</f>
        <v>0.0229162691282168</v>
      </c>
      <c r="AE56" s="52" t="n">
        <f aca="false">INDEX(finrate_infl,AE4)</f>
        <v>0.0220801560004784</v>
      </c>
      <c r="AF56" s="52" t="n">
        <f aca="false">INDEX(finrate_infl,AF4)</f>
        <v>0.0210141406475493</v>
      </c>
    </row>
    <row r="57" customFormat="false" ht="15" hidden="false" customHeight="true" outlineLevel="0" collapsed="false">
      <c r="A57" s="1" t="s">
        <v>726</v>
      </c>
      <c r="B57" s="1" t="n">
        <v>1</v>
      </c>
      <c r="C57" s="1" t="n">
        <f aca="false">B57*(1+C56)</f>
        <v>1.021332</v>
      </c>
      <c r="D57" s="1" t="n">
        <f aca="false">C57*(1+D56)</f>
        <v>1.044199903321</v>
      </c>
      <c r="E57" s="1" t="n">
        <f aca="false">D57*(1+E56)</f>
        <v>1.06851896956483</v>
      </c>
      <c r="F57" s="1" t="n">
        <f aca="false">E57*(1+F56)</f>
        <v>1.09419981365419</v>
      </c>
      <c r="G57" s="1" t="n">
        <f aca="false">F57*(1+G56)</f>
        <v>1.12115254627358</v>
      </c>
      <c r="H57" s="1" t="n">
        <f aca="false">G57*(1+H56)</f>
        <v>1.14966249181744</v>
      </c>
      <c r="I57" s="1" t="n">
        <f aca="false">H57*(1+I56)</f>
        <v>1.17890592899403</v>
      </c>
      <c r="J57" s="1" t="n">
        <f aca="false">I57*(1+J56)</f>
        <v>1.20836869272966</v>
      </c>
      <c r="K57" s="1" t="n">
        <f aca="false">J57*(1+K56)</f>
        <v>1.23797268066502</v>
      </c>
      <c r="L57" s="1" t="n">
        <f aca="false">K57*(1+L56)</f>
        <v>1.26761346251666</v>
      </c>
      <c r="M57" s="1" t="n">
        <f aca="false">L57*(1+M56)</f>
        <v>1.29688945312643</v>
      </c>
      <c r="N57" s="1" t="n">
        <f aca="false">M57*(1+N56)</f>
        <v>1.32631804114635</v>
      </c>
      <c r="O57" s="1" t="n">
        <f aca="false">N57*(1+O56)</f>
        <v>1.35610956318143</v>
      </c>
      <c r="P57" s="1" t="n">
        <f aca="false">O57*(1+P56)</f>
        <v>1.38647798939987</v>
      </c>
      <c r="Q57" s="1" t="n">
        <f aca="false">P57*(1+Q56)</f>
        <v>1.4176399034195</v>
      </c>
      <c r="R57" s="1" t="n">
        <f aca="false">Q57*(1+R56)</f>
        <v>1.44980803722364</v>
      </c>
      <c r="S57" s="1" t="n">
        <f aca="false">R57*(1+S56)</f>
        <v>1.48311900004588</v>
      </c>
      <c r="T57" s="1" t="n">
        <f aca="false">S57*(1+T56)</f>
        <v>1.51769348436422</v>
      </c>
      <c r="U57" s="1" t="n">
        <f aca="false">T57*(1+U56)</f>
        <v>1.55356874830699</v>
      </c>
      <c r="V57" s="1" t="n">
        <f aca="false">U57*(1+V56)</f>
        <v>1.59075824315293</v>
      </c>
      <c r="W57" s="1" t="n">
        <f aca="false">V57*(1+W56)</f>
        <v>1.62928203544764</v>
      </c>
      <c r="X57" s="1" t="n">
        <f aca="false">W57*(1+X56)</f>
        <v>1.66899634450066</v>
      </c>
      <c r="Y57" s="1" t="n">
        <f aca="false">X57*(1+Y56)</f>
        <v>1.709885779616</v>
      </c>
      <c r="Z57" s="1" t="n">
        <f aca="false">Y57*(1+Z56)</f>
        <v>1.75171189334495</v>
      </c>
      <c r="AA57" s="1" t="n">
        <f aca="false">Z57*(1+AA56)</f>
        <v>1.79438052349013</v>
      </c>
      <c r="AB57" s="1" t="n">
        <f aca="false">AA57*(1+AB56)</f>
        <v>1.83749242161966</v>
      </c>
      <c r="AC57" s="1" t="n">
        <f aca="false">AB57*(1+AC56)</f>
        <v>1.88079845309275</v>
      </c>
      <c r="AD57" s="1" t="n">
        <f aca="false">AC57*(1+AD56)</f>
        <v>1.92389933661975</v>
      </c>
      <c r="AE57" s="1" t="n">
        <f aca="false">AD57*(1+AE56)</f>
        <v>1.96637933410153</v>
      </c>
      <c r="AF57" s="1" t="n">
        <f aca="false">AE57*(1+AF56)</f>
        <v>2.00770110599478</v>
      </c>
    </row>
    <row r="58" customFormat="false" ht="15" hidden="false" customHeight="true" outlineLevel="0" collapsed="false">
      <c r="A58" s="1" t="s">
        <v>727</v>
      </c>
      <c r="C58" s="1" t="n">
        <f aca="false">$B$20*(1+C56)</f>
        <v>0.0640663421126549</v>
      </c>
      <c r="D58" s="1" t="n">
        <f aca="false">$B$20*(1+D56)</f>
        <v>0.0641327257605618</v>
      </c>
      <c r="E58" s="1" t="n">
        <f aca="false">$B$20*(1+E56)</f>
        <v>0.0641891429787675</v>
      </c>
      <c r="F58" s="1" t="n">
        <f aca="false">$B$20*(1+F56)</f>
        <v>0.0642358372468501</v>
      </c>
      <c r="G58" s="1" t="n">
        <f aca="false">$B$20*(1+G56)</f>
        <v>0.0642733683429241</v>
      </c>
      <c r="H58" s="1" t="n">
        <f aca="false">$B$20*(1+H56)</f>
        <v>0.0643233484539243</v>
      </c>
      <c r="I58" s="1" t="n">
        <f aca="false">$B$20*(1+I56)</f>
        <v>0.0643238126821391</v>
      </c>
      <c r="J58" s="1" t="n">
        <f aca="false">$B$20*(1+J56)</f>
        <v>0.0642959032947261</v>
      </c>
      <c r="K58" s="1" t="n">
        <f aca="false">$B$20*(1+K56)</f>
        <v>0.064265010875759</v>
      </c>
      <c r="L58" s="1" t="n">
        <f aca="false">$B$20*(1+L56)</f>
        <v>0.0642301256038304</v>
      </c>
      <c r="M58" s="1" t="n">
        <f aca="false">$B$20*(1+M56)</f>
        <v>0.0641769546200122</v>
      </c>
      <c r="N58" s="1" t="n">
        <f aca="false">$B$20*(1+N56)</f>
        <v>0.0641516318218005</v>
      </c>
      <c r="O58" s="1" t="n">
        <f aca="false">$B$20*(1+O56)</f>
        <v>0.064137213947558</v>
      </c>
      <c r="P58" s="1" t="n">
        <f aca="false">$B$20*(1+P56)</f>
        <v>0.0641329460099652</v>
      </c>
      <c r="Q58" s="1" t="n">
        <f aca="false">$B$20*(1+Q56)</f>
        <v>0.0641380776260713</v>
      </c>
      <c r="R58" s="1" t="n">
        <f aca="false">$B$20*(1+R56)</f>
        <v>0.0641516104217557</v>
      </c>
      <c r="S58" s="1" t="n">
        <f aca="false">$B$20*(1+S56)</f>
        <v>0.0641694748129779</v>
      </c>
      <c r="T58" s="1" t="n">
        <f aca="false">$B$20*(1+T56)</f>
        <v>0.0641905445956061</v>
      </c>
      <c r="U58" s="1" t="n">
        <f aca="false">$B$20*(1+U56)</f>
        <v>0.0642109944445176</v>
      </c>
      <c r="V58" s="1" t="n">
        <f aca="false">$B$20*(1+V56)</f>
        <v>0.0642298185720491</v>
      </c>
      <c r="W58" s="1" t="n">
        <f aca="false">$B$20*(1+W56)</f>
        <v>0.0642473288078926</v>
      </c>
      <c r="X58" s="1" t="n">
        <f aca="false">$B$20*(1+X56)</f>
        <v>0.0642572456359073</v>
      </c>
      <c r="Y58" s="1" t="n">
        <f aca="false">$B$20*(1+Y56)</f>
        <v>0.0642650284681641</v>
      </c>
      <c r="Z58" s="1" t="n">
        <f aca="false">$B$20*(1+Z56)</f>
        <v>0.0642626406504767</v>
      </c>
      <c r="AA58" s="1" t="n">
        <f aca="false">$B$20*(1+AA56)</f>
        <v>0.0642561731817083</v>
      </c>
      <c r="AB58" s="1" t="n">
        <f aca="false">$B$20*(1+AB56)</f>
        <v>0.0642353358510088</v>
      </c>
      <c r="AC58" s="1" t="n">
        <f aca="false">$B$20*(1+AC56)</f>
        <v>0.0642066027648496</v>
      </c>
      <c r="AD58" s="1" t="n">
        <f aca="false">$B$20*(1+AD56)</f>
        <v>0.0641657205008449</v>
      </c>
      <c r="AE58" s="1" t="n">
        <f aca="false">$B$20*(1+AE56)</f>
        <v>0.0641132726095749</v>
      </c>
      <c r="AF58" s="1" t="n">
        <f aca="false">$B$20*(1+AF56)</f>
        <v>0.0640464033601065</v>
      </c>
    </row>
    <row r="59" customFormat="false" ht="15" hidden="false" customHeight="true" outlineLevel="0" collapsed="false">
      <c r="A59" s="1" t="s">
        <v>728</v>
      </c>
      <c r="C59" s="1" t="n">
        <f aca="false">$C$20*(1+C56)</f>
        <v>0.039476490760044</v>
      </c>
      <c r="D59" s="1" t="n">
        <f aca="false">$C$20*(1+D56)</f>
        <v>0.0395173951316188</v>
      </c>
      <c r="E59" s="1" t="n">
        <f aca="false">$C$20*(1+E56)</f>
        <v>0.0395521583742165</v>
      </c>
      <c r="F59" s="1" t="n">
        <f aca="false">$C$20*(1+F56)</f>
        <v>0.0395809305154332</v>
      </c>
      <c r="G59" s="1" t="n">
        <f aca="false">$C$20*(1+G56)</f>
        <v>0.0396040564801523</v>
      </c>
      <c r="H59" s="1" t="n">
        <f aca="false">$C$20*(1+H56)</f>
        <v>0.0396348532967806</v>
      </c>
      <c r="I59" s="1" t="n">
        <f aca="false">$C$20*(1+I56)</f>
        <v>0.0396351393455892</v>
      </c>
      <c r="J59" s="1" t="n">
        <f aca="false">$C$20*(1+J56)</f>
        <v>0.0396179420991412</v>
      </c>
      <c r="K59" s="1" t="n">
        <f aca="false">$C$20*(1+K56)</f>
        <v>0.0395989067640231</v>
      </c>
      <c r="L59" s="1" t="n">
        <f aca="false">$C$20*(1+L56)</f>
        <v>0.0395774111070285</v>
      </c>
      <c r="M59" s="1" t="n">
        <f aca="false">$C$20*(1+M56)</f>
        <v>0.0395446481338013</v>
      </c>
      <c r="N59" s="1" t="n">
        <f aca="false">$C$20*(1+N56)</f>
        <v>0.039529044695605</v>
      </c>
      <c r="O59" s="1" t="n">
        <f aca="false">$C$20*(1+O56)</f>
        <v>0.0395201606691326</v>
      </c>
      <c r="P59" s="1" t="n">
        <f aca="false">$C$20*(1+P56)</f>
        <v>0.0395175308452127</v>
      </c>
      <c r="Q59" s="1" t="n">
        <f aca="false">$C$20*(1+Q56)</f>
        <v>0.0395206928518002</v>
      </c>
      <c r="R59" s="1" t="n">
        <f aca="false">$C$20*(1+R56)</f>
        <v>0.0395290315092946</v>
      </c>
      <c r="S59" s="1" t="n">
        <f aca="false">$C$20*(1+S56)</f>
        <v>0.0395400392155528</v>
      </c>
      <c r="T59" s="1" t="n">
        <f aca="false">$C$20*(1+T56)</f>
        <v>0.0395530220244945</v>
      </c>
      <c r="U59" s="1" t="n">
        <f aca="false">$C$20*(1+U56)</f>
        <v>0.0395656228417876</v>
      </c>
      <c r="V59" s="1" t="n">
        <f aca="false">$C$20*(1+V56)</f>
        <v>0.0395772219197442</v>
      </c>
      <c r="W59" s="1" t="n">
        <f aca="false">$C$20*(1+W56)</f>
        <v>0.0395880114020322</v>
      </c>
      <c r="X59" s="1" t="n">
        <f aca="false">$C$20*(1+X56)</f>
        <v>0.0395941219673709</v>
      </c>
      <c r="Y59" s="1" t="n">
        <f aca="false">$C$20*(1+Y56)</f>
        <v>0.0395989176041365</v>
      </c>
      <c r="Z59" s="1" t="n">
        <f aca="false">$C$20*(1+Z56)</f>
        <v>0.0395974462752021</v>
      </c>
      <c r="AA59" s="1" t="n">
        <f aca="false">$C$20*(1+AA56)</f>
        <v>0.0395934611410013</v>
      </c>
      <c r="AB59" s="1" t="n">
        <f aca="false">$C$20*(1+AB56)</f>
        <v>0.0395806215646232</v>
      </c>
      <c r="AC59" s="1" t="n">
        <f aca="false">$C$20*(1+AC56)</f>
        <v>0.039562916770298</v>
      </c>
      <c r="AD59" s="1" t="n">
        <f aca="false">$C$20*(1+AD56)</f>
        <v>0.039537725878107</v>
      </c>
      <c r="AE59" s="1" t="n">
        <f aca="false">$C$20*(1+AE56)</f>
        <v>0.0395054084610854</v>
      </c>
      <c r="AF59" s="1" t="n">
        <f aca="false">$C$20*(1+AF56)</f>
        <v>0.0394642048708424</v>
      </c>
    </row>
    <row r="60" customFormat="false" ht="15" hidden="false" customHeight="true" outlineLevel="0" collapsed="false">
      <c r="A60" s="1" t="s">
        <v>729</v>
      </c>
      <c r="C60" s="1" t="n">
        <f aca="false">$D$20*(1+C56)</f>
        <v>0.060079020833584</v>
      </c>
      <c r="D60" s="1" t="n">
        <f aca="false">$D$20*(1+D56)</f>
        <v>0.0601412729371705</v>
      </c>
      <c r="E60" s="1" t="n">
        <f aca="false">$D$20*(1+E56)</f>
        <v>0.0601941788955284</v>
      </c>
      <c r="F60" s="1" t="n">
        <f aca="false">$D$20*(1+F56)</f>
        <v>0.0602379670347047</v>
      </c>
      <c r="G60" s="1" t="n">
        <f aca="false">$D$20*(1+G56)</f>
        <v>0.0602731622936906</v>
      </c>
      <c r="H60" s="1" t="n">
        <f aca="false">$D$20*(1+H56)</f>
        <v>0.0603200317735302</v>
      </c>
      <c r="I60" s="1" t="n">
        <f aca="false">$D$20*(1+I56)</f>
        <v>0.0603204671093972</v>
      </c>
      <c r="J60" s="1" t="n">
        <f aca="false">$D$20*(1+J56)</f>
        <v>0.0602942947291341</v>
      </c>
      <c r="K60" s="1" t="n">
        <f aca="false">$D$20*(1+K56)</f>
        <v>0.0602653249733852</v>
      </c>
      <c r="L60" s="1" t="n">
        <f aca="false">$D$20*(1+L56)</f>
        <v>0.060232610869382</v>
      </c>
      <c r="M60" s="1" t="n">
        <f aca="false">$D$20*(1+M56)</f>
        <v>0.0601827491082885</v>
      </c>
      <c r="N60" s="1" t="n">
        <f aca="false">$D$20*(1+N56)</f>
        <v>0.0601590023346917</v>
      </c>
      <c r="O60" s="1" t="n">
        <f aca="false">$D$20*(1+O56)</f>
        <v>0.0601454817911672</v>
      </c>
      <c r="P60" s="1" t="n">
        <f aca="false">$D$20*(1+P56)</f>
        <v>0.0601414794788281</v>
      </c>
      <c r="Q60" s="1" t="n">
        <f aca="false">$D$20*(1+Q56)</f>
        <v>0.0601462917165926</v>
      </c>
      <c r="R60" s="1" t="n">
        <f aca="false">$D$20*(1+R56)</f>
        <v>0.0601589822665296</v>
      </c>
      <c r="S60" s="1" t="n">
        <f aca="false">$D$20*(1+S56)</f>
        <v>0.0601757348248469</v>
      </c>
      <c r="T60" s="1" t="n">
        <f aca="false">$D$20*(1+T56)</f>
        <v>0.0601954932794072</v>
      </c>
      <c r="U60" s="1" t="n">
        <f aca="false">$D$20*(1+U56)</f>
        <v>0.0602146703833011</v>
      </c>
      <c r="V60" s="1" t="n">
        <f aca="false">$D$20*(1+V56)</f>
        <v>0.0602323229464543</v>
      </c>
      <c r="W60" s="1" t="n">
        <f aca="false">$D$20*(1+W56)</f>
        <v>0.0602487433910958</v>
      </c>
      <c r="X60" s="1" t="n">
        <f aca="false">$D$20*(1+X56)</f>
        <v>0.060258043021717</v>
      </c>
      <c r="Y60" s="1" t="n">
        <f aca="false">$D$20*(1+Y56)</f>
        <v>0.0602653414708851</v>
      </c>
      <c r="Z60" s="1" t="n">
        <f aca="false">$D$20*(1+Z56)</f>
        <v>0.0602631022647146</v>
      </c>
      <c r="AA60" s="1" t="n">
        <f aca="false">$D$20*(1+AA56)</f>
        <v>0.0602570373142575</v>
      </c>
      <c r="AB60" s="1" t="n">
        <f aca="false">$D$20*(1+AB56)</f>
        <v>0.0602374968444269</v>
      </c>
      <c r="AC60" s="1" t="n">
        <f aca="false">$D$20*(1+AC56)</f>
        <v>0.0602105520302694</v>
      </c>
      <c r="AD60" s="1" t="n">
        <f aca="false">$D$20*(1+AD56)</f>
        <v>0.0601722141712647</v>
      </c>
      <c r="AE60" s="1" t="n">
        <f aca="false">$D$20*(1+AE56)</f>
        <v>0.0601230304993337</v>
      </c>
      <c r="AF60" s="1" t="n">
        <f aca="false">$D$20*(1+AF56)</f>
        <v>0.0600603230167546</v>
      </c>
    </row>
    <row r="61" customFormat="false" ht="15" hidden="false" customHeight="true" outlineLevel="0" collapsed="false">
      <c r="A61" s="1" t="s">
        <v>730</v>
      </c>
      <c r="C61" s="59" t="n">
        <f aca="false">C5-C56</f>
        <v>0.0535345716577332</v>
      </c>
      <c r="D61" s="59" t="n">
        <f aca="false">D5-D56</f>
        <v>0.0587855826393888</v>
      </c>
      <c r="E61" s="59" t="n">
        <f aca="false">E5-E56</f>
        <v>0.0639398772439588</v>
      </c>
      <c r="F61" s="59" t="n">
        <f aca="false">F5-F56</f>
        <v>0.064874448700025</v>
      </c>
      <c r="G61" s="59" t="n">
        <f aca="false">G5-G56</f>
        <v>0.0662424582856493</v>
      </c>
      <c r="H61" s="59" t="n">
        <f aca="false">H5-H56</f>
        <v>0.0672047752218898</v>
      </c>
      <c r="I61" s="59" t="n">
        <f aca="false">I5-I56</f>
        <v>0.0678048939411384</v>
      </c>
      <c r="J61" s="59" t="n">
        <f aca="false">J5-J56</f>
        <v>0.0674800163982852</v>
      </c>
      <c r="K61" s="59" t="n">
        <f aca="false">K5-K56</f>
        <v>0.0669197270683668</v>
      </c>
      <c r="L61" s="59" t="n">
        <f aca="false">L5-L56</f>
        <v>0.065668302470584</v>
      </c>
      <c r="M61" s="59" t="n">
        <f aca="false">M5-M56</f>
        <v>0.064070314358379</v>
      </c>
      <c r="N61" s="59" t="n">
        <f aca="false">N5-N56</f>
        <v>0.0626643750342821</v>
      </c>
      <c r="O61" s="59" t="n">
        <f aca="false">O5-O56</f>
        <v>0.0614779561405989</v>
      </c>
      <c r="P61" s="59" t="n">
        <f aca="false">P5-P56</f>
        <v>0.0605451234840853</v>
      </c>
      <c r="Q61" s="59" t="n">
        <f aca="false">Q5-Q56</f>
        <v>0.0597319092304398</v>
      </c>
      <c r="R61" s="59" t="n">
        <f aca="false">R5-R56</f>
        <v>0.0588511167323125</v>
      </c>
      <c r="S61" s="59" t="n">
        <f aca="false">S5-S56</f>
        <v>0.058438347726167</v>
      </c>
      <c r="T61" s="59" t="n">
        <f aca="false">T5-T56</f>
        <v>0.0582310300312314</v>
      </c>
      <c r="U61" s="59" t="n">
        <f aca="false">U5-U56</f>
        <v>0.0582450311503311</v>
      </c>
      <c r="V61" s="59" t="n">
        <f aca="false">V5-V56</f>
        <v>0.0584943556832633</v>
      </c>
      <c r="W61" s="59" t="n">
        <f aca="false">W5-W56</f>
        <v>0.0597909660450102</v>
      </c>
      <c r="X61" s="59" t="n">
        <f aca="false">X5-X56</f>
        <v>0.0601088368880951</v>
      </c>
      <c r="Y61" s="59" t="n">
        <f aca="false">Y5-Y56</f>
        <v>0.0604770242537116</v>
      </c>
      <c r="Z61" s="59" t="n">
        <f aca="false">Z5-Z56</f>
        <v>0.0608854469977329</v>
      </c>
      <c r="AA61" s="59" t="n">
        <f aca="false">AA5-AA56</f>
        <v>0.0613371523453103</v>
      </c>
      <c r="AB61" s="59" t="n">
        <f aca="false">AB5-AB56</f>
        <v>0.0618379061038965</v>
      </c>
      <c r="AC61" s="59" t="n">
        <f aca="false">AC5-AC56</f>
        <v>0.0623580965103681</v>
      </c>
      <c r="AD61" s="59" t="n">
        <f aca="false">AD5-AD56</f>
        <v>0.0629017678812782</v>
      </c>
      <c r="AE61" s="59" t="n">
        <f aca="false">AE5-AE56</f>
        <v>0.0634662490874662</v>
      </c>
      <c r="AF61" s="59" t="n">
        <f aca="false">AF5-AF56</f>
        <v>0.0640464033601065</v>
      </c>
    </row>
    <row r="62" customFormat="false" ht="15" hidden="false" customHeight="true" outlineLevel="0" collapsed="false">
      <c r="A62" s="1" t="s">
        <v>731</v>
      </c>
      <c r="C62" s="1" t="n">
        <f aca="false">IF(C4&gt;cfg_N,0,C16+IF(C4=cfg_N,C16/$B$20,D62))</f>
        <v>13.1100225997489</v>
      </c>
      <c r="D62" s="1" t="n">
        <f aca="false">IF(D4&gt;cfg_N,0,D16+IF(D4=cfg_N,D16/$B$20,E62))</f>
        <v>12.1796745673808</v>
      </c>
      <c r="E62" s="1" t="n">
        <f aca="false">IF(E4&gt;cfg_N,0,E16+IF(E4=cfg_N,E16/$B$20,F62))</f>
        <v>11.31917807492</v>
      </c>
      <c r="F62" s="1" t="n">
        <f aca="false">IF(F4&gt;cfg_N,0,F16+IF(F4=cfg_N,F16/$B$20,G62))</f>
        <v>10.5277200995826</v>
      </c>
      <c r="G62" s="1" t="n">
        <f aca="false">IF(G4&gt;cfg_N,0,G16+IF(G4=cfg_N,G16/$B$20,H62))</f>
        <v>9.80088403174785</v>
      </c>
      <c r="H62" s="1" t="n">
        <f aca="false">IF(H4&gt;cfg_N,0,H16+IF(H4=cfg_N,H16/$B$20,I62))</f>
        <v>9.13459670873583</v>
      </c>
      <c r="I62" s="1" t="n">
        <f aca="false">IF(I4&gt;cfg_N,0,I16+IF(I4=cfg_N,I16/$B$20,J62))</f>
        <v>8.52479747637919</v>
      </c>
      <c r="J62" s="1" t="n">
        <f aca="false">IF(J4&gt;cfg_N,0,J16+IF(J4=cfg_N,J16/$B$20,K62))</f>
        <v>7.9670073919256</v>
      </c>
      <c r="K62" s="1" t="n">
        <f aca="false">IF(K4&gt;cfg_N,0,K16+IF(K4=cfg_N,K16/$B$20,L62))</f>
        <v>7.45643112784102</v>
      </c>
      <c r="L62" s="1" t="n">
        <f aca="false">IF(L4&gt;cfg_N,0,L16+IF(L4=cfg_N,L16/$B$20,M62))</f>
        <v>6.98862148870888</v>
      </c>
      <c r="M62" s="1" t="n">
        <f aca="false">IF(M4&gt;cfg_N,0,M16+IF(M4=cfg_N,M16/$B$20,N62))</f>
        <v>6.55928523146539</v>
      </c>
      <c r="N62" s="1" t="n">
        <f aca="false">IF(N4&gt;cfg_N,0,N16+IF(N4=cfg_N,N16/$B$20,O62))</f>
        <v>6.16437186458077</v>
      </c>
      <c r="O62" s="1" t="n">
        <f aca="false">IF(O4&gt;cfg_N,0,O16+IF(O4=cfg_N,O16/$B$20,P62))</f>
        <v>0</v>
      </c>
      <c r="P62" s="1" t="n">
        <f aca="false">IF(P4&gt;cfg_N,0,P16+IF(P4=cfg_N,P16/$B$20,Q62))</f>
        <v>0</v>
      </c>
      <c r="Q62" s="1" t="n">
        <f aca="false">IF(Q4&gt;cfg_N,0,Q16+IF(Q4=cfg_N,Q16/$B$20,R62))</f>
        <v>0</v>
      </c>
      <c r="R62" s="1" t="n">
        <f aca="false">IF(R4&gt;cfg_N,0,R16+IF(R4=cfg_N,R16/$B$20,S62))</f>
        <v>0</v>
      </c>
      <c r="S62" s="1" t="n">
        <f aca="false">IF(S4&gt;cfg_N,0,S16+IF(S4=cfg_N,S16/$B$20,T62))</f>
        <v>0</v>
      </c>
      <c r="T62" s="1" t="n">
        <f aca="false">IF(T4&gt;cfg_N,0,T16+IF(T4=cfg_N,T16/$B$20,U62))</f>
        <v>0</v>
      </c>
      <c r="U62" s="1" t="n">
        <f aca="false">IF(U4&gt;cfg_N,0,U16+IF(U4=cfg_N,U16/$B$20,V62))</f>
        <v>0</v>
      </c>
      <c r="V62" s="1" t="n">
        <f aca="false">IF(V4&gt;cfg_N,0,V16+IF(V4=cfg_N,V16/$B$20,W62))</f>
        <v>0</v>
      </c>
      <c r="W62" s="1" t="n">
        <f aca="false">IF(W4&gt;cfg_N,0,W16+IF(W4=cfg_N,W16/$B$20,X62))</f>
        <v>0</v>
      </c>
      <c r="X62" s="1" t="n">
        <f aca="false">IF(X4&gt;cfg_N,0,X16+IF(X4=cfg_N,X16/$B$20,Y62))</f>
        <v>0</v>
      </c>
      <c r="Y62" s="1" t="n">
        <f aca="false">IF(Y4&gt;cfg_N,0,Y16+IF(Y4=cfg_N,Y16/$B$20,Z62))</f>
        <v>0</v>
      </c>
      <c r="Z62" s="1" t="n">
        <f aca="false">IF(Z4&gt;cfg_N,0,Z16+IF(Z4=cfg_N,Z16/$B$20,AA62))</f>
        <v>0</v>
      </c>
      <c r="AA62" s="1" t="n">
        <f aca="false">IF(AA4&gt;cfg_N,0,AA16+IF(AA4=cfg_N,AA16/$B$20,AB62))</f>
        <v>0</v>
      </c>
      <c r="AB62" s="1" t="n">
        <f aca="false">IF(AB4&gt;cfg_N,0,AB16+IF(AB4=cfg_N,AB16/$B$20,AC62))</f>
        <v>0</v>
      </c>
      <c r="AC62" s="1" t="n">
        <f aca="false">IF(AC4&gt;cfg_N,0,AC16+IF(AC4=cfg_N,AC16/$B$20,AD62))</f>
        <v>0</v>
      </c>
      <c r="AD62" s="1" t="n">
        <f aca="false">IF(AD4&gt;cfg_N,0,AD16+IF(AD4=cfg_N,AD16/$B$20,AE62))</f>
        <v>0</v>
      </c>
      <c r="AE62" s="1" t="n">
        <f aca="false">IF(AE4&gt;cfg_N,0,AE16+IF(AE4=cfg_N,AE16/$B$20,AF62))</f>
        <v>0</v>
      </c>
      <c r="AF62" s="1" t="n">
        <f aca="false">IF(AF4&gt;cfg_N,0,AF16+IF(AF4=cfg_N,AF16/$B$20,AG62))</f>
        <v>0</v>
      </c>
    </row>
    <row r="63" customFormat="false" ht="15" hidden="false" customHeight="true" outlineLevel="0" collapsed="false">
      <c r="A63" s="1" t="s">
        <v>732</v>
      </c>
      <c r="C63" s="1" t="n">
        <f aca="false">C23+IF(C4=1,0,C56*B7+(B61-C61*(1+B56))*INDEX($B10:C10,MAX(1,C4-1)))</f>
        <v>-5.55855115604059</v>
      </c>
      <c r="D63" s="1" t="n">
        <f aca="false">D23+IF(D4=1,0,D56*C7+(C61-D61*(1+C56))*INDEX($B10:D10,MAX(1,D4-1)))</f>
        <v>1.24270157392032</v>
      </c>
      <c r="E63" s="1" t="n">
        <f aca="false">E23+IF(E4=1,0,E56*D7+(D61-E61*(1+D56))*INDEX($B10:E10,MAX(1,E4-1)))</f>
        <v>0.929491005787638</v>
      </c>
      <c r="F63" s="1" t="n">
        <f aca="false">F23+IF(F4=1,0,F56*E7+(E61-F61*(1+E56))*INDEX($B10:F10,MAX(1,F4-1)))</f>
        <v>0.977990804666261</v>
      </c>
      <c r="G63" s="1" t="n">
        <f aca="false">G23+IF(G4=1,0,G56*F7+(F61-G61*(1+F56))*INDEX($B10:G10,MAX(1,G4-1)))</f>
        <v>0.83699287563414</v>
      </c>
      <c r="H63" s="1" t="n">
        <f aca="false">H23+IF(H4=1,0,H56*G7+(G61-H61*(1+G56))*INDEX($B10:H10,MAX(1,H4-1)))</f>
        <v>0.741418868046085</v>
      </c>
      <c r="I63" s="1" t="n">
        <f aca="false">I23+IF(I4=1,0,I56*H7+(H61-I61*(1+H56))*INDEX($B10:I10,MAX(1,I4-1)))</f>
        <v>0.658459069326662</v>
      </c>
      <c r="J63" s="1" t="n">
        <f aca="false">J23+IF(J4=1,0,J56*I7+(I61-J61*(1+I56))*INDEX($B10:J10,MAX(1,J4-1)))</f>
        <v>0.640076401702022</v>
      </c>
      <c r="K63" s="1" t="n">
        <f aca="false">K23+IF(K4=1,0,K56*J7+(J61-K61*(1+J56))*INDEX($B10:K10,MAX(1,K4-1)))</f>
        <v>0.524107080068437</v>
      </c>
      <c r="L63" s="1" t="n">
        <f aca="false">L23+IF(L4=1,0,L56*K7+(K61-L61*(1+K56))*INDEX($B10:L10,MAX(1,L4-1)))</f>
        <v>0.484797168823298</v>
      </c>
      <c r="M63" s="1" t="n">
        <f aca="false">M23+IF(M4=1,0,M56*L7+(L61-M61*(1+L56))*INDEX($B10:M10,MAX(1,M4-1)))</f>
        <v>0.646629321163374</v>
      </c>
      <c r="N63" s="1" t="n">
        <f aca="false">N23+IF(N4=1,0,N56*M7+(M61-N61*(1+M56))*INDEX($B10:N10,MAX(1,N4-1)))</f>
        <v>0.598245895371826</v>
      </c>
      <c r="O63" s="1" t="n">
        <f aca="false">O23+IF(O4=1,0,O56*N7+(N61-O61*(1+N56))*INDEX($B10:O10,MAX(1,O4-1)))</f>
        <v>-20.19354776271</v>
      </c>
      <c r="P63" s="1" t="n">
        <f aca="false">P23+IF(P4=1,0,P56*O7+(O61-P61*(1+O56))*INDEX($B10:P10,MAX(1,P4-1)))</f>
        <v>-2.95596880306448E-014</v>
      </c>
      <c r="Q63" s="1" t="n">
        <f aca="false">Q23+IF(Q4=1,0,Q56*P7+(P61-Q61*(1+P56))*INDEX($B10:Q10,MAX(1,Q4-1)))</f>
        <v>5.88418203051333E-015</v>
      </c>
      <c r="R63" s="1" t="n">
        <f aca="false">R23+IF(R4=1,0,R56*Q7+(Q61-R61*(1+Q56))*INDEX($B10:R10,MAX(1,R4-1)))</f>
        <v>1.7430501486615E-014</v>
      </c>
      <c r="S63" s="1" t="n">
        <f aca="false">S23+IF(S4=1,0,S56*R7+(R61-S61*(1+R56))*INDEX($B10:S10,MAX(1,S4-1)))</f>
        <v>-2.48134846003723E-014</v>
      </c>
      <c r="T63" s="1" t="n">
        <f aca="false">T23+IF(T4=1,0,T56*S7+(S61-T61*(1+S56))*INDEX($B10:T10,MAX(1,T4-1)))</f>
        <v>-9.38138455808257E-015</v>
      </c>
      <c r="U63" s="1" t="n">
        <f aca="false">U23+IF(U4=1,0,U56*T7+(T61-U61*(1+T56))*INDEX($B10:U10,MAX(1,U4-1)))</f>
        <v>-4.94049245958195E-015</v>
      </c>
      <c r="V63" s="1" t="n">
        <f aca="false">V23+IF(V4=1,0,V56*U7+(U61-V61*(1+U56))*INDEX($B10:V10,MAX(1,V4-1)))</f>
        <v>1.59872115546023E-014</v>
      </c>
      <c r="W63" s="1" t="n">
        <f aca="false">W23+IF(W4=1,0,W56*V7+(V61-W61*(1+V56))*INDEX($B10:W10,MAX(1,W4-1)))</f>
        <v>-1.69309011255336E-014</v>
      </c>
      <c r="X63" s="1" t="n">
        <f aca="false">X23+IF(X4=1,0,X56*W7+(W61-X61*(1+W56))*INDEX($B10:X10,MAX(1,X4-1)))</f>
        <v>3.2085445411667E-014</v>
      </c>
      <c r="Y63" s="1" t="n">
        <f aca="false">Y23+IF(Y4=1,0,Y56*X7+(X61-Y61*(1+X56))*INDEX($B10:Y10,MAX(1,Y4-1)))</f>
        <v>2.48134846003723E-014</v>
      </c>
      <c r="Z63" s="1" t="n">
        <f aca="false">Z23+IF(Z4=1,0,Z56*Y7+(Y61-Z61*(1+Y56))*INDEX($B10:Z10,MAX(1,Z4-1)))</f>
        <v>1.98729921407903E-014</v>
      </c>
      <c r="AA63" s="1" t="n">
        <f aca="false">AA23+IF(AA4=1,0,AA56*Z7+(Z61-AA61*(1+Z56))*INDEX($B10:AA10,MAX(1,AA4-1)))</f>
        <v>-9.91984272502577E-014</v>
      </c>
      <c r="AB63" s="1" t="n">
        <f aca="false">AB23+IF(AB4=1,0,AB56*AA7+(AA61-AB61*(1+AA56))*INDEX($B10:AB10,MAX(1,AB4-1)))</f>
        <v>8.65973959207622E-015</v>
      </c>
      <c r="AC63" s="1" t="n">
        <f aca="false">AC23+IF(AC4=1,0,AC56*AB7+(AB61-AC61*(1+AB56))*INDEX($B10:AC10,MAX(1,AC4-1)))</f>
        <v>8.58202398035246E-014</v>
      </c>
      <c r="AD63" s="1" t="n">
        <f aca="false">AD23+IF(AD4=1,0,AD56*AC7+(AC61-AD61*(1+AC56))*INDEX($B10:AD10,MAX(1,AD4-1)))</f>
        <v>-4.29656310529936E-014</v>
      </c>
      <c r="AE63" s="1" t="n">
        <f aca="false">AE23+IF(AE4=1,0,AE56*AD7+(AD61-AE61*(1+AD56))*INDEX($B10:AE10,MAX(1,AE4-1)))</f>
        <v>-6.0507154842071E-014</v>
      </c>
      <c r="AF63" s="1" t="n">
        <f aca="false">AF23+IF(AF4=1,0,AF56*AE7+(AE61-AF61*(1+AE56))*INDEX($B10:AF10,MAX(1,AF4-1)))</f>
        <v>4.52415882534751E-014</v>
      </c>
    </row>
    <row r="64" customFormat="false" ht="15" hidden="false" customHeight="true" outlineLevel="0" collapsed="false">
      <c r="A64" s="1" t="s">
        <v>733</v>
      </c>
      <c r="C64" s="59" t="n">
        <f aca="false">C6-C56</f>
        <v>0.02294947302648</v>
      </c>
      <c r="D64" s="59" t="n">
        <f aca="false">D6-D56</f>
        <v>0.0236466836841776</v>
      </c>
      <c r="E64" s="59" t="n">
        <f aca="false">E6-E56</f>
        <v>0.0249593263279719</v>
      </c>
      <c r="F64" s="59" t="n">
        <f aca="false">F6-F56</f>
        <v>0.0264067825706351</v>
      </c>
      <c r="G64" s="59" t="n">
        <f aca="false">G6-G56</f>
        <v>0.0279002578070091</v>
      </c>
      <c r="H64" s="59" t="n">
        <f aca="false">H6-H56</f>
        <v>0.0297830387283724</v>
      </c>
      <c r="I64" s="59" t="n">
        <f aca="false">I6-I56</f>
        <v>0.0320073660578595</v>
      </c>
      <c r="J64" s="59" t="n">
        <f aca="false">J6-J56</f>
        <v>0.0344411696702824</v>
      </c>
      <c r="K64" s="59" t="n">
        <f aca="false">K6-K56</f>
        <v>0.0367014377754258</v>
      </c>
      <c r="L64" s="59" t="n">
        <f aca="false">L6-L56</f>
        <v>0.0386322881658792</v>
      </c>
      <c r="M64" s="59" t="n">
        <f aca="false">M6-M56</f>
        <v>0.0403392791390742</v>
      </c>
      <c r="N64" s="59" t="n">
        <f aca="false">N6-N56</f>
        <v>0.0417664046487047</v>
      </c>
      <c r="O64" s="59" t="n">
        <f aca="false">O6-O56</f>
        <v>0.0429276404594794</v>
      </c>
      <c r="P64" s="59" t="n">
        <f aca="false">P6-P56</f>
        <v>0.0438176025527264</v>
      </c>
      <c r="Q64" s="59" t="n">
        <f aca="false">Q6-Q56</f>
        <v>0.044392503778409</v>
      </c>
      <c r="R64" s="59" t="n">
        <f aca="false">R6-R56</f>
        <v>0.0446854626678828</v>
      </c>
      <c r="S64" s="59" t="n">
        <f aca="false">S6-S56</f>
        <v>0.0447424558799734</v>
      </c>
      <c r="T64" s="59" t="n">
        <f aca="false">T6-T56</f>
        <v>0.0446088873904191</v>
      </c>
      <c r="U64" s="59" t="n">
        <f aca="false">U6-U56</f>
        <v>0.044329074241557</v>
      </c>
      <c r="V64" s="59" t="n">
        <f aca="false">V6-V56</f>
        <v>0.0439444500338875</v>
      </c>
      <c r="W64" s="59" t="n">
        <f aca="false">W6-W56</f>
        <v>0.0434299506853328</v>
      </c>
      <c r="X64" s="59" t="n">
        <f aca="false">X6-X56</f>
        <v>0.0428569899691924</v>
      </c>
      <c r="Y64" s="59" t="n">
        <f aca="false">Y6-Y56</f>
        <v>0.0422550245440836</v>
      </c>
      <c r="Z64" s="59" t="n">
        <f aca="false">Z6-Z56</f>
        <v>0.041643468724202</v>
      </c>
      <c r="AA64" s="59" t="n">
        <f aca="false">AA6-AA56</f>
        <v>0.0410563358849281</v>
      </c>
      <c r="AB64" s="59" t="n">
        <f aca="false">AB6-AB56</f>
        <v>0.0405202013176353</v>
      </c>
      <c r="AC64" s="59" t="n">
        <f aca="false">AC6-AC56</f>
        <v>0.0400712155239822</v>
      </c>
      <c r="AD64" s="59" t="n">
        <f aca="false">AD6-AD56</f>
        <v>0.0397385488917275</v>
      </c>
      <c r="AE64" s="59" t="n">
        <f aca="false">AE6-AE56</f>
        <v>0.0395383184200284</v>
      </c>
      <c r="AF64" s="59" t="n">
        <f aca="false">AF6-AF56</f>
        <v>0.0394642048708425</v>
      </c>
    </row>
    <row r="65" customFormat="false" ht="15" hidden="false" customHeight="true" outlineLevel="0" collapsed="false">
      <c r="A65" s="1" t="s">
        <v>734</v>
      </c>
      <c r="C65" s="1" t="n">
        <f aca="false">IF(C4&gt;cfg_N,0,C17+IF(C4=cfg_N,C17/$C$20,D65))</f>
        <v>22.3384762504319</v>
      </c>
      <c r="D65" s="1" t="n">
        <f aca="false">IF(D4&gt;cfg_N,0,D17+IF(D4=cfg_N,D17/$C$20,E65))</f>
        <v>21.3808800219919</v>
      </c>
      <c r="E65" s="1" t="n">
        <f aca="false">IF(E4&gt;cfg_N,0,E17+IF(E4=cfg_N,E17/$C$20,F65))</f>
        <v>20.465428401082</v>
      </c>
      <c r="F65" s="1" t="n">
        <f aca="false">IF(F4&gt;cfg_N,0,F17+IF(F4=cfg_N,F17/$C$20,G65))</f>
        <v>19.5921133507167</v>
      </c>
      <c r="G65" s="1" t="n">
        <f aca="false">IF(G4&gt;cfg_N,0,G17+IF(G4=cfg_N,G17/$C$20,H65))</f>
        <v>18.760733782431</v>
      </c>
      <c r="H65" s="1" t="n">
        <f aca="false">IF(H4&gt;cfg_N,0,H17+IF(H4=cfg_N,H17/$C$20,I65))</f>
        <v>17.9708489391518</v>
      </c>
      <c r="I65" s="1" t="n">
        <f aca="false">IF(I4&gt;cfg_N,0,I17+IF(I4=cfg_N,I17/$C$20,J65))</f>
        <v>17.2222934743083</v>
      </c>
      <c r="J65" s="1" t="n">
        <f aca="false">IF(J4&gt;cfg_N,0,J17+IF(J4=cfg_N,J17/$C$20,K65))</f>
        <v>16.5144020582192</v>
      </c>
      <c r="K65" s="1" t="n">
        <f aca="false">IF(K4&gt;cfg_N,0,K17+IF(K4=cfg_N,K17/$C$20,L65))</f>
        <v>15.8462224191037</v>
      </c>
      <c r="L65" s="1" t="n">
        <f aca="false">IF(L4&gt;cfg_N,0,L17+IF(L4=cfg_N,L17/$C$20,M65))</f>
        <v>15.2165774149906</v>
      </c>
      <c r="M65" s="1" t="n">
        <f aca="false">IF(M4&gt;cfg_N,0,M17+IF(M4=cfg_N,M17/$C$20,N65))</f>
        <v>14.6240123420135</v>
      </c>
      <c r="N65" s="1" t="n">
        <f aca="false">IF(N4&gt;cfg_N,0,N17+IF(N4=cfg_N,N17/$C$20,O65))</f>
        <v>14.0667942013082</v>
      </c>
      <c r="O65" s="1" t="n">
        <f aca="false">IF(O4&gt;cfg_N,0,O17+IF(O4=cfg_N,O17/$C$20,P65))</f>
        <v>0</v>
      </c>
      <c r="P65" s="1" t="n">
        <f aca="false">IF(P4&gt;cfg_N,0,P17+IF(P4=cfg_N,P17/$C$20,Q65))</f>
        <v>0</v>
      </c>
      <c r="Q65" s="1" t="n">
        <f aca="false">IF(Q4&gt;cfg_N,0,Q17+IF(Q4=cfg_N,Q17/$C$20,R65))</f>
        <v>0</v>
      </c>
      <c r="R65" s="1" t="n">
        <f aca="false">IF(R4&gt;cfg_N,0,R17+IF(R4=cfg_N,R17/$C$20,S65))</f>
        <v>0</v>
      </c>
      <c r="S65" s="1" t="n">
        <f aca="false">IF(S4&gt;cfg_N,0,S17+IF(S4=cfg_N,S17/$C$20,T65))</f>
        <v>0</v>
      </c>
      <c r="T65" s="1" t="n">
        <f aca="false">IF(T4&gt;cfg_N,0,T17+IF(T4=cfg_N,T17/$C$20,U65))</f>
        <v>0</v>
      </c>
      <c r="U65" s="1" t="n">
        <f aca="false">IF(U4&gt;cfg_N,0,U17+IF(U4=cfg_N,U17/$C$20,V65))</f>
        <v>0</v>
      </c>
      <c r="V65" s="1" t="n">
        <f aca="false">IF(V4&gt;cfg_N,0,V17+IF(V4=cfg_N,V17/$C$20,W65))</f>
        <v>0</v>
      </c>
      <c r="W65" s="1" t="n">
        <f aca="false">IF(W4&gt;cfg_N,0,W17+IF(W4=cfg_N,W17/$C$20,X65))</f>
        <v>0</v>
      </c>
      <c r="X65" s="1" t="n">
        <f aca="false">IF(X4&gt;cfg_N,0,X17+IF(X4=cfg_N,X17/$C$20,Y65))</f>
        <v>0</v>
      </c>
      <c r="Y65" s="1" t="n">
        <f aca="false">IF(Y4&gt;cfg_N,0,Y17+IF(Y4=cfg_N,Y17/$C$20,Z65))</f>
        <v>0</v>
      </c>
      <c r="Z65" s="1" t="n">
        <f aca="false">IF(Z4&gt;cfg_N,0,Z17+IF(Z4=cfg_N,Z17/$C$20,AA65))</f>
        <v>0</v>
      </c>
      <c r="AA65" s="1" t="n">
        <f aca="false">IF(AA4&gt;cfg_N,0,AA17+IF(AA4=cfg_N,AA17/$C$20,AB65))</f>
        <v>0</v>
      </c>
      <c r="AB65" s="1" t="n">
        <f aca="false">IF(AB4&gt;cfg_N,0,AB17+IF(AB4=cfg_N,AB17/$C$20,AC65))</f>
        <v>0</v>
      </c>
      <c r="AC65" s="1" t="n">
        <f aca="false">IF(AC4&gt;cfg_N,0,AC17+IF(AC4=cfg_N,AC17/$C$20,AD65))</f>
        <v>0</v>
      </c>
      <c r="AD65" s="1" t="n">
        <f aca="false">IF(AD4&gt;cfg_N,0,AD17+IF(AD4=cfg_N,AD17/$C$20,AE65))</f>
        <v>0</v>
      </c>
      <c r="AE65" s="1" t="n">
        <f aca="false">IF(AE4&gt;cfg_N,0,AE17+IF(AE4=cfg_N,AE17/$C$20,AF65))</f>
        <v>0</v>
      </c>
      <c r="AF65" s="1" t="n">
        <f aca="false">IF(AF4&gt;cfg_N,0,AF17+IF(AF4=cfg_N,AF17/$C$20,AG65))</f>
        <v>0</v>
      </c>
    </row>
    <row r="66" customFormat="false" ht="15" hidden="false" customHeight="true" outlineLevel="0" collapsed="false">
      <c r="A66" s="1" t="s">
        <v>735</v>
      </c>
      <c r="C66" s="1" t="n">
        <f aca="false">C27+IF(C4=1,0,C56*B12+(B64-C64*(1+B56))*INDEX($B11:C11,MAX(1,C4-1)))</f>
        <v>0.614409621400881</v>
      </c>
      <c r="D66" s="1" t="n">
        <f aca="false">D27+IF(D4=1,0,D56*C12+(C64-D64*(1+C56))*INDEX($B11:D11,MAX(1,D4-1)))</f>
        <v>0.14004300367722</v>
      </c>
      <c r="E66" s="1" t="n">
        <f aca="false">E27+IF(E4=1,0,E56*D12+(D64-E64*(1+D56))*INDEX($B11:E11,MAX(1,E4-1)))</f>
        <v>0.145037955188073</v>
      </c>
      <c r="F66" s="1" t="n">
        <f aca="false">F27+IF(F4=1,0,F56*E12+(E64-F64*(1+E56))*INDEX($B11:F11,MAX(1,F4-1)))</f>
        <v>0.153256614625842</v>
      </c>
      <c r="G66" s="1" t="n">
        <f aca="false">G27+IF(G4=1,0,G56*F12+(F64-G64*(1+F56))*INDEX($B11:G11,MAX(1,G4-1)))</f>
        <v>0.161203868773532</v>
      </c>
      <c r="H66" s="1" t="n">
        <f aca="false">H27+IF(H4=1,0,H56*G12+(G64-H64*(1+G56))*INDEX($B11:H11,MAX(1,H4-1)))</f>
        <v>0.181166432480093</v>
      </c>
      <c r="I66" s="1" t="n">
        <f aca="false">I27+IF(I4=1,0,I56*H12+(H64-I64*(1+H56))*INDEX($B11:I11,MAX(1,I4-1)))</f>
        <v>0.174528485821455</v>
      </c>
      <c r="J66" s="1" t="n">
        <f aca="false">J27+IF(J4=1,0,J56*I12+(I64-J64*(1+I56))*INDEX($B11:J11,MAX(1,J4-1)))</f>
        <v>0.17498825525572</v>
      </c>
      <c r="K66" s="1" t="n">
        <f aca="false">K27+IF(K4=1,0,K56*J12+(J64-K64*(1+J56))*INDEX($B11:K11,MAX(1,K4-1)))</f>
        <v>0.187563484543968</v>
      </c>
      <c r="L66" s="1" t="n">
        <f aca="false">L27+IF(L4=1,0,L56*K12+(K64-L64*(1+K56))*INDEX($B11:L11,MAX(1,L4-1)))</f>
        <v>0.200026207019115</v>
      </c>
      <c r="M66" s="1" t="n">
        <f aca="false">M27+IF(M4=1,0,M56*L12+(L64-M64*(1+L56))*INDEX($B11:M11,MAX(1,M4-1)))</f>
        <v>0.203370185812785</v>
      </c>
      <c r="N66" s="1" t="n">
        <f aca="false">N27+IF(N4=1,0,N56*M12+(M64-N64*(1+M56))*INDEX($B11:N11,MAX(1,N4-1)))</f>
        <v>0.242589676741791</v>
      </c>
      <c r="O66" s="1" t="n">
        <f aca="false">O27+IF(O4=1,0,O56*N12+(N64-O64*(1+N56))*INDEX($B11:O11,MAX(1,O4-1)))</f>
        <v>-1.21405144708635</v>
      </c>
      <c r="P66" s="1" t="n">
        <f aca="false">P27+IF(P4=1,0,P56*O12+(O64-P64*(1+O56))*INDEX($B11:P11,MAX(1,P4-1)))</f>
        <v>0.0384612284893338</v>
      </c>
      <c r="Q66" s="1" t="n">
        <f aca="false">Q27+IF(Q4=1,0,Q56*P12+(P64-Q64*(1+P56))*INDEX($B11:Q11,MAX(1,Q4-1)))</f>
        <v>0.0840170359341933</v>
      </c>
      <c r="R66" s="1" t="n">
        <f aca="false">R27+IF(R4=1,0,R56*Q12+(Q64-R64*(1+Q56))*INDEX($B11:R11,MAX(1,R4-1)))</f>
        <v>0.0936485908525466</v>
      </c>
      <c r="S66" s="1" t="n">
        <f aca="false">S27+IF(S4=1,0,S56*R12+(R64-S64*(1+R56))*INDEX($B11:S11,MAX(1,S4-1)))</f>
        <v>0.101448131952983</v>
      </c>
      <c r="T66" s="1" t="n">
        <f aca="false">T27+IF(T4=1,0,T56*S12+(S64-T64*(1+S56))*INDEX($B11:T11,MAX(1,T4-1)))</f>
        <v>0.109088986391354</v>
      </c>
      <c r="U66" s="1" t="n">
        <f aca="false">U27+IF(U4=1,0,U56*T12+(T64-U64*(1+T56))*INDEX($B11:U11,MAX(1,U4-1)))</f>
        <v>0.114443545029394</v>
      </c>
      <c r="V66" s="1" t="n">
        <f aca="false">V27+IF(V4=1,0,V56*U12+(U64-V64*(1+U56))*INDEX($B11:V11,MAX(1,V4-1)))</f>
        <v>0.119224380579689</v>
      </c>
      <c r="W66" s="1" t="n">
        <f aca="false">W27+IF(W4=1,0,W56*V12+(V64-W64*(1+V56))*INDEX($B11:W11,MAX(1,W4-1)))</f>
        <v>0.124186396639446</v>
      </c>
      <c r="X66" s="1" t="n">
        <f aca="false">X27+IF(X4=1,0,X56*W12+(W64-X64*(1+W56))*INDEX($B11:X11,MAX(1,X4-1)))</f>
        <v>0.123851868702367</v>
      </c>
      <c r="Y66" s="1" t="n">
        <f aca="false">Y27+IF(Y4=1,0,Y56*X12+(X64-Y64*(1+X56))*INDEX($B11:Y11,MAX(1,Y4-1)))</f>
        <v>0.127797579779808</v>
      </c>
      <c r="Z66" s="1" t="n">
        <f aca="false">Z27+IF(Z4=1,0,Z56*Y12+(Y64-Z64*(1+Y56))*INDEX($B11:Z11,MAX(1,Z4-1)))</f>
        <v>0.123922204558663</v>
      </c>
      <c r="AA66" s="1" t="n">
        <f aca="false">AA27+IF(AA4=1,0,AA56*Z12+(Z64-AA64*(1+Z56))*INDEX($B11:AA11,MAX(1,AA4-1)))</f>
        <v>0.124960930281282</v>
      </c>
      <c r="AB66" s="1" t="n">
        <f aca="false">AB27+IF(AB4=1,0,AB56*AA12+(AA64-AB64*(1+AA56))*INDEX($B11:AB11,MAX(1,AB4-1)))</f>
        <v>0.114626526557278</v>
      </c>
      <c r="AC66" s="1" t="n">
        <f aca="false">AC27+IF(AC4=1,0,AC56*AB12+(AB64-AC64*(1+AB56))*INDEX($B11:AC11,MAX(1,AC4-1)))</f>
        <v>0.109348505211052</v>
      </c>
      <c r="AD66" s="1" t="n">
        <f aca="false">AD27+IF(AD4=1,0,AD56*AC12+(AC64-AD64*(1+AC56))*INDEX($B11:AD11,MAX(1,AD4-1)))</f>
        <v>0.0979156235176268</v>
      </c>
      <c r="AE66" s="1" t="n">
        <f aca="false">AE27+IF(AE4=1,0,AE56*AD12+(AD64-AE64*(1+AD56))*INDEX($B11:AE11,MAX(1,AE4-1)))</f>
        <v>0.0851185185734869</v>
      </c>
      <c r="AF66" s="1" t="n">
        <f aca="false">AF27+IF(AF4=1,0,AF56*AE12+(AE64-AF64*(1+AE56))*INDEX($B11:AF11,MAX(1,AF4-1)))</f>
        <v>0.0664706728244565</v>
      </c>
    </row>
    <row r="67" customFormat="false" ht="15" hidden="false" customHeight="true" outlineLevel="0" collapsed="false">
      <c r="A67" s="1" t="s">
        <v>736</v>
      </c>
      <c r="C67" s="59" t="n">
        <f aca="false">C15-C56</f>
        <v>0.0456051016422231</v>
      </c>
      <c r="D67" s="59" t="n">
        <f aca="false">D15-D56</f>
        <v>0.0496754977250748</v>
      </c>
      <c r="E67" s="59" t="n">
        <f aca="false">E15-E56</f>
        <v>0.0538338084879622</v>
      </c>
      <c r="F67" s="59" t="n">
        <f aca="false">F15-F56</f>
        <v>0.0549013500738869</v>
      </c>
      <c r="G67" s="59" t="n">
        <f aca="false">G15-G56</f>
        <v>0.0563018877911871</v>
      </c>
      <c r="H67" s="59" t="n">
        <f aca="false">H15-H56</f>
        <v>0.0575028435383853</v>
      </c>
      <c r="I67" s="59" t="n">
        <f aca="false">I15-I56</f>
        <v>0.0585240533788068</v>
      </c>
      <c r="J67" s="59" t="n">
        <f aca="false">J15-J56</f>
        <v>0.058914389468803</v>
      </c>
      <c r="K67" s="59" t="n">
        <f aca="false">K15-K56</f>
        <v>0.0590853557701969</v>
      </c>
      <c r="L67" s="59" t="n">
        <f aca="false">L15-L56</f>
        <v>0.0586589654286235</v>
      </c>
      <c r="M67" s="59" t="n">
        <f aca="false">M15-M56</f>
        <v>0.0579178237459666</v>
      </c>
      <c r="N67" s="59" t="n">
        <f aca="false">N15-N56</f>
        <v>0.0572463827120954</v>
      </c>
      <c r="O67" s="59" t="n">
        <f aca="false">O15-O56</f>
        <v>0.0584699644537782</v>
      </c>
      <c r="P67" s="59" t="n">
        <f aca="false">P15-P56</f>
        <v>0.0578327036650598</v>
      </c>
      <c r="Q67" s="59" t="n">
        <f aca="false">Q15-Q56</f>
        <v>0.0572445766764476</v>
      </c>
      <c r="R67" s="59" t="n">
        <f aca="false">R15-R56</f>
        <v>0.0565541116356525</v>
      </c>
      <c r="S67" s="59" t="n">
        <f aca="false">S15-S56</f>
        <v>0.0562175160419452</v>
      </c>
      <c r="T67" s="59" t="n">
        <f aca="false">T15-T56</f>
        <v>0.0560221570112454</v>
      </c>
      <c r="U67" s="59" t="n">
        <f aca="false">U15-U56</f>
        <v>0.0559885152281599</v>
      </c>
      <c r="V67" s="59" t="n">
        <f aca="false">V15-V56</f>
        <v>0.0561350429907094</v>
      </c>
      <c r="W67" s="59" t="n">
        <f aca="false">W15-W56</f>
        <v>0.0571379762503435</v>
      </c>
      <c r="X67" s="59" t="n">
        <f aca="false">X15-X56</f>
        <v>0.05731139597084</v>
      </c>
      <c r="Y67" s="59" t="n">
        <f aca="false">Y15-Y56</f>
        <v>0.0575222700281758</v>
      </c>
      <c r="Z67" s="59" t="n">
        <f aca="false">Z15-Z56</f>
        <v>0.0577653000590112</v>
      </c>
      <c r="AA67" s="59" t="n">
        <f aca="false">AA15-AA56</f>
        <v>0.0580485545465755</v>
      </c>
      <c r="AB67" s="59" t="n">
        <f aca="false">AB15-AB56</f>
        <v>0.0583811736212015</v>
      </c>
      <c r="AC67" s="59" t="n">
        <f aca="false">AC15-AC56</f>
        <v>0.0587442090766117</v>
      </c>
      <c r="AD67" s="59" t="n">
        <f aca="false">AD15-AD56</f>
        <v>0.059145779500364</v>
      </c>
      <c r="AE67" s="59" t="n">
        <f aca="false">AE15-AE56</f>
        <v>0.059586260317047</v>
      </c>
      <c r="AF67" s="59" t="n">
        <f aca="false">AF15-AF56</f>
        <v>0.0600603230167546</v>
      </c>
    </row>
    <row r="68" customFormat="false" ht="15" hidden="false" customHeight="true" outlineLevel="0" collapsed="false">
      <c r="A68" s="1" t="s">
        <v>737</v>
      </c>
      <c r="C68" s="1" t="n">
        <f aca="false">IF(C4&gt;cfg_N,0,C18+IF(C4=cfg_N,C18/$D$20,D68))</f>
        <v>14.4455090984117</v>
      </c>
      <c r="D68" s="1" t="n">
        <f aca="false">IF(D4&gt;cfg_N,0,D18+IF(D4=cfg_N,D18/$D$20,E68))</f>
        <v>13.5082467251558</v>
      </c>
      <c r="E68" s="1" t="n">
        <f aca="false">IF(E4&gt;cfg_N,0,E18+IF(E4=cfg_N,E18/$D$20,F68))</f>
        <v>12.6339884492375</v>
      </c>
      <c r="F68" s="1" t="n">
        <f aca="false">IF(F4&gt;cfg_N,0,F18+IF(F4=cfg_N,F18/$D$20,G68))</f>
        <v>11.8223282290289</v>
      </c>
      <c r="G68" s="1" t="n">
        <f aca="false">IF(G4&gt;cfg_N,0,G18+IF(G4=cfg_N,G18/$D$20,H68))</f>
        <v>11.0700494400433</v>
      </c>
      <c r="H68" s="1" t="n">
        <f aca="false">IF(H4&gt;cfg_N,0,H18+IF(H4=cfg_N,H18/$D$20,I68))</f>
        <v>10.3740970406595</v>
      </c>
      <c r="I68" s="1" t="n">
        <f aca="false">IF(I4&gt;cfg_N,0,I18+IF(I4=cfg_N,I18/$D$20,J68))</f>
        <v>9.73144135250379</v>
      </c>
      <c r="J68" s="1" t="n">
        <f aca="false">IF(J4&gt;cfg_N,0,J18+IF(J4=cfg_N,J18/$D$20,K68))</f>
        <v>9.13856399934748</v>
      </c>
      <c r="K68" s="1" t="n">
        <f aca="false">IF(K4&gt;cfg_N,0,K18+IF(K4=cfg_N,K18/$D$20,L68))</f>
        <v>8.59158174219934</v>
      </c>
      <c r="L68" s="1" t="n">
        <f aca="false">IF(L4&gt;cfg_N,0,L18+IF(L4=cfg_N,L18/$D$20,M68))</f>
        <v>8.0867920726141</v>
      </c>
      <c r="M68" s="1" t="n">
        <f aca="false">IF(M4&gt;cfg_N,0,M18+IF(M4=cfg_N,M18/$D$20,N68))</f>
        <v>7.62051759227198</v>
      </c>
      <c r="N68" s="1" t="n">
        <f aca="false">IF(N4&gt;cfg_N,0,N18+IF(N4=cfg_N,N18/$D$20,O68))</f>
        <v>7.18918660862357</v>
      </c>
      <c r="O68" s="1" t="n">
        <f aca="false">IF(O4&gt;cfg_N,0,O18+IF(O4=cfg_N,O18/$D$20,P68))</f>
        <v>0</v>
      </c>
      <c r="P68" s="1" t="n">
        <f aca="false">IF(P4&gt;cfg_N,0,P18+IF(P4=cfg_N,P18/$D$20,Q68))</f>
        <v>0</v>
      </c>
      <c r="Q68" s="1" t="n">
        <f aca="false">IF(Q4&gt;cfg_N,0,Q18+IF(Q4=cfg_N,Q18/$D$20,R68))</f>
        <v>0</v>
      </c>
      <c r="R68" s="1" t="n">
        <f aca="false">IF(R4&gt;cfg_N,0,R18+IF(R4=cfg_N,R18/$D$20,S68))</f>
        <v>0</v>
      </c>
      <c r="S68" s="1" t="n">
        <f aca="false">IF(S4&gt;cfg_N,0,S18+IF(S4=cfg_N,S18/$D$20,T68))</f>
        <v>0</v>
      </c>
      <c r="T68" s="1" t="n">
        <f aca="false">IF(T4&gt;cfg_N,0,T18+IF(T4=cfg_N,T18/$D$20,U68))</f>
        <v>0</v>
      </c>
      <c r="U68" s="1" t="n">
        <f aca="false">IF(U4&gt;cfg_N,0,U18+IF(U4=cfg_N,U18/$D$20,V68))</f>
        <v>0</v>
      </c>
      <c r="V68" s="1" t="n">
        <f aca="false">IF(V4&gt;cfg_N,0,V18+IF(V4=cfg_N,V18/$D$20,W68))</f>
        <v>0</v>
      </c>
      <c r="W68" s="1" t="n">
        <f aca="false">IF(W4&gt;cfg_N,0,W18+IF(W4=cfg_N,W18/$D$20,X68))</f>
        <v>0</v>
      </c>
      <c r="X68" s="1" t="n">
        <f aca="false">IF(X4&gt;cfg_N,0,X18+IF(X4=cfg_N,X18/$D$20,Y68))</f>
        <v>0</v>
      </c>
      <c r="Y68" s="1" t="n">
        <f aca="false">IF(Y4&gt;cfg_N,0,Y18+IF(Y4=cfg_N,Y18/$D$20,Z68))</f>
        <v>0</v>
      </c>
      <c r="Z68" s="1" t="n">
        <f aca="false">IF(Z4&gt;cfg_N,0,Z18+IF(Z4=cfg_N,Z18/$D$20,AA68))</f>
        <v>0</v>
      </c>
      <c r="AA68" s="1" t="n">
        <f aca="false">IF(AA4&gt;cfg_N,0,AA18+IF(AA4=cfg_N,AA18/$D$20,AB68))</f>
        <v>0</v>
      </c>
      <c r="AB68" s="1" t="n">
        <f aca="false">IF(AB4&gt;cfg_N,0,AB18+IF(AB4=cfg_N,AB18/$D$20,AC68))</f>
        <v>0</v>
      </c>
      <c r="AC68" s="1" t="n">
        <f aca="false">IF(AC4&gt;cfg_N,0,AC18+IF(AC4=cfg_N,AC18/$D$20,AD68))</f>
        <v>0</v>
      </c>
      <c r="AD68" s="1" t="n">
        <f aca="false">IF(AD4&gt;cfg_N,0,AD18+IF(AD4=cfg_N,AD18/$D$20,AE68))</f>
        <v>0</v>
      </c>
      <c r="AE68" s="1" t="n">
        <f aca="false">IF(AE4&gt;cfg_N,0,AE18+IF(AE4=cfg_N,AE18/$D$20,AF68))</f>
        <v>0</v>
      </c>
      <c r="AF68" s="1" t="n">
        <f aca="false">IF(AF4&gt;cfg_N,0,AF18+IF(AF4=cfg_N,AF18/$D$20,AG68))</f>
        <v>0</v>
      </c>
    </row>
    <row r="69" customFormat="false" ht="15" hidden="false" customHeight="true" outlineLevel="0" collapsed="false">
      <c r="A69" s="1" t="s">
        <v>738</v>
      </c>
      <c r="C69" s="1" t="n">
        <f aca="false">C31+IF(C4=1,0,C56*B13+(B67-C67*(1+B56))*INDEX($B70:C70,MAX(1,C4-1)))</f>
        <v>-4.82167037788885</v>
      </c>
      <c r="D69" s="1" t="n">
        <f aca="false">D31+IF(D4=1,0,D56*C13+(C67-D67*(1+C56))*INDEX($B70:D70,MAX(1,D4-1)))</f>
        <v>1.42710858925054</v>
      </c>
      <c r="E69" s="1" t="n">
        <f aca="false">E31+IF(E4=1,0,E56*D13+(D67-E67*(1+D56))*INDEX($B70:E70,MAX(1,E4-1)))</f>
        <v>1.14343426568035</v>
      </c>
      <c r="F69" s="1" t="n">
        <f aca="false">F31+IF(F4=1,0,F56*E13+(E67-F67*(1+E56))*INDEX($B70:F70,MAX(1,F4-1)))</f>
        <v>1.19959137425494</v>
      </c>
      <c r="G69" s="1" t="n">
        <f aca="false">G31+IF(G4=1,0,G56*F13+(F67-G67*(1+F56))*INDEX($B70:G70,MAX(1,G4-1)))</f>
        <v>1.06663396047226</v>
      </c>
      <c r="H69" s="1" t="n">
        <f aca="false">H31+IF(H4=1,0,H56*G13+(G67-H67*(1+G56))*INDEX($B70:H70,MAX(1,H4-1)))</f>
        <v>0.990032488809294</v>
      </c>
      <c r="I69" s="1" t="n">
        <f aca="false">I31+IF(I4=1,0,I56*H13+(H67-I67*(1+H56))*INDEX($B70:I70,MAX(1,I4-1)))</f>
        <v>0.898485427153732</v>
      </c>
      <c r="J69" s="1" t="n">
        <f aca="false">J31+IF(J4=1,0,J56*I13+(I67-J67*(1+I56))*INDEX($B70:J70,MAX(1,J4-1)))</f>
        <v>0.877493481351028</v>
      </c>
      <c r="K69" s="1" t="n">
        <f aca="false">K31+IF(K4=1,0,K56*J13+(J67-K67*(1+J56))*INDEX($B70:K70,MAX(1,K4-1)))</f>
        <v>0.771542194484364</v>
      </c>
      <c r="L69" s="1" t="n">
        <f aca="false">L31+IF(L4=1,0,L56*K13+(K67-L67*(1+K56))*INDEX($B70:L70,MAX(1,L4-1)))</f>
        <v>0.741569134712263</v>
      </c>
      <c r="M69" s="1" t="n">
        <f aca="false">M31+IF(M4=1,0,M56*L13+(L67-M67*(1+L56))*INDEX($B70:M70,MAX(1,M4-1)))</f>
        <v>0.903253349708418</v>
      </c>
      <c r="N69" s="1" t="n">
        <f aca="false">N31+IF(N4=1,0,N56*M13+(M67-N67*(1+M56))*INDEX($B70:N70,MAX(1,N4-1)))</f>
        <v>0.891514417403695</v>
      </c>
      <c r="O69" s="1" t="n">
        <f aca="false">O31+IF(O4=1,0,O56*N13+(N67-O67*(1+N56))*INDEX($B70:O70,MAX(1,O4-1)))</f>
        <v>-21.7109532067443</v>
      </c>
      <c r="P69" s="1" t="n">
        <f aca="false">P31+IF(P4=1,0,P56*O13+(O67-P67*(1+O56))*INDEX($B70:P70,MAX(1,P4-1)))</f>
        <v>0.131539083426369</v>
      </c>
      <c r="Q69" s="1" t="n">
        <f aca="false">Q31+IF(Q4=1,0,Q56*P13+(P67-Q67*(1+P56))*INDEX($B70:Q70,MAX(1,Q4-1)))</f>
        <v>0.0951216556629956</v>
      </c>
      <c r="R69" s="1" t="n">
        <f aca="false">R31+IF(R4=1,0,R56*Q13+(Q67-R67*(1+Q56))*INDEX($B70:R70,MAX(1,R4-1)))</f>
        <v>0.104396119489178</v>
      </c>
      <c r="S69" s="1" t="n">
        <f aca="false">S31+IF(S4=1,0,S56*R13+(R67-S67*(1+R56))*INDEX($B70:S70,MAX(1,S4-1)))</f>
        <v>0.11234071139963</v>
      </c>
      <c r="T69" s="1" t="n">
        <f aca="false">T31+IF(T4=1,0,T56*S13+(S67-T67*(1+S56))*INDEX($B70:T70,MAX(1,T4-1)))</f>
        <v>0.12044890456161</v>
      </c>
      <c r="U69" s="1" t="n">
        <f aca="false">U31+IF(U4=1,0,U56*T13+(T67-U67*(1+T56))*INDEX($B70:U70,MAX(1,U4-1)))</f>
        <v>0.126615905110464</v>
      </c>
      <c r="V69" s="1" t="n">
        <f aca="false">V31+IF(V4=1,0,V56*U13+(U67-V67*(1+U56))*INDEX($B70:V70,MAX(1,V4-1)))</f>
        <v>0.132577790006227</v>
      </c>
      <c r="W69" s="1" t="n">
        <f aca="false">W31+IF(W4=1,0,W56*V13+(V67-W67*(1+V56))*INDEX($B70:W70,MAX(1,W4-1)))</f>
        <v>0.13994580146312</v>
      </c>
      <c r="X69" s="1" t="n">
        <f aca="false">X31+IF(X4=1,0,X56*W13+(W67-X67*(1+W56))*INDEX($B70:X70,MAX(1,X4-1)))</f>
        <v>0.141297275752573</v>
      </c>
      <c r="Y69" s="1" t="n">
        <f aca="false">Y31+IF(Y4=1,0,Y56*X13+(X67-Y67*(1+X56))*INDEX($B70:Y70,MAX(1,Y4-1)))</f>
        <v>0.14714506522464</v>
      </c>
      <c r="Z69" s="1" t="n">
        <f aca="false">Z31+IF(Z4=1,0,Z56*Y13+(Y67-Z67*(1+Y56))*INDEX($B70:Z70,MAX(1,Z4-1)))</f>
        <v>0.145376477112727</v>
      </c>
      <c r="AA69" s="1" t="n">
        <f aca="false">AA31+IF(AA4=1,0,AA56*Z13+(Z67-AA67*(1+Z56))*INDEX($B70:AA70,MAX(1,AA4-1)))</f>
        <v>0.148705754119866</v>
      </c>
      <c r="AB69" s="1" t="n">
        <f aca="false">AB31+IF(AB4=1,0,AB56*AA13+(AA67-AB67*(1+AA56))*INDEX($B70:AB70,MAX(1,AB4-1)))</f>
        <v>0.140832463658627</v>
      </c>
      <c r="AC69" s="1" t="n">
        <f aca="false">AC31+IF(AC4=1,0,AC56*AB13+(AB67-AC67*(1+AB56))*INDEX($B70:AC70,MAX(1,AC4-1)))</f>
        <v>0.138105494776271</v>
      </c>
      <c r="AD69" s="1" t="n">
        <f aca="false">AD31+IF(AD4=1,0,AD56*AC13+(AC67-AD67*(1+AC56))*INDEX($B70:AD70,MAX(1,AD4-1)))</f>
        <v>0.129272558588985</v>
      </c>
      <c r="AE69" s="1" t="n">
        <f aca="false">AE31+IF(AE4=1,0,AE56*AD13+(AD67-AE67*(1+AD56))*INDEX($B70:AE70,MAX(1,AE4-1)))</f>
        <v>0.119081341954092</v>
      </c>
      <c r="AF69" s="1" t="n">
        <f aca="false">AF31+IF(AF4=1,0,AF56*AE13+(AE67-AF67*(1+AE56))*INDEX($B70:AF70,MAX(1,AF4-1)))</f>
        <v>0.103024107245724</v>
      </c>
    </row>
    <row r="70" customFormat="false" ht="15" hidden="false" customHeight="true" outlineLevel="0" collapsed="false">
      <c r="A70" s="1" t="s">
        <v>739</v>
      </c>
      <c r="B70" s="1" t="n">
        <f aca="false">B10+B11</f>
        <v>43.5107492011075</v>
      </c>
      <c r="C70" s="1" t="n">
        <f aca="false">C10+C11</f>
        <v>53.5182215173622</v>
      </c>
      <c r="D70" s="1" t="n">
        <f aca="false">D10+D11</f>
        <v>63.9210934159071</v>
      </c>
      <c r="E70" s="1" t="n">
        <f aca="false">E10+E11</f>
        <v>74.6611155316478</v>
      </c>
      <c r="F70" s="1" t="n">
        <f aca="false">F10+F11</f>
        <v>85.7497844104081</v>
      </c>
      <c r="G70" s="1" t="n">
        <f aca="false">G10+G11</f>
        <v>97.2471155041556</v>
      </c>
      <c r="H70" s="1" t="n">
        <f aca="false">H10+H11</f>
        <v>109.247409557368</v>
      </c>
      <c r="I70" s="1" t="n">
        <f aca="false">I10+I11</f>
        <v>121.865485361244</v>
      </c>
      <c r="J70" s="1" t="n">
        <f aca="false">J10+J11</f>
        <v>135.228035831105</v>
      </c>
      <c r="K70" s="1" t="n">
        <f aca="false">K10+K11</f>
        <v>149.470252564837</v>
      </c>
      <c r="L70" s="1" t="n">
        <f aca="false">L10+L11</f>
        <v>164.734154756758</v>
      </c>
      <c r="M70" s="1" t="n">
        <f aca="false">M10+M11</f>
        <v>181.166386693745</v>
      </c>
      <c r="N70" s="1" t="n">
        <f aca="false">N10+N11</f>
        <v>198.918880925865</v>
      </c>
      <c r="O70" s="1" t="n">
        <f aca="false">O10+O11</f>
        <v>208.471635807618</v>
      </c>
      <c r="P70" s="1" t="n">
        <f aca="false">P10+P11</f>
        <v>218.468607453768</v>
      </c>
      <c r="Q70" s="1" t="n">
        <f aca="false">Q10+Q11</f>
        <v>228.963289274887</v>
      </c>
      <c r="R70" s="1" t="n">
        <f aca="false">R10+R11</f>
        <v>240.012739924057</v>
      </c>
      <c r="S70" s="1" t="n">
        <f aca="false">S10+S11</f>
        <v>251.665483869171</v>
      </c>
      <c r="T70" s="1" t="n">
        <f aca="false">T10+T11</f>
        <v>263.97061983778</v>
      </c>
      <c r="U70" s="1" t="n">
        <f aca="false">U10+U11</f>
        <v>276.965620804236</v>
      </c>
      <c r="V70" s="1" t="n">
        <f aca="false">V10+V11</f>
        <v>290.685544791982</v>
      </c>
      <c r="W70" s="1" t="n">
        <f aca="false">W10+W11</f>
        <v>305.168278451953</v>
      </c>
      <c r="X70" s="1" t="n">
        <f aca="false">X10+X11</f>
        <v>320.422031524016</v>
      </c>
      <c r="Y70" s="1" t="n">
        <f aca="false">Y10+Y11</f>
        <v>336.478988649951</v>
      </c>
      <c r="Z70" s="1" t="n">
        <f aca="false">Z10+Z11</f>
        <v>353.327461774347</v>
      </c>
      <c r="AA70" s="1" t="n">
        <f aca="false">AA10+AA11</f>
        <v>370.98224667341</v>
      </c>
      <c r="AB70" s="1" t="n">
        <f aca="false">AB10+AB11</f>
        <v>389.392876450331</v>
      </c>
      <c r="AC70" s="1" t="n">
        <f aca="false">AC10+AC11</f>
        <v>408.534342146161</v>
      </c>
      <c r="AD70" s="1" t="n">
        <f aca="false">AD10+AD11</f>
        <v>428.343835705874</v>
      </c>
      <c r="AE70" s="1" t="n">
        <f aca="false">AE10+AE11</f>
        <v>448.746777780606</v>
      </c>
      <c r="AF70" s="1" t="n">
        <f aca="false">AF10+AF11</f>
        <v>469.631225826122</v>
      </c>
    </row>
    <row r="71" customFormat="false" ht="15" hidden="false" customHeight="true" outlineLevel="0" collapsed="false">
      <c r="A71" s="1" t="s">
        <v>740</v>
      </c>
      <c r="B71" s="1" t="n">
        <f aca="false">anchor_real_cse0/anchor_shares0</f>
        <v>36.4553451781192</v>
      </c>
      <c r="C71" s="1" t="n">
        <f aca="false">INDEX(fc_cse,C4)/anchor_shares0</f>
        <v>39.6431270498979</v>
      </c>
      <c r="D71" s="1" t="n">
        <f aca="false">INDEX(fc_cse,D4)/anchor_shares0</f>
        <v>47.3489580858571</v>
      </c>
      <c r="E71" s="1" t="n">
        <f aca="false">INDEX(fc_cse,E4)/anchor_shares0</f>
        <v>55.3045300234428</v>
      </c>
      <c r="F71" s="1" t="n">
        <f aca="false">INDEX(fc_cse,F4)/anchor_shares0</f>
        <v>63.5183588225245</v>
      </c>
      <c r="G71" s="1" t="n">
        <f aca="false">INDEX(fc_cse,G4)/anchor_shares0</f>
        <v>72.0349003734486</v>
      </c>
      <c r="H71" s="1" t="n">
        <f aca="false">INDEX(fc_cse,H4)/anchor_shares0</f>
        <v>80.9240070795322</v>
      </c>
      <c r="I71" s="1" t="n">
        <f aca="false">INDEX(fc_cse,I4)/anchor_shares0</f>
        <v>90.2707298972181</v>
      </c>
      <c r="J71" s="1" t="n">
        <f aca="false">INDEX(fc_cse,J4)/anchor_shares0</f>
        <v>100.168915430448</v>
      </c>
      <c r="K71" s="1" t="n">
        <f aca="false">INDEX(fc_cse,K4)/anchor_shares0</f>
        <v>110.718705603583</v>
      </c>
      <c r="L71" s="1" t="n">
        <f aca="false">INDEX(fc_cse,L4)/anchor_shares0</f>
        <v>122.025299819821</v>
      </c>
      <c r="M71" s="1" t="n">
        <f aca="false">INDEX(fc_cse,M4)/anchor_shares0</f>
        <v>134.197323476848</v>
      </c>
      <c r="N71" s="1" t="n">
        <f aca="false">INDEX(fc_cse,N4)/anchor_shares0</f>
        <v>147.347319204344</v>
      </c>
      <c r="O71" s="1" t="n">
        <f aca="false">INDEX(fc_cse,O4)/anchor_shares0</f>
        <v>174.667308257254</v>
      </c>
      <c r="P71" s="1" t="n">
        <f aca="false">INDEX(fc_cse,P4)/anchor_shares0</f>
        <v>183.043239694605</v>
      </c>
      <c r="Q71" s="1" t="n">
        <f aca="false">INDEX(fc_cse,Q4)/anchor_shares0</f>
        <v>191.836176045921</v>
      </c>
      <c r="R71" s="1" t="n">
        <f aca="false">INDEX(fc_cse,R4)/anchor_shares0</f>
        <v>201.093923725288</v>
      </c>
      <c r="S71" s="1" t="n">
        <f aca="false">INDEX(fc_cse,S4)/anchor_shares0</f>
        <v>210.857138806415</v>
      </c>
      <c r="T71" s="1" t="n">
        <f aca="false">INDEX(fc_cse,T4)/anchor_shares0</f>
        <v>221.166958504668</v>
      </c>
      <c r="U71" s="1" t="n">
        <f aca="false">INDEX(fc_cse,U4)/anchor_shares0</f>
        <v>232.054779434447</v>
      </c>
      <c r="V71" s="1" t="n">
        <f aca="false">INDEX(fc_cse,V4)/anchor_shares0</f>
        <v>243.549974851079</v>
      </c>
      <c r="W71" s="1" t="n">
        <f aca="false">INDEX(fc_cse,W4)/anchor_shares0</f>
        <v>255.684287966597</v>
      </c>
      <c r="X71" s="1" t="n">
        <f aca="false">INDEX(fc_cse,X4)/anchor_shares0</f>
        <v>268.464597285879</v>
      </c>
      <c r="Y71" s="1" t="n">
        <f aca="false">INDEX(fc_cse,Y4)/anchor_shares0</f>
        <v>281.917868610413</v>
      </c>
      <c r="Z71" s="1" t="n">
        <f aca="false">INDEX(fc_cse,Z4)/anchor_shares0</f>
        <v>296.034309139515</v>
      </c>
      <c r="AA71" s="1" t="n">
        <f aca="false">INDEX(fc_cse,AA4)/anchor_shares0</f>
        <v>310.82631546802</v>
      </c>
      <c r="AB71" s="1" t="n">
        <f aca="false">INDEX(fc_cse,AB4)/anchor_shares0</f>
        <v>326.251604064226</v>
      </c>
      <c r="AC71" s="1" t="n">
        <f aca="false">INDEX(fc_cse,AC4)/anchor_shares0</f>
        <v>342.28922125007</v>
      </c>
      <c r="AD71" s="1" t="n">
        <f aca="false">INDEX(fc_cse,AD4)/anchor_shares0</f>
        <v>358.886543493022</v>
      </c>
      <c r="AE71" s="1" t="n">
        <f aca="false">INDEX(fc_cse,AE4)/anchor_shares0</f>
        <v>375.981084718816</v>
      </c>
      <c r="AF71" s="1" t="n">
        <f aca="false">INDEX(fc_cse,AF4)/anchor_shares0</f>
        <v>393.479054216763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</cols>
  <sheetData>
    <row r="1" customFormat="false" ht="15" hidden="false" customHeight="true" outlineLevel="0" collapsed="false">
      <c r="A1" s="2" t="s">
        <v>741</v>
      </c>
    </row>
    <row r="2" customFormat="false" ht="15" hidden="false" customHeight="true" outlineLevel="0" collapsed="false">
      <c r="A2" s="3" t="s">
        <v>742</v>
      </c>
    </row>
    <row r="4" customFormat="false" ht="15" hidden="false" customHeight="true" outlineLevel="0" collapsed="false">
      <c r="A4" s="23" t="s">
        <v>743</v>
      </c>
      <c r="B4" s="38" t="s">
        <v>744</v>
      </c>
      <c r="C4" s="38" t="s">
        <v>100</v>
      </c>
      <c r="D4" s="38" t="s">
        <v>745</v>
      </c>
      <c r="E4" s="38" t="s">
        <v>746</v>
      </c>
    </row>
    <row r="5" customFormat="false" ht="15" hidden="false" customHeight="true" outlineLevel="0" collapsed="false">
      <c r="A5" s="26" t="s">
        <v>747</v>
      </c>
      <c r="B5" s="30" t="n">
        <v>-0.015</v>
      </c>
      <c r="C5" s="30" t="n">
        <v>0.03</v>
      </c>
      <c r="D5" s="30" t="n">
        <v>0.025</v>
      </c>
      <c r="E5" s="30" t="n">
        <v>0</v>
      </c>
    </row>
    <row r="6" customFormat="false" ht="15" hidden="false" customHeight="true" outlineLevel="0" collapsed="false">
      <c r="A6" s="26" t="s">
        <v>748</v>
      </c>
      <c r="B6" s="30" t="n">
        <v>-0.01</v>
      </c>
      <c r="C6" s="30" t="n">
        <v>0.025</v>
      </c>
      <c r="D6" s="30" t="n">
        <v>0.03</v>
      </c>
      <c r="E6" s="30" t="n">
        <v>0</v>
      </c>
    </row>
    <row r="7" customFormat="false" ht="15" hidden="false" customHeight="true" outlineLevel="0" collapsed="false">
      <c r="A7" s="26" t="s">
        <v>749</v>
      </c>
      <c r="B7" s="30" t="n">
        <v>0</v>
      </c>
      <c r="C7" s="30" t="n">
        <v>0.03</v>
      </c>
      <c r="D7" s="30" t="n">
        <v>0.03</v>
      </c>
      <c r="E7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750</v>
      </c>
    </row>
    <row r="2" customFormat="false" ht="15" hidden="false" customHeight="true" outlineLevel="0" collapsed="false">
      <c r="A2" s="3" t="s">
        <v>751</v>
      </c>
    </row>
    <row r="4" customFormat="false" ht="15" hidden="false" customHeight="true" outlineLevel="0" collapsed="false">
      <c r="A4" s="4" t="s">
        <v>752</v>
      </c>
    </row>
    <row r="5" customFormat="false" ht="15" hidden="false" customHeight="true" outlineLevel="0" collapsed="false">
      <c r="A5" s="26" t="s">
        <v>753</v>
      </c>
      <c r="B5" s="47" t="n">
        <f aca="false">val_active*0+val_realprice</f>
        <v>490.075515035427</v>
      </c>
    </row>
    <row r="6" customFormat="false" ht="15" hidden="false" customHeight="true" outlineLevel="0" collapsed="false">
      <c r="A6" s="26" t="s">
        <v>754</v>
      </c>
      <c r="B6" s="47" t="n">
        <f aca="false">val_normalval</f>
        <v>265.503025901693</v>
      </c>
    </row>
    <row r="7" customFormat="false" ht="15" hidden="false" customHeight="true" outlineLevel="0" collapsed="false">
      <c r="A7" s="26" t="s">
        <v>755</v>
      </c>
      <c r="B7" s="47" t="n">
        <f aca="false">val_realprice-val_normalval</f>
        <v>224.572489133734</v>
      </c>
    </row>
    <row r="8" customFormat="false" ht="15" hidden="false" customHeight="true" outlineLevel="0" collapsed="false">
      <c r="A8" s="26" t="s">
        <v>756</v>
      </c>
      <c r="B8" s="46" t="n">
        <f aca="false">val_realprice/val_eps1</f>
        <v>35.3481217782273</v>
      </c>
    </row>
    <row r="9" customFormat="false" ht="15" hidden="false" customHeight="true" outlineLevel="0" collapsed="false">
      <c r="A9" s="26" t="s">
        <v>757</v>
      </c>
      <c r="B9" s="46" t="n">
        <f aca="false">val_normalPE</f>
        <v>15.9417873148443</v>
      </c>
    </row>
    <row r="10" customFormat="false" ht="15" hidden="false" customHeight="true" outlineLevel="0" collapsed="false">
      <c r="A10" s="26" t="s">
        <v>758</v>
      </c>
      <c r="B10" s="46" t="n">
        <f aca="false">val_realprice/val_eps1-val_normalPE</f>
        <v>19.406334463383</v>
      </c>
    </row>
    <row r="12" customFormat="false" ht="15" hidden="false" customHeight="true" outlineLevel="0" collapsed="false">
      <c r="A12" s="4" t="s">
        <v>759</v>
      </c>
    </row>
    <row r="13" customFormat="false" ht="15" hidden="false" customHeight="true" outlineLevel="0" collapsed="false">
      <c r="A13" s="26" t="s">
        <v>760</v>
      </c>
      <c r="B13" s="47" t="n">
        <f aca="false">val_eps1</f>
        <v>13.8642589869454</v>
      </c>
    </row>
    <row r="14" customFormat="false" ht="15" hidden="false" customHeight="true" outlineLevel="0" collapsed="false">
      <c r="A14" s="26" t="s">
        <v>761</v>
      </c>
      <c r="B14" s="54" t="n">
        <f aca="false">val_rhoe_lr</f>
        <v>0.0627282236458418</v>
      </c>
    </row>
    <row r="15" customFormat="false" ht="15" hidden="false" customHeight="true" outlineLevel="0" collapsed="false">
      <c r="A15" s="23" t="s">
        <v>762</v>
      </c>
      <c r="B15" s="60" t="n">
        <f aca="false">B14-B13/val_realprice</f>
        <v>0.0344381773946164</v>
      </c>
      <c r="D15" s="7" t="str">
        <f aca="false">IF(B15&lt;0,"market implies real EPS DECLINE","market implies real EPS growth")</f>
        <v>market implies real EPS growth</v>
      </c>
    </row>
    <row r="17" customFormat="false" ht="15" hidden="false" customHeight="true" outlineLevel="0" collapsed="false">
      <c r="A17" s="4" t="s">
        <v>763</v>
      </c>
    </row>
    <row r="18" customFormat="false" ht="15" hidden="false" customHeight="true" outlineLevel="0" collapsed="false">
      <c r="A18" s="23" t="s">
        <v>764</v>
      </c>
      <c r="B18" s="61" t="n">
        <f aca="false">in_implied_g_start</f>
        <v>-0.08</v>
      </c>
      <c r="C18" s="61" t="n">
        <f aca="false">B18+in_implied_g_step</f>
        <v>-0.07</v>
      </c>
      <c r="D18" s="61" t="n">
        <f aca="false">C18+in_implied_g_step</f>
        <v>-0.06</v>
      </c>
      <c r="E18" s="61" t="n">
        <f aca="false">D18+in_implied_g_step</f>
        <v>-0.05</v>
      </c>
      <c r="F18" s="61" t="n">
        <f aca="false">E18+in_implied_g_step</f>
        <v>-0.04</v>
      </c>
      <c r="G18" s="61" t="n">
        <f aca="false">F18+in_implied_g_step</f>
        <v>-0.03</v>
      </c>
      <c r="H18" s="61" t="n">
        <f aca="false">G18+in_implied_g_step</f>
        <v>-0.02</v>
      </c>
      <c r="I18" s="61" t="n">
        <f aca="false">H18+in_implied_g_step</f>
        <v>-0.01</v>
      </c>
      <c r="J18" s="61" t="n">
        <f aca="false">I18+in_implied_g_step</f>
        <v>0</v>
      </c>
      <c r="K18" s="61" t="n">
        <f aca="false">J18+in_implied_g_step</f>
        <v>0.01</v>
      </c>
      <c r="L18" s="61" t="n">
        <f aca="false">K18+in_implied_g_step</f>
        <v>0.02</v>
      </c>
      <c r="M18" s="61" t="n">
        <f aca="false">L18+in_implied_g_step</f>
        <v>0.03</v>
      </c>
      <c r="N18" s="61" t="n">
        <f aca="false">M18+in_implied_g_step</f>
        <v>0.04</v>
      </c>
      <c r="O18" s="61" t="n">
        <f aca="false">N18+in_implied_g_step</f>
        <v>0.05</v>
      </c>
    </row>
    <row r="19" customFormat="false" ht="15" hidden="false" customHeight="true" outlineLevel="0" collapsed="false">
      <c r="A19" s="26" t="s">
        <v>765</v>
      </c>
      <c r="B19" s="47" t="n">
        <f aca="false">IF($B$14-B18&gt;in_tie_tol,$B$13/($B$14-B18),"n/m")</f>
        <v>97.1374731135686</v>
      </c>
      <c r="C19" s="47" t="n">
        <f aca="false">IF($B$14-C18&gt;in_tie_tol,$B$13/($B$14-C18),"n/m")</f>
        <v>104.455997421764</v>
      </c>
      <c r="D19" s="47" t="n">
        <f aca="false">IF($B$14-D18&gt;in_tie_tol,$B$13/($B$14-D18),"n/m")</f>
        <v>112.967160894902</v>
      </c>
      <c r="E19" s="47" t="n">
        <f aca="false">IF($B$14-E18&gt;in_tie_tol,$B$13/($B$14-E18),"n/m")</f>
        <v>122.988356762391</v>
      </c>
      <c r="F19" s="47" t="n">
        <f aca="false">IF($B$14-F18&gt;in_tie_tol,$B$13/($B$14-F18),"n/m")</f>
        <v>134.960563853832</v>
      </c>
      <c r="G19" s="47" t="n">
        <f aca="false">IF($B$14-G18&gt;in_tie_tol,$B$13/($B$14-G18),"n/m")</f>
        <v>149.514985209868</v>
      </c>
      <c r="H19" s="47" t="n">
        <f aca="false">IF($B$14-H18&gt;in_tie_tol,$B$13/($B$14-H18),"n/m")</f>
        <v>167.588017437653</v>
      </c>
      <c r="I19" s="47" t="n">
        <f aca="false">IF($B$14-I18&gt;in_tie_tol,$B$13/($B$14-I18),"n/m")</f>
        <v>190.631068544434</v>
      </c>
      <c r="J19" s="47" t="n">
        <f aca="false">IF($B$14-J18&gt;in_tie_tol,$B$13/($B$14-J18),"n/m")</f>
        <v>221.021068047802</v>
      </c>
      <c r="K19" s="47" t="n">
        <f aca="false">IF($B$14-K18&gt;in_tie_tol,$B$13/($B$14-K18),"n/m")</f>
        <v>262.938100855949</v>
      </c>
      <c r="L19" s="47" t="n">
        <f aca="false">IF($B$14-L18&gt;in_tie_tol,$B$13/($B$14-L18),"n/m")</f>
        <v>324.475435764917</v>
      </c>
      <c r="M19" s="47" t="n">
        <f aca="false">IF($B$14-M18&gt;in_tie_tol,$B$13/($B$14-M18),"n/m")</f>
        <v>423.617827138224</v>
      </c>
      <c r="N19" s="47" t="n">
        <f aca="false">IF($B$14-N18&gt;in_tie_tol,$B$13/($B$14-N18),"n/m")</f>
        <v>610.001872692848</v>
      </c>
      <c r="O19" s="47" t="n">
        <f aca="false">IF($B$14-O18&gt;in_tie_tol,$B$13/($B$14-O18),"n/m")</f>
        <v>1089.25325109877</v>
      </c>
    </row>
    <row r="20" customFormat="false" ht="15" hidden="false" customHeight="true" outlineLevel="0" collapsed="false">
      <c r="A20" s="7" t="s">
        <v>766</v>
      </c>
      <c r="B20" s="7" t="str">
        <f aca="false">IF(ISNUMBER(B19),IF(B19&gt;=val_realprice,"≥price","&lt;price"),"")</f>
        <v>&lt;price</v>
      </c>
      <c r="C20" s="7" t="str">
        <f aca="false">IF(ISNUMBER(C19),IF(C19&gt;=val_realprice,"≥price","&lt;price"),"")</f>
        <v>&lt;price</v>
      </c>
      <c r="D20" s="7" t="str">
        <f aca="false">IF(ISNUMBER(D19),IF(D19&gt;=val_realprice,"≥price","&lt;price"),"")</f>
        <v>&lt;price</v>
      </c>
      <c r="E20" s="7" t="str">
        <f aca="false">IF(ISNUMBER(E19),IF(E19&gt;=val_realprice,"≥price","&lt;price"),"")</f>
        <v>&lt;price</v>
      </c>
      <c r="F20" s="7" t="str">
        <f aca="false">IF(ISNUMBER(F19),IF(F19&gt;=val_realprice,"≥price","&lt;price"),"")</f>
        <v>&lt;price</v>
      </c>
      <c r="G20" s="7" t="str">
        <f aca="false">IF(ISNUMBER(G19),IF(G19&gt;=val_realprice,"≥price","&lt;price"),"")</f>
        <v>&lt;price</v>
      </c>
      <c r="H20" s="7" t="str">
        <f aca="false">IF(ISNUMBER(H19),IF(H19&gt;=val_realprice,"≥price","&lt;price"),"")</f>
        <v>&lt;price</v>
      </c>
      <c r="I20" s="7" t="str">
        <f aca="false">IF(ISNUMBER(I19),IF(I19&gt;=val_realprice,"≥price","&lt;price"),"")</f>
        <v>&lt;price</v>
      </c>
      <c r="J20" s="7" t="str">
        <f aca="false">IF(ISNUMBER(J19),IF(J19&gt;=val_realprice,"≥price","&lt;price"),"")</f>
        <v>&lt;price</v>
      </c>
      <c r="K20" s="7" t="str">
        <f aca="false">IF(ISNUMBER(K19),IF(K19&gt;=val_realprice,"≥price","&lt;price"),"")</f>
        <v>&lt;price</v>
      </c>
      <c r="L20" s="7" t="str">
        <f aca="false">IF(ISNUMBER(L19),IF(L19&gt;=val_realprice,"≥price","&lt;price"),"")</f>
        <v>&lt;price</v>
      </c>
      <c r="M20" s="7" t="str">
        <f aca="false">IF(ISNUMBER(M19),IF(M19&gt;=val_realprice,"≥price","&lt;price"),"")</f>
        <v>&lt;price</v>
      </c>
      <c r="N20" s="7" t="str">
        <f aca="false">IF(ISNUMBER(N19),IF(N19&gt;=val_realprice,"≥price","&lt;price"),"")</f>
        <v>≥price</v>
      </c>
      <c r="O20" s="7" t="str">
        <f aca="false">IF(ISNUMBER(O19),IF(O19&gt;=val_realprice,"≥price","&lt;price"),"")</f>
        <v>≥price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767</v>
      </c>
    </row>
    <row r="2" customFormat="false" ht="15" hidden="false" customHeight="true" outlineLevel="0" collapsed="false">
      <c r="A2" s="3" t="s">
        <v>768</v>
      </c>
    </row>
    <row r="4" customFormat="false" ht="15" hidden="false" customHeight="true" outlineLevel="0" collapsed="false">
      <c r="A4" s="23" t="s">
        <v>769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770</v>
      </c>
      <c r="C5" s="54" t="n">
        <f aca="false">(1+INDEX(finrate_coe,C4))*(1+INDEX(finrate_infl,C4))-1</f>
        <v>0.0748665716577333</v>
      </c>
      <c r="D5" s="54" t="n">
        <f aca="false">(1+INDEX(finrate_coe,D4))*(1+INDEX(finrate_infl,D4))-1</f>
        <v>0.0811758566355036</v>
      </c>
      <c r="E5" s="54" t="n">
        <f aca="false">(1+INDEX(finrate_coe,E4))*(1+INDEX(finrate_infl,E4))-1</f>
        <v>0.0872295425336049</v>
      </c>
      <c r="F5" s="54" t="n">
        <f aca="false">(1+INDEX(finrate_coe,F4))*(1+INDEX(finrate_infl,F4))-1</f>
        <v>0.0889085040802657</v>
      </c>
      <c r="G5" s="54" t="n">
        <f aca="false">(1+INDEX(finrate_coe,G4))*(1+INDEX(finrate_infl,G4))-1</f>
        <v>0.0908748264171944</v>
      </c>
      <c r="H5" s="54" t="n">
        <f aca="false">(1+INDEX(finrate_coe,H4))*(1+INDEX(finrate_infl,H4))-1</f>
        <v>0.0926339156529727</v>
      </c>
      <c r="I5" s="54" t="n">
        <f aca="false">(1+INDEX(finrate_coe,I4))*(1+INDEX(finrate_infl,I4))-1</f>
        <v>0.0932414349996882</v>
      </c>
      <c r="J5" s="54" t="n">
        <f aca="false">(1+INDEX(finrate_coe,J4))*(1+INDEX(finrate_infl,J4))-1</f>
        <v>0.0924716319386079</v>
      </c>
      <c r="K5" s="54" t="n">
        <f aca="false">(1+INDEX(finrate_coe,K4))*(1+INDEX(finrate_infl,K4))-1</f>
        <v>0.0914188622358749</v>
      </c>
      <c r="L5" s="54" t="n">
        <f aca="false">(1+INDEX(finrate_coe,L4))*(1+INDEX(finrate_infl,L4))-1</f>
        <v>0.0896113040525863</v>
      </c>
      <c r="M5" s="54" t="n">
        <f aca="false">(1+INDEX(finrate_coe,M4))*(1+INDEX(finrate_infl,M4))-1</f>
        <v>0.0871656754250314</v>
      </c>
      <c r="N5" s="54" t="n">
        <f aca="false">(1+INDEX(finrate_coe,N4))*(1+INDEX(finrate_infl,N4))-1</f>
        <v>0.0853560454376265</v>
      </c>
      <c r="O5" s="54" t="n">
        <f aca="false">(1+INDEX(finrate_coe,O4))*(1+INDEX(finrate_infl,O4))-1</f>
        <v>0.0839397798592372</v>
      </c>
      <c r="P5" s="36" t="n">
        <f aca="false">(1+INDEX(finrate_coe,P4))*(1+INDEX(finrate_infl,P4))-1</f>
        <v>0.0829389086493455</v>
      </c>
      <c r="Q5" s="36" t="n">
        <f aca="false">(1+INDEX(finrate_coe,Q4))*(1+INDEX(finrate_infl,Q4))-1</f>
        <v>0.0822075015282449</v>
      </c>
      <c r="R5" s="36" t="n">
        <f aca="false">(1+INDEX(finrate_coe,R4))*(1+INDEX(finrate_infl,R4))-1</f>
        <v>0.0815424459806935</v>
      </c>
      <c r="S5" s="36" t="n">
        <f aca="false">(1+INDEX(finrate_coe,S4))*(1+INDEX(finrate_infl,S4))-1</f>
        <v>0.0814144672999213</v>
      </c>
      <c r="T5" s="36" t="n">
        <f aca="false">(1+INDEX(finrate_coe,T4))*(1+INDEX(finrate_infl,T4))-1</f>
        <v>0.0815430395984151</v>
      </c>
      <c r="U5" s="36" t="n">
        <f aca="false">(1+INDEX(finrate_coe,U4))*(1+INDEX(finrate_infl,U4))-1</f>
        <v>0.081883047859483</v>
      </c>
      <c r="V5" s="36" t="n">
        <f aca="false">(1+INDEX(finrate_coe,V4))*(1+INDEX(finrate_infl,V4))-1</f>
        <v>0.0824324626299091</v>
      </c>
      <c r="W5" s="36" t="n">
        <f aca="false">(1+INDEX(finrate_coe,W4))*(1+INDEX(finrate_infl,W4))-1</f>
        <v>0.0840082174473058</v>
      </c>
      <c r="X5" s="36" t="n">
        <f aca="false">(1+INDEX(finrate_coe,X4))*(1+INDEX(finrate_infl,X4))-1</f>
        <v>0.0844841802534386</v>
      </c>
      <c r="Y5" s="36" t="n">
        <f aca="false">(1+INDEX(finrate_coe,Y4))*(1+INDEX(finrate_infl,Y4))-1</f>
        <v>0.0849764398756003</v>
      </c>
      <c r="Z5" s="36" t="n">
        <f aca="false">(1+INDEX(finrate_coe,Z4))*(1+INDEX(finrate_infl,Z4))-1</f>
        <v>0.0853467965379036</v>
      </c>
      <c r="AA5" s="36" t="n">
        <f aca="false">(1+INDEX(finrate_coe,AA4))*(1+INDEX(finrate_infl,AA4))-1</f>
        <v>0.0856953988739095</v>
      </c>
      <c r="AB5" s="36" t="n">
        <f aca="false">(1+INDEX(finrate_coe,AB4))*(1+INDEX(finrate_infl,AB4))-1</f>
        <v>0.0858639683382756</v>
      </c>
      <c r="AC5" s="36" t="n">
        <f aca="false">(1+INDEX(finrate_coe,AC4))*(1+INDEX(finrate_infl,AC4))-1</f>
        <v>0.0859261019962971</v>
      </c>
      <c r="AD5" s="36" t="n">
        <f aca="false">(1+INDEX(finrate_coe,AD4))*(1+INDEX(finrate_infl,AD4))-1</f>
        <v>0.085818037009495</v>
      </c>
      <c r="AE5" s="36" t="n">
        <f aca="false">(1+INDEX(finrate_coe,AE4))*(1+INDEX(finrate_infl,AE4))-1</f>
        <v>0.0855464050879446</v>
      </c>
      <c r="AF5" s="36" t="n">
        <f aca="false">(1+INDEX(finrate_coe,AF4))*(1+INDEX(finrate_infl,AF4))-1</f>
        <v>0.0850605440076557</v>
      </c>
    </row>
    <row r="6" customFormat="false" ht="15" hidden="false" customHeight="true" outlineLevel="0" collapsed="false">
      <c r="A6" s="26" t="s">
        <v>771</v>
      </c>
      <c r="C6" s="54" t="n">
        <f aca="false">(1+INDEX(finrate_cod,C4))*(1+INDEX(finrate_infl,C4))-1</f>
        <v>0.04428147302648</v>
      </c>
      <c r="D6" s="54" t="n">
        <f aca="false">(1+INDEX(finrate_cod,D4))*(1+INDEX(finrate_infl,D4))-1</f>
        <v>0.0460369576802924</v>
      </c>
      <c r="E6" s="54" t="n">
        <f aca="false">(1+INDEX(finrate_cod,E4))*(1+INDEX(finrate_infl,E4))-1</f>
        <v>0.0482489916176181</v>
      </c>
      <c r="F6" s="54" t="n">
        <f aca="false">(1+INDEX(finrate_cod,F4))*(1+INDEX(finrate_infl,F4))-1</f>
        <v>0.0504408379508758</v>
      </c>
      <c r="G6" s="54" t="n">
        <f aca="false">(1+INDEX(finrate_cod,G4))*(1+INDEX(finrate_infl,G4))-1</f>
        <v>0.0525326259385541</v>
      </c>
      <c r="H6" s="54" t="n">
        <f aca="false">(1+INDEX(finrate_cod,H4))*(1+INDEX(finrate_infl,H4))-1</f>
        <v>0.0552121791594553</v>
      </c>
      <c r="I6" s="54" t="n">
        <f aca="false">(1+INDEX(finrate_cod,I4))*(1+INDEX(finrate_infl,I4))-1</f>
        <v>0.0574439071164092</v>
      </c>
      <c r="J6" s="54" t="n">
        <f aca="false">(1+INDEX(finrate_cod,J4))*(1+INDEX(finrate_infl,J4))-1</f>
        <v>0.0594327852106051</v>
      </c>
      <c r="K6" s="54" t="n">
        <f aca="false">(1+INDEX(finrate_cod,K4))*(1+INDEX(finrate_infl,K4))-1</f>
        <v>0.0612005729429339</v>
      </c>
      <c r="L6" s="54" t="n">
        <f aca="false">(1+INDEX(finrate_cod,L4))*(1+INDEX(finrate_infl,L4))-1</f>
        <v>0.0625752897478815</v>
      </c>
      <c r="M6" s="54" t="n">
        <f aca="false">(1+INDEX(finrate_cod,M4))*(1+INDEX(finrate_infl,M4))-1</f>
        <v>0.0634346402057266</v>
      </c>
      <c r="N6" s="54" t="n">
        <f aca="false">(1+INDEX(finrate_cod,N4))*(1+INDEX(finrate_infl,N4))-1</f>
        <v>0.0644580750520492</v>
      </c>
      <c r="O6" s="54" t="n">
        <f aca="false">(1+INDEX(finrate_cod,O4))*(1+INDEX(finrate_infl,O4))-1</f>
        <v>0.0653894641781176</v>
      </c>
      <c r="P6" s="36" t="n">
        <f aca="false">(1+INDEX(finrate_cod,P4))*(1+INDEX(finrate_infl,P4))-1</f>
        <v>0.0662113877179866</v>
      </c>
      <c r="Q6" s="36" t="n">
        <f aca="false">(1+INDEX(finrate_cod,Q4))*(1+INDEX(finrate_infl,Q4))-1</f>
        <v>0.066868096076214</v>
      </c>
      <c r="R6" s="36" t="n">
        <f aca="false">(1+INDEX(finrate_cod,R4))*(1+INDEX(finrate_infl,R4))-1</f>
        <v>0.0673767919162638</v>
      </c>
      <c r="S6" s="36" t="n">
        <f aca="false">(1+INDEX(finrate_cod,S4))*(1+INDEX(finrate_infl,S4))-1</f>
        <v>0.0677185754537277</v>
      </c>
      <c r="T6" s="36" t="n">
        <f aca="false">(1+INDEX(finrate_cod,T4))*(1+INDEX(finrate_infl,T4))-1</f>
        <v>0.0679208969576028</v>
      </c>
      <c r="U6" s="36" t="n">
        <f aca="false">(1+INDEX(finrate_cod,U4))*(1+INDEX(finrate_infl,U4))-1</f>
        <v>0.0679670909507089</v>
      </c>
      <c r="V6" s="36" t="n">
        <f aca="false">(1+INDEX(finrate_cod,V4))*(1+INDEX(finrate_infl,V4))-1</f>
        <v>0.0678825569805333</v>
      </c>
      <c r="W6" s="36" t="n">
        <f aca="false">(1+INDEX(finrate_cod,W4))*(1+INDEX(finrate_infl,W4))-1</f>
        <v>0.0676472020876284</v>
      </c>
      <c r="X6" s="36" t="n">
        <f aca="false">(1+INDEX(finrate_cod,X4))*(1+INDEX(finrate_infl,X4))-1</f>
        <v>0.0672323333345359</v>
      </c>
      <c r="Y6" s="36" t="n">
        <f aca="false">(1+INDEX(finrate_cod,Y4))*(1+INDEX(finrate_infl,Y4))-1</f>
        <v>0.0667544401659723</v>
      </c>
      <c r="Z6" s="36" t="n">
        <f aca="false">(1+INDEX(finrate_cod,Z4))*(1+INDEX(finrate_infl,Z4))-1</f>
        <v>0.0661048182643726</v>
      </c>
      <c r="AA6" s="36" t="n">
        <f aca="false">(1+INDEX(finrate_cod,AA4))*(1+INDEX(finrate_infl,AA4))-1</f>
        <v>0.0654145824135273</v>
      </c>
      <c r="AB6" s="36" t="n">
        <f aca="false">(1+INDEX(finrate_cod,AB4))*(1+INDEX(finrate_infl,AB4))-1</f>
        <v>0.0645462635520144</v>
      </c>
      <c r="AC6" s="36" t="n">
        <f aca="false">(1+INDEX(finrate_cod,AC4))*(1+INDEX(finrate_infl,AC4))-1</f>
        <v>0.0636392210099113</v>
      </c>
      <c r="AD6" s="36" t="n">
        <f aca="false">(1+INDEX(finrate_cod,AD4))*(1+INDEX(finrate_infl,AD4))-1</f>
        <v>0.0626548180199442</v>
      </c>
      <c r="AE6" s="36" t="n">
        <f aca="false">(1+INDEX(finrate_cod,AE4))*(1+INDEX(finrate_infl,AE4))-1</f>
        <v>0.0616184744205068</v>
      </c>
      <c r="AF6" s="36" t="n">
        <f aca="false">(1+INDEX(finrate_cod,AF4))*(1+INDEX(finrate_infl,AF4))-1</f>
        <v>0.0604783455183917</v>
      </c>
    </row>
    <row r="7" customFormat="false" ht="15" hidden="false" customHeight="true" outlineLevel="0" collapsed="false">
      <c r="A7" s="26" t="s">
        <v>772</v>
      </c>
      <c r="B7" s="42" t="n">
        <f aca="false">anchor_ni0</f>
        <v>135700.957010393</v>
      </c>
      <c r="C7" s="42" t="n">
        <f aca="false">INDEX(fc_ni,C4)</f>
        <v>103330.322229704</v>
      </c>
      <c r="D7" s="42" t="n">
        <f aca="false">INDEX(fc_ni,D4)</f>
        <v>115415.545121579</v>
      </c>
      <c r="E7" s="42" t="n">
        <f aca="false">INDEX(fc_ni,E4)</f>
        <v>127538.097449861</v>
      </c>
      <c r="F7" s="42" t="n">
        <f aca="false">INDEX(fc_ni,F4)</f>
        <v>139003.458255455</v>
      </c>
      <c r="G7" s="42" t="n">
        <f aca="false">INDEX(fc_ni,G4)</f>
        <v>149860.647415552</v>
      </c>
      <c r="H7" s="42" t="n">
        <f aca="false">INDEX(fc_ni,H4)</f>
        <v>160107.746715517</v>
      </c>
      <c r="I7" s="42" t="n">
        <f aca="false">INDEX(fc_ni,I4)</f>
        <v>169829.540522949</v>
      </c>
      <c r="J7" s="42" t="n">
        <f aca="false">INDEX(fc_ni,J4)</f>
        <v>179104.821517085</v>
      </c>
      <c r="K7" s="42" t="n">
        <f aca="false">INDEX(fc_ni,K4)</f>
        <v>187570.782802827</v>
      </c>
      <c r="L7" s="42" t="n">
        <f aca="false">INDEX(fc_ni,L4)</f>
        <v>195413.054008008</v>
      </c>
      <c r="M7" s="42" t="n">
        <f aca="false">INDEX(fc_ni,M4)</f>
        <v>204312.824342757</v>
      </c>
      <c r="N7" s="42" t="n">
        <f aca="false">INDEX(fc_ni,N4)</f>
        <v>213177.705631476</v>
      </c>
      <c r="O7" s="42" t="n">
        <f aca="false">INDEX(fc_ni,O4)</f>
        <v>67513.8354408048</v>
      </c>
      <c r="P7" s="26" t="n">
        <f aca="false">INDEX(fc_ni,P4)</f>
        <v>78817.3661768991</v>
      </c>
      <c r="Q7" s="26" t="n">
        <f aca="false">INDEX(fc_ni,Q4)</f>
        <v>81487.54079773</v>
      </c>
      <c r="R7" s="26" t="n">
        <f aca="false">INDEX(fc_ni,R4)</f>
        <v>84142.6795847642</v>
      </c>
      <c r="S7" s="26" t="n">
        <f aca="false">INDEX(fc_ni,S4)</f>
        <v>87584.6497599893</v>
      </c>
      <c r="T7" s="26" t="n">
        <f aca="false">INDEX(fc_ni,T4)</f>
        <v>91511.1267320583</v>
      </c>
      <c r="U7" s="26" t="n">
        <f aca="false">INDEX(fc_ni,U4)</f>
        <v>96008.6247162487</v>
      </c>
      <c r="V7" s="26" t="n">
        <f aca="false">INDEX(fc_ni,V4)</f>
        <v>101166.237990905</v>
      </c>
      <c r="W7" s="26" t="n">
        <f aca="false">INDEX(fc_ni,W4)</f>
        <v>108531.24392538</v>
      </c>
      <c r="X7" s="26" t="n">
        <f aca="false">INDEX(fc_ni,X4)</f>
        <v>114544.301099216</v>
      </c>
      <c r="Y7" s="26" t="n">
        <f aca="false">INDEX(fc_ni,Y4)</f>
        <v>121006.460531726</v>
      </c>
      <c r="Z7" s="26" t="n">
        <f aca="false">INDEX(fc_ni,Z4)</f>
        <v>127928.47516644</v>
      </c>
      <c r="AA7" s="26" t="n">
        <f aca="false">INDEX(fc_ni,AA4)</f>
        <v>135330.840022069</v>
      </c>
      <c r="AB7" s="26" t="n">
        <f aca="false">INDEX(fc_ni,AB4)</f>
        <v>143252.983948991</v>
      </c>
      <c r="AC7" s="26" t="n">
        <f aca="false">INDEX(fc_ni,AC4)</f>
        <v>151627.029433139</v>
      </c>
      <c r="AD7" s="26" t="n">
        <f aca="false">INDEX(fc_ni,AD4)</f>
        <v>160467.540509279</v>
      </c>
      <c r="AE7" s="26" t="n">
        <f aca="false">INDEX(fc_ni,AE4)</f>
        <v>169758.343136126</v>
      </c>
      <c r="AF7" s="26" t="n">
        <f aca="false">INDEX(fc_ni,AF4)</f>
        <v>179470.000455777</v>
      </c>
    </row>
    <row r="8" customFormat="false" ht="15" hidden="false" customHeight="true" outlineLevel="0" collapsed="false">
      <c r="A8" s="26" t="s">
        <v>773</v>
      </c>
      <c r="B8" s="42" t="n">
        <f aca="false">anchor_oi_at0</f>
        <v>138189.451918008</v>
      </c>
      <c r="C8" s="42" t="n">
        <f aca="false">INDEX(fc_oiat,C4)</f>
        <v>104537.095625275</v>
      </c>
      <c r="D8" s="42" t="n">
        <f aca="false">INDEX(fc_oiat,D4)</f>
        <v>117860.874197692</v>
      </c>
      <c r="E8" s="42" t="n">
        <f aca="false">INDEX(fc_oiat,E4)</f>
        <v>130620.876873585</v>
      </c>
      <c r="F8" s="42" t="n">
        <f aca="false">INDEX(fc_oiat,F4)</f>
        <v>142813.023019836</v>
      </c>
      <c r="G8" s="42" t="n">
        <f aca="false">INDEX(fc_oiat,G4)</f>
        <v>154483.463867696</v>
      </c>
      <c r="H8" s="42" t="n">
        <f aca="false">INDEX(fc_oiat,H4)</f>
        <v>165704.177433167</v>
      </c>
      <c r="I8" s="42" t="n">
        <f aca="false">INDEX(fc_oiat,I4)</f>
        <v>176586.113653268</v>
      </c>
      <c r="J8" s="42" t="n">
        <f aca="false">INDEX(fc_oiat,J4)</f>
        <v>187214.880483612</v>
      </c>
      <c r="K8" s="42" t="n">
        <f aca="false">INDEX(fc_oiat,K4)</f>
        <v>197160.707900756</v>
      </c>
      <c r="L8" s="42" t="n">
        <f aca="false">INDEX(fc_oiat,L4)</f>
        <v>206570.649112447</v>
      </c>
      <c r="M8" s="42" t="n">
        <f aca="false">INDEX(fc_oiat,M4)</f>
        <v>217153.183812555</v>
      </c>
      <c r="N8" s="42" t="n">
        <f aca="false">INDEX(fc_oiat,N4)</f>
        <v>227798.471125319</v>
      </c>
      <c r="O8" s="42" t="n">
        <f aca="false">INDEX(fc_oiat,O4)</f>
        <v>84013.6256505721</v>
      </c>
      <c r="P8" s="26" t="n">
        <f aca="false">INDEX(fc_oiat,P4)</f>
        <v>89856.9330399389</v>
      </c>
      <c r="Q8" s="26" t="n">
        <f aca="false">INDEX(fc_oiat,Q4)</f>
        <v>93208.2834121927</v>
      </c>
      <c r="R8" s="26" t="n">
        <f aca="false">INDEX(fc_oiat,R4)</f>
        <v>96507.5213410468</v>
      </c>
      <c r="S8" s="26" t="n">
        <f aca="false">INDEX(fc_oiat,S4)</f>
        <v>100562.733184462</v>
      </c>
      <c r="T8" s="26" t="n">
        <f aca="false">INDEX(fc_oiat,T4)</f>
        <v>105078.678754396</v>
      </c>
      <c r="U8" s="26" t="n">
        <f aca="false">INDEX(fc_oiat,U4)</f>
        <v>110150.294830084</v>
      </c>
      <c r="V8" s="26" t="n">
        <f aca="false">INDEX(fc_oiat,V4)</f>
        <v>115875.34631051</v>
      </c>
      <c r="W8" s="26" t="n">
        <f aca="false">INDEX(fc_oiat,W4)</f>
        <v>123788.24652335</v>
      </c>
      <c r="X8" s="26" t="n">
        <f aca="false">INDEX(fc_oiat,X4)</f>
        <v>130350.138188673</v>
      </c>
      <c r="Y8" s="26" t="n">
        <f aca="false">INDEX(fc_oiat,Y4)</f>
        <v>137369.243729104</v>
      </c>
      <c r="Z8" s="26" t="n">
        <f aca="false">INDEX(fc_oiat,Z4)</f>
        <v>144862.543013961</v>
      </c>
      <c r="AA8" s="26" t="n">
        <f aca="false">INDEX(fc_oiat,AA4)</f>
        <v>152862.136305516</v>
      </c>
      <c r="AB8" s="26" t="n">
        <f aca="false">INDEX(fc_oiat,AB4)</f>
        <v>161419.898339867</v>
      </c>
      <c r="AC8" s="26" t="n">
        <f aca="false">INDEX(fc_oiat,AC4)</f>
        <v>170484.219005846</v>
      </c>
      <c r="AD8" s="26" t="n">
        <f aca="false">INDEX(fc_oiat,AD4)</f>
        <v>180087.451032185</v>
      </c>
      <c r="AE8" s="26" t="n">
        <f aca="false">INDEX(fc_oiat,AE4)</f>
        <v>190225.954603714</v>
      </c>
      <c r="AF8" s="26" t="n">
        <f aca="false">INDEX(fc_oiat,AF4)</f>
        <v>200872.335004699</v>
      </c>
    </row>
    <row r="9" customFormat="false" ht="15" hidden="false" customHeight="true" outlineLevel="0" collapsed="false">
      <c r="A9" s="26" t="s">
        <v>774</v>
      </c>
      <c r="B9" s="42" t="n">
        <f aca="false">anchor_real_cse0</f>
        <v>271701.687612523</v>
      </c>
      <c r="C9" s="42" t="n">
        <f aca="false">INDEX(fc_cse,C4)</f>
        <v>295460.225902889</v>
      </c>
      <c r="D9" s="42" t="n">
        <f aca="false">INDEX(fc_cse,D4)</f>
        <v>352891.784613893</v>
      </c>
      <c r="E9" s="42" t="n">
        <f aca="false">INDEX(fc_cse,E4)</f>
        <v>412184.662264719</v>
      </c>
      <c r="F9" s="42" t="n">
        <f aca="false">INDEX(fc_cse,F4)</f>
        <v>473402.328304275</v>
      </c>
      <c r="G9" s="42" t="n">
        <f aca="false">INDEX(fc_cse,G4)</f>
        <v>536876.112483312</v>
      </c>
      <c r="H9" s="42" t="n">
        <f aca="false">INDEX(fc_cse,H4)</f>
        <v>603126.624763753</v>
      </c>
      <c r="I9" s="42" t="n">
        <f aca="false">INDEX(fc_cse,I4)</f>
        <v>672787.749923967</v>
      </c>
      <c r="J9" s="42" t="n">
        <f aca="false">INDEX(fc_cse,J4)</f>
        <v>746558.926703129</v>
      </c>
      <c r="K9" s="42" t="n">
        <f aca="false">INDEX(fc_cse,K4)</f>
        <v>825186.512863503</v>
      </c>
      <c r="L9" s="42" t="n">
        <f aca="false">INDEX(fc_cse,L4)</f>
        <v>909454.559557124</v>
      </c>
      <c r="M9" s="42" t="n">
        <f aca="false">INDEX(fc_cse,M4)</f>
        <v>1000172.65187295</v>
      </c>
      <c r="N9" s="42" t="n">
        <f aca="false">INDEX(fc_cse,N4)</f>
        <v>1098179.57002998</v>
      </c>
      <c r="O9" s="42" t="n">
        <f aca="false">INDEX(fc_cse,O4)</f>
        <v>1301795.44844131</v>
      </c>
      <c r="P9" s="26" t="n">
        <f aca="false">INDEX(fc_cse,P4)</f>
        <v>1364221.26544389</v>
      </c>
      <c r="Q9" s="26" t="n">
        <f aca="false">INDEX(fc_cse,Q4)</f>
        <v>1429755.02007025</v>
      </c>
      <c r="R9" s="26" t="n">
        <f aca="false">INDEX(fc_cse,R4)</f>
        <v>1498753.01352457</v>
      </c>
      <c r="S9" s="26" t="n">
        <f aca="false">INDEX(fc_cse,S4)</f>
        <v>1571518.25552421</v>
      </c>
      <c r="T9" s="26" t="n">
        <f aca="false">INDEX(fc_cse,T4)</f>
        <v>1648357.34173529</v>
      </c>
      <c r="U9" s="26" t="n">
        <f aca="false">INDEX(fc_cse,U4)</f>
        <v>1729504.27112493</v>
      </c>
      <c r="V9" s="26" t="n">
        <f aca="false">INDEX(fc_cse,V4)</f>
        <v>1815177.96256509</v>
      </c>
      <c r="W9" s="26" t="n">
        <f aca="false">INDEX(fc_cse,W4)</f>
        <v>1905614.99821505</v>
      </c>
      <c r="X9" s="26" t="n">
        <f aca="false">INDEX(fc_cse,X4)</f>
        <v>2000866.64357166</v>
      </c>
      <c r="Y9" s="26" t="n">
        <f aca="false">INDEX(fc_cse,Y4)</f>
        <v>2101133.87475341</v>
      </c>
      <c r="Z9" s="26" t="n">
        <f aca="false">INDEX(fc_cse,Z4)</f>
        <v>2206343.7060168</v>
      </c>
      <c r="AA9" s="26" t="n">
        <f aca="false">INDEX(fc_cse,AA4)</f>
        <v>2316588.52918315</v>
      </c>
      <c r="AB9" s="26" t="n">
        <f aca="false">INDEX(fc_cse,AB4)</f>
        <v>2431553.20509068</v>
      </c>
      <c r="AC9" s="26" t="n">
        <f aca="false">INDEX(fc_cse,AC4)</f>
        <v>2551081.56597677</v>
      </c>
      <c r="AD9" s="26" t="n">
        <f aca="false">INDEX(fc_cse,AD4)</f>
        <v>2674781.40865349</v>
      </c>
      <c r="AE9" s="26" t="n">
        <f aca="false">INDEX(fc_cse,AE4)</f>
        <v>2802187.02440934</v>
      </c>
      <c r="AF9" s="26" t="n">
        <f aca="false">INDEX(fc_cse,AF4)</f>
        <v>2932599.39107754</v>
      </c>
    </row>
    <row r="10" customFormat="false" ht="15" hidden="false" customHeight="true" outlineLevel="0" collapsed="false">
      <c r="A10" s="26" t="s">
        <v>775</v>
      </c>
      <c r="B10" s="42" t="n">
        <f aca="false">anchor_real_noa0</f>
        <v>324285.613795854</v>
      </c>
      <c r="C10" s="42" t="n">
        <f aca="false">INDEX(fc_noa,C4)</f>
        <v>398871.3049689</v>
      </c>
      <c r="D10" s="42" t="n">
        <f aca="false">INDEX(fc_noa,D4)</f>
        <v>476403.909228755</v>
      </c>
      <c r="E10" s="42" t="n">
        <f aca="false">INDEX(fc_noa,E4)</f>
        <v>556449.294057371</v>
      </c>
      <c r="F10" s="42" t="n">
        <f aca="false">INDEX(fc_noa,F4)</f>
        <v>639093.143210772</v>
      </c>
      <c r="G10" s="42" t="n">
        <f aca="false">INDEX(fc_noa,G4)</f>
        <v>724782.751852472</v>
      </c>
      <c r="H10" s="42" t="n">
        <f aca="false">INDEX(fc_noa,H4)</f>
        <v>814220.943431067</v>
      </c>
      <c r="I10" s="42" t="n">
        <f aca="false">INDEX(fc_noa,I4)</f>
        <v>908263.462397355</v>
      </c>
      <c r="J10" s="42" t="n">
        <f aca="false">INDEX(fc_noa,J4)</f>
        <v>1007854.55104922</v>
      </c>
      <c r="K10" s="42" t="n">
        <f aca="false">INDEX(fc_noa,K4)</f>
        <v>1114001.79236573</v>
      </c>
      <c r="L10" s="42" t="n">
        <f aca="false">INDEX(fc_noa,L4)</f>
        <v>1227763.65540212</v>
      </c>
      <c r="M10" s="42" t="n">
        <f aca="false">INDEX(fc_noa,M4)</f>
        <v>1350233.08002848</v>
      </c>
      <c r="N10" s="42" t="n">
        <f aca="false">INDEX(fc_noa,N4)</f>
        <v>1482542.41954047</v>
      </c>
      <c r="O10" s="42" t="n">
        <f aca="false">INDEX(fc_noa,O4)</f>
        <v>1553739.10167418</v>
      </c>
      <c r="P10" s="26" t="n">
        <f aca="false">INDEX(fc_noa,P4)</f>
        <v>1628246.53135293</v>
      </c>
      <c r="Q10" s="26" t="n">
        <f aca="false">INDEX(fc_noa,Q4)</f>
        <v>1706463.39496574</v>
      </c>
      <c r="R10" s="26" t="n">
        <f aca="false">INDEX(fc_noa,R4)</f>
        <v>1788814.95065399</v>
      </c>
      <c r="S10" s="26" t="n">
        <f aca="false">INDEX(fc_noa,S4)</f>
        <v>1875662.85127693</v>
      </c>
      <c r="T10" s="26" t="n">
        <f aca="false">INDEX(fc_noa,T4)</f>
        <v>1967373.02965097</v>
      </c>
      <c r="U10" s="26" t="n">
        <f aca="false">INDEX(fc_noa,U4)</f>
        <v>2064224.77185397</v>
      </c>
      <c r="V10" s="26" t="n">
        <f aca="false">INDEX(fc_noa,V4)</f>
        <v>2166479.36533464</v>
      </c>
      <c r="W10" s="26" t="n">
        <f aca="false">INDEX(fc_noa,W4)</f>
        <v>2274419.17930241</v>
      </c>
      <c r="X10" s="26" t="n">
        <f aca="false">INDEX(fc_noa,X4)</f>
        <v>2388105.40094849</v>
      </c>
      <c r="Y10" s="26" t="n">
        <f aca="false">INDEX(fc_noa,Y4)</f>
        <v>2507777.90240809</v>
      </c>
      <c r="Z10" s="26" t="n">
        <f aca="false">INDEX(fc_noa,Z4)</f>
        <v>2633349.57260421</v>
      </c>
      <c r="AA10" s="26" t="n">
        <f aca="false">INDEX(fc_noa,AA4)</f>
        <v>2764930.68445692</v>
      </c>
      <c r="AB10" s="26" t="n">
        <f aca="false">INDEX(fc_noa,AB4)</f>
        <v>2902145.10818432</v>
      </c>
      <c r="AC10" s="26" t="n">
        <f aca="false">INDEX(fc_noa,AC4)</f>
        <v>3044806.45201534</v>
      </c>
      <c r="AD10" s="26" t="n">
        <f aca="false">INDEX(fc_noa,AD4)</f>
        <v>3192446.60751588</v>
      </c>
      <c r="AE10" s="26" t="n">
        <f aca="false">INDEX(fc_noa,AE4)</f>
        <v>3344509.73479885</v>
      </c>
      <c r="AF10" s="26" t="n">
        <f aca="false">INDEX(fc_noa,AF4)</f>
        <v>3500161.52608209</v>
      </c>
    </row>
    <row r="11" customFormat="false" ht="15" hidden="false" customHeight="true" outlineLevel="0" collapsed="false">
      <c r="A11" s="26" t="s">
        <v>776</v>
      </c>
      <c r="B11" s="42" t="n">
        <f aca="false">anchor_real_nfo0</f>
        <v>52583.9261833313</v>
      </c>
      <c r="C11" s="42" t="n">
        <f aca="false">INDEX(fc_nfo,C4)</f>
        <v>103411.079066011</v>
      </c>
      <c r="D11" s="42" t="n">
        <f aca="false">INDEX(fc_nfo,D4)</f>
        <v>123512.124614862</v>
      </c>
      <c r="E11" s="42" t="n">
        <f aca="false">INDEX(fc_nfo,E4)</f>
        <v>144264.631792652</v>
      </c>
      <c r="F11" s="42" t="n">
        <f aca="false">INDEX(fc_nfo,F4)</f>
        <v>165690.814906496</v>
      </c>
      <c r="G11" s="42" t="n">
        <f aca="false">INDEX(fc_nfo,G4)</f>
        <v>187906.639369159</v>
      </c>
      <c r="H11" s="42" t="n">
        <f aca="false">INDEX(fc_nfo,H4)</f>
        <v>211094.318667313</v>
      </c>
      <c r="I11" s="42" t="n">
        <f aca="false">INDEX(fc_nfo,I4)</f>
        <v>235475.712473388</v>
      </c>
      <c r="J11" s="42" t="n">
        <f aca="false">INDEX(fc_nfo,J4)</f>
        <v>261295.624346095</v>
      </c>
      <c r="K11" s="42" t="n">
        <f aca="false">INDEX(fc_nfo,K4)</f>
        <v>288815.279502226</v>
      </c>
      <c r="L11" s="42" t="n">
        <f aca="false">INDEX(fc_nfo,L4)</f>
        <v>318309.095844993</v>
      </c>
      <c r="M11" s="42" t="n">
        <f aca="false">INDEX(fc_nfo,M4)</f>
        <v>350060.428155531</v>
      </c>
      <c r="N11" s="42" t="n">
        <f aca="false">INDEX(fc_nfo,N4)</f>
        <v>384362.849510492</v>
      </c>
      <c r="O11" s="42" t="n">
        <f aca="false">INDEX(fc_nfo,O4)</f>
        <v>251943.653232869</v>
      </c>
      <c r="P11" s="26" t="n">
        <f aca="false">INDEX(fc_nfo,P4)</f>
        <v>264025.265909044</v>
      </c>
      <c r="Q11" s="26" t="n">
        <f aca="false">INDEX(fc_nfo,Q4)</f>
        <v>276708.374895484</v>
      </c>
      <c r="R11" s="26" t="n">
        <f aca="false">INDEX(fc_nfo,R4)</f>
        <v>290061.937129422</v>
      </c>
      <c r="S11" s="26" t="n">
        <f aca="false">INDEX(fc_nfo,S4)</f>
        <v>304144.59575272</v>
      </c>
      <c r="T11" s="26" t="n">
        <f aca="false">INDEX(fc_nfo,T4)</f>
        <v>319015.687915683</v>
      </c>
      <c r="U11" s="26" t="n">
        <f aca="false">INDEX(fc_nfo,U4)</f>
        <v>334720.500729043</v>
      </c>
      <c r="V11" s="26" t="n">
        <f aca="false">INDEX(fc_nfo,V4)</f>
        <v>351301.402769548</v>
      </c>
      <c r="W11" s="26" t="n">
        <f aca="false">INDEX(fc_nfo,W4)</f>
        <v>368804.181087357</v>
      </c>
      <c r="X11" s="26" t="n">
        <f aca="false">INDEX(fc_nfo,X4)</f>
        <v>387238.757376834</v>
      </c>
      <c r="Y11" s="26" t="n">
        <f aca="false">INDEX(fc_nfo,Y4)</f>
        <v>406644.027654681</v>
      </c>
      <c r="Z11" s="26" t="n">
        <f aca="false">INDEX(fc_nfo,Z4)</f>
        <v>427005.866587404</v>
      </c>
      <c r="AA11" s="26" t="n">
        <f aca="false">INDEX(fc_nfo,AA4)</f>
        <v>448342.15527377</v>
      </c>
      <c r="AB11" s="26" t="n">
        <f aca="false">INDEX(fc_nfo,AB4)</f>
        <v>470591.90309364</v>
      </c>
      <c r="AC11" s="26" t="n">
        <f aca="false">INDEX(fc_nfo,AC4)</f>
        <v>493724.88603857</v>
      </c>
      <c r="AD11" s="26" t="n">
        <f aca="false">INDEX(fc_nfo,AD4)</f>
        <v>517665.198862386</v>
      </c>
      <c r="AE11" s="26" t="n">
        <f aca="false">INDEX(fc_nfo,AE4)</f>
        <v>542322.710389518</v>
      </c>
      <c r="AF11" s="26" t="n">
        <f aca="false">INDEX(fc_nfo,AF4)</f>
        <v>567562.135004554</v>
      </c>
    </row>
    <row r="12" customFormat="false" ht="15" hidden="false" customHeight="true" outlineLevel="0" collapsed="false">
      <c r="A12" s="26" t="s">
        <v>777</v>
      </c>
      <c r="C12" s="42" t="n">
        <f aca="false">C8-C7</f>
        <v>1206.77339557078</v>
      </c>
      <c r="D12" s="42" t="n">
        <f aca="false">D8-D7</f>
        <v>2445.32907611347</v>
      </c>
      <c r="E12" s="42" t="n">
        <f aca="false">E8-E7</f>
        <v>3082.77942372349</v>
      </c>
      <c r="F12" s="42" t="n">
        <f aca="false">F8-F7</f>
        <v>3809.5647643813</v>
      </c>
      <c r="G12" s="42" t="n">
        <f aca="false">G8-G7</f>
        <v>4622.81645214465</v>
      </c>
      <c r="H12" s="42" t="n">
        <f aca="false">H8-H7</f>
        <v>5596.43071764999</v>
      </c>
      <c r="I12" s="42" t="n">
        <f aca="false">I8-I7</f>
        <v>6756.57313031922</v>
      </c>
      <c r="J12" s="42" t="n">
        <f aca="false">J8-J7</f>
        <v>8110.05896652662</v>
      </c>
      <c r="K12" s="42" t="n">
        <f aca="false">K8-K7</f>
        <v>9589.92509792929</v>
      </c>
      <c r="L12" s="42" t="n">
        <f aca="false">L8-L7</f>
        <v>11157.595104439</v>
      </c>
      <c r="M12" s="42" t="n">
        <f aca="false">M8-M7</f>
        <v>12840.3594697976</v>
      </c>
      <c r="N12" s="42" t="n">
        <f aca="false">N8-N7</f>
        <v>14620.7654938428</v>
      </c>
      <c r="O12" s="42" t="n">
        <f aca="false">O8-O7</f>
        <v>16499.7902097674</v>
      </c>
      <c r="P12" s="26" t="n">
        <f aca="false">P8-P7</f>
        <v>11039.5668630397</v>
      </c>
      <c r="Q12" s="26" t="n">
        <f aca="false">Q8-Q7</f>
        <v>11720.7426144627</v>
      </c>
      <c r="R12" s="26" t="n">
        <f aca="false">R8-R7</f>
        <v>12364.8417562827</v>
      </c>
      <c r="S12" s="26" t="n">
        <f aca="false">S8-S7</f>
        <v>12978.0834244728</v>
      </c>
      <c r="T12" s="26" t="n">
        <f aca="false">T8-T7</f>
        <v>13567.5520223376</v>
      </c>
      <c r="U12" s="26" t="n">
        <f aca="false">U8-U7</f>
        <v>14141.6701138356</v>
      </c>
      <c r="V12" s="26" t="n">
        <f aca="false">V8-V7</f>
        <v>14709.1083196052</v>
      </c>
      <c r="W12" s="26" t="n">
        <f aca="false">W8-W7</f>
        <v>15257.0025979697</v>
      </c>
      <c r="X12" s="26" t="n">
        <f aca="false">X8-X7</f>
        <v>15805.8370894571</v>
      </c>
      <c r="Y12" s="26" t="n">
        <f aca="false">Y8-Y7</f>
        <v>16362.7831973786</v>
      </c>
      <c r="Z12" s="26" t="n">
        <f aca="false">Z8-Z7</f>
        <v>16934.0678475212</v>
      </c>
      <c r="AA12" s="26" t="n">
        <f aca="false">AA8-AA7</f>
        <v>17531.2962834472</v>
      </c>
      <c r="AB12" s="26" t="n">
        <f aca="false">AB8-AB7</f>
        <v>18166.9143908757</v>
      </c>
      <c r="AC12" s="26" t="n">
        <f aca="false">AC8-AC7</f>
        <v>18857.1895727062</v>
      </c>
      <c r="AD12" s="26" t="n">
        <f aca="false">AD8-AD7</f>
        <v>19619.9105229062</v>
      </c>
      <c r="AE12" s="26" t="n">
        <f aca="false">AE8-AE7</f>
        <v>20467.6114675883</v>
      </c>
      <c r="AF12" s="26" t="n">
        <f aca="false">AF8-AF7</f>
        <v>21402.3345489225</v>
      </c>
    </row>
    <row r="13" customFormat="false" ht="15" hidden="false" customHeight="true" outlineLevel="0" collapsed="false">
      <c r="A13" s="26" t="s">
        <v>778</v>
      </c>
      <c r="C13" s="46" t="n">
        <f aca="false">IF(B9=0,"",B11/B9)</f>
        <v>0.193535515533205</v>
      </c>
      <c r="D13" s="46" t="n">
        <f aca="false">IF(C9=0,"",C11/C9)</f>
        <v>0.35</v>
      </c>
      <c r="E13" s="46" t="n">
        <f aca="false">IF(D9=0,"",D11/D9)</f>
        <v>0.35</v>
      </c>
      <c r="F13" s="46" t="n">
        <f aca="false">IF(E9=0,"",E11/E9)</f>
        <v>0.35</v>
      </c>
      <c r="G13" s="46" t="n">
        <f aca="false">IF(F9=0,"",F11/F9)</f>
        <v>0.35</v>
      </c>
      <c r="H13" s="46" t="n">
        <f aca="false">IF(G9=0,"",G11/G9)</f>
        <v>0.35</v>
      </c>
      <c r="I13" s="46" t="n">
        <f aca="false">IF(H9=0,"",H11/H9)</f>
        <v>0.35</v>
      </c>
      <c r="J13" s="46" t="n">
        <f aca="false">IF(I9=0,"",I11/I9)</f>
        <v>0.35</v>
      </c>
      <c r="K13" s="46" t="n">
        <f aca="false">IF(J9=0,"",J11/J9)</f>
        <v>0.35</v>
      </c>
      <c r="L13" s="46" t="n">
        <f aca="false">IF(K9=0,"",K11/K9)</f>
        <v>0.35</v>
      </c>
      <c r="M13" s="46" t="n">
        <f aca="false">IF(L9=0,"",L11/L9)</f>
        <v>0.35</v>
      </c>
      <c r="N13" s="46" t="n">
        <f aca="false">IF(M9=0,"",M11/M9)</f>
        <v>0.35</v>
      </c>
      <c r="O13" s="46" t="n">
        <f aca="false">IF(N9=0,"",N11/N9)</f>
        <v>0.35</v>
      </c>
      <c r="P13" s="26" t="n">
        <f aca="false">IF(O9=0,"",O11/O9)</f>
        <v>0.193535515533205</v>
      </c>
      <c r="Q13" s="26" t="n">
        <f aca="false">IF(P9=0,"",P11/P9)</f>
        <v>0.193535515533205</v>
      </c>
      <c r="R13" s="26" t="n">
        <f aca="false">IF(Q9=0,"",Q11/Q9)</f>
        <v>0.193535515533205</v>
      </c>
      <c r="S13" s="26" t="n">
        <f aca="false">IF(R9=0,"",R11/R9)</f>
        <v>0.193535515533205</v>
      </c>
      <c r="T13" s="26" t="n">
        <f aca="false">IF(S9=0,"",S11/S9)</f>
        <v>0.193535515533205</v>
      </c>
      <c r="U13" s="26" t="n">
        <f aca="false">IF(T9=0,"",T11/T9)</f>
        <v>0.193535515533205</v>
      </c>
      <c r="V13" s="26" t="n">
        <f aca="false">IF(U9=0,"",U11/U9)</f>
        <v>0.193535515533205</v>
      </c>
      <c r="W13" s="26" t="n">
        <f aca="false">IF(V9=0,"",V11/V9)</f>
        <v>0.193535515533205</v>
      </c>
      <c r="X13" s="26" t="n">
        <f aca="false">IF(W9=0,"",W11/W9)</f>
        <v>0.193535515533205</v>
      </c>
      <c r="Y13" s="26" t="n">
        <f aca="false">IF(X9=0,"",X11/X9)</f>
        <v>0.193535515533205</v>
      </c>
      <c r="Z13" s="26" t="n">
        <f aca="false">IF(Y9=0,"",Y11/Y9)</f>
        <v>0.193535515533205</v>
      </c>
      <c r="AA13" s="26" t="n">
        <f aca="false">IF(Z9=0,"",Z11/Z9)</f>
        <v>0.193535515533205</v>
      </c>
      <c r="AB13" s="26" t="n">
        <f aca="false">IF(AA9=0,"",AA11/AA9)</f>
        <v>0.193535515533205</v>
      </c>
      <c r="AC13" s="26" t="n">
        <f aca="false">IF(AB9=0,"",AB11/AB9)</f>
        <v>0.193535515533205</v>
      </c>
      <c r="AD13" s="26" t="n">
        <f aca="false">IF(AC9=0,"",AC11/AC9)</f>
        <v>0.193535515533205</v>
      </c>
      <c r="AE13" s="26" t="n">
        <f aca="false">IF(AD9=0,"",AD11/AD9)</f>
        <v>0.193535515533205</v>
      </c>
      <c r="AF13" s="26" t="n">
        <f aca="false">IF(AE9=0,"",AE11/AE9)</f>
        <v>0.193535515533205</v>
      </c>
    </row>
    <row r="14" customFormat="false" ht="15" hidden="false" customHeight="true" outlineLevel="0" collapsed="false">
      <c r="A14" s="26" t="s">
        <v>779</v>
      </c>
      <c r="C14" s="54" t="n">
        <f aca="false">IF(cfg_rf_mode="Single",(1+in_rf_single)*(1+INDEX(finrate_infl,C4))-1,(C5+C13*C6)/(1+C13))</f>
        <v>0.069907102287784</v>
      </c>
      <c r="D14" s="54" t="n">
        <f aca="false">IF(cfg_rf_mode="Single",(1+in_rf_single)*(1+INDEX(finrate_infl,D4))-1,(D5+D13*D6)/(1+D13))</f>
        <v>0.0720657717211896</v>
      </c>
      <c r="E14" s="54" t="n">
        <f aca="false">IF(cfg_rf_mode="Single",(1+in_rf_single)*(1+INDEX(finrate_infl,E4))-1,(E5+E13*E6)/(1+E13))</f>
        <v>0.0771234737776084</v>
      </c>
      <c r="F14" s="54" t="n">
        <f aca="false">IF(cfg_rf_mode="Single",(1+in_rf_single)*(1+INDEX(finrate_infl,F4))-1,(F5+F13*F6)/(1+F13))</f>
        <v>0.0789354054541276</v>
      </c>
      <c r="G14" s="54" t="n">
        <f aca="false">IF(cfg_rf_mode="Single",(1+in_rf_single)*(1+INDEX(finrate_infl,G4))-1,(G5+G13*G6)/(1+G13))</f>
        <v>0.0809342559227321</v>
      </c>
      <c r="H14" s="54" t="n">
        <f aca="false">IF(cfg_rf_mode="Single",(1+in_rf_single)*(1+INDEX(finrate_infl,H4))-1,(H5+H13*H6)/(1+H13))</f>
        <v>0.0829319839694682</v>
      </c>
      <c r="I14" s="54" t="n">
        <f aca="false">IF(cfg_rf_mode="Single",(1+in_rf_single)*(1+INDEX(finrate_infl,I4))-1,(I5+I13*I6)/(1+I13))</f>
        <v>0.0839605944373566</v>
      </c>
      <c r="J14" s="54" t="n">
        <f aca="false">IF(cfg_rf_mode="Single",(1+in_rf_single)*(1+INDEX(finrate_infl,J4))-1,(J5+J13*J6)/(1+J13))</f>
        <v>0.0839060050091257</v>
      </c>
      <c r="K14" s="54" t="n">
        <f aca="false">IF(cfg_rf_mode="Single",(1+in_rf_single)*(1+INDEX(finrate_infl,K4))-1,(K5+K13*K6)/(1+K13))</f>
        <v>0.083584490937705</v>
      </c>
      <c r="L14" s="54" t="n">
        <f aca="false">IF(cfg_rf_mode="Single",(1+in_rf_single)*(1+INDEX(finrate_infl,L4))-1,(L5+L13*L6)/(1+L13))</f>
        <v>0.0826019670106258</v>
      </c>
      <c r="M14" s="54" t="n">
        <f aca="false">IF(cfg_rf_mode="Single",(1+in_rf_single)*(1+INDEX(finrate_infl,M4))-1,(M5+M13*M6)/(1+M13))</f>
        <v>0.0810131848126191</v>
      </c>
      <c r="N14" s="54" t="n">
        <f aca="false">IF(cfg_rf_mode="Single",(1+in_rf_single)*(1+INDEX(finrate_infl,N4))-1,(N5+N13*N6)/(1+N13))</f>
        <v>0.0799380531154398</v>
      </c>
      <c r="O14" s="54" t="n">
        <f aca="false">IF(cfg_rf_mode="Single",(1+in_rf_single)*(1+INDEX(finrate_infl,O4))-1,(O5+O13*O6)/(1+O13))</f>
        <v>0.0791304387567247</v>
      </c>
      <c r="P14" s="26" t="n">
        <f aca="false">IF(cfg_rf_mode="Single",(1+in_rf_single)*(1+INDEX(finrate_infl,P4))-1,(P5+P13*P6)/(1+P13))</f>
        <v>0.0802264888303201</v>
      </c>
      <c r="Q14" s="26" t="n">
        <f aca="false">IF(cfg_rf_mode="Single",(1+in_rf_single)*(1+INDEX(finrate_infl,Q4))-1,(Q5+Q13*Q6)/(1+Q13))</f>
        <v>0.0797201689742526</v>
      </c>
      <c r="R14" s="26" t="n">
        <f aca="false">IF(cfg_rf_mode="Single",(1+in_rf_single)*(1+INDEX(finrate_infl,R4))-1,(R5+R13*R6)/(1+R13))</f>
        <v>0.0792454408840335</v>
      </c>
      <c r="S14" s="26" t="n">
        <f aca="false">IF(cfg_rf_mode="Single",(1+in_rf_single)*(1+INDEX(finrate_infl,S4))-1,(S5+S13*S6)/(1+S13))</f>
        <v>0.0791936356156996</v>
      </c>
      <c r="T14" s="26" t="n">
        <f aca="false">IF(cfg_rf_mode="Single",(1+in_rf_single)*(1+INDEX(finrate_infl,T4))-1,(T5+T13*T6)/(1+T13))</f>
        <v>0.0793341665784291</v>
      </c>
      <c r="U14" s="26" t="n">
        <f aca="false">IF(cfg_rf_mode="Single",(1+in_rf_single)*(1+INDEX(finrate_infl,U4))-1,(U5+U13*U6)/(1+U13))</f>
        <v>0.0796265319373118</v>
      </c>
      <c r="V14" s="26" t="n">
        <f aca="false">IF(cfg_rf_mode="Single",(1+in_rf_single)*(1+INDEX(finrate_infl,V4))-1,(V5+V13*V6)/(1+V13))</f>
        <v>0.0800731499373551</v>
      </c>
      <c r="W14" s="26" t="n">
        <f aca="false">IF(cfg_rf_mode="Single",(1+in_rf_single)*(1+INDEX(finrate_infl,W4))-1,(W5+W13*W6)/(1+W13))</f>
        <v>0.0813552276526391</v>
      </c>
      <c r="X14" s="26" t="n">
        <f aca="false">IF(cfg_rf_mode="Single",(1+in_rf_single)*(1+INDEX(finrate_infl,X4))-1,(X5+X13*X6)/(1+X13))</f>
        <v>0.0816867393361835</v>
      </c>
      <c r="Y14" s="26" t="n">
        <f aca="false">IF(cfg_rf_mode="Single",(1+in_rf_single)*(1+INDEX(finrate_infl,Y4))-1,(Y5+Y13*Y6)/(1+Y13))</f>
        <v>0.0820216856500645</v>
      </c>
      <c r="Z14" s="26" t="n">
        <f aca="false">IF(cfg_rf_mode="Single",(1+in_rf_single)*(1+INDEX(finrate_infl,Z4))-1,(Z5+Z13*Z6)/(1+Z13))</f>
        <v>0.0822266495991819</v>
      </c>
      <c r="AA14" s="26" t="n">
        <f aca="false">IF(cfg_rf_mode="Single",(1+in_rf_single)*(1+INDEX(finrate_infl,AA4))-1,(AA5+AA13*AA6)/(1+AA13))</f>
        <v>0.0824068010751747</v>
      </c>
      <c r="AB14" s="26" t="n">
        <f aca="false">IF(cfg_rf_mode="Single",(1+in_rf_single)*(1+INDEX(finrate_infl,AB4))-1,(AB5+AB13*AB6)/(1+AB13))</f>
        <v>0.0824072358555806</v>
      </c>
      <c r="AC14" s="26" t="n">
        <f aca="false">IF(cfg_rf_mode="Single",(1+in_rf_single)*(1+INDEX(finrate_infl,AC4))-1,(AC5+AC13*AC6)/(1+AC13))</f>
        <v>0.0823122145625408</v>
      </c>
      <c r="AD14" s="26" t="n">
        <f aca="false">IF(cfg_rf_mode="Single",(1+in_rf_single)*(1+INDEX(finrate_infl,AD4))-1,(AD5+AD13*AD6)/(1+AD13))</f>
        <v>0.0820620486285807</v>
      </c>
      <c r="AE14" s="26" t="n">
        <f aca="false">IF(cfg_rf_mode="Single",(1+in_rf_single)*(1+INDEX(finrate_infl,AE4))-1,(AE5+AE13*AE6)/(1+AE13))</f>
        <v>0.0816664163175254</v>
      </c>
      <c r="AF14" s="26" t="n">
        <f aca="false">IF(cfg_rf_mode="Single",(1+in_rf_single)*(1+INDEX(finrate_infl,AF4))-1,(AF5+AF13*AF6)/(1+AF13))</f>
        <v>0.0810744636643038</v>
      </c>
    </row>
    <row r="15" customFormat="false" ht="15" hidden="false" customHeight="true" outlineLevel="0" collapsed="false">
      <c r="A15" s="26" t="s">
        <v>780</v>
      </c>
      <c r="B15" s="41" t="n">
        <v>1</v>
      </c>
      <c r="C15" s="41" t="n">
        <f aca="false">B15/(1+C5)</f>
        <v>0.930348032368084</v>
      </c>
      <c r="D15" s="41" t="n">
        <f aca="false">C15/(1+D5)</f>
        <v>0.860496492460737</v>
      </c>
      <c r="E15" s="41" t="n">
        <f aca="false">D15/(1+E5)</f>
        <v>0.791457975337476</v>
      </c>
      <c r="F15" s="41" t="n">
        <f aca="false">E15/(1+F5)</f>
        <v>0.726836067834709</v>
      </c>
      <c r="G15" s="41" t="n">
        <f aca="false">F15/(1+G5)</f>
        <v>0.666287323012015</v>
      </c>
      <c r="H15" s="41" t="n">
        <f aca="false">G15/(1+H5)</f>
        <v>0.609799232356643</v>
      </c>
      <c r="I15" s="41" t="n">
        <f aca="false">H15/(1+I5)</f>
        <v>0.557790084453593</v>
      </c>
      <c r="J15" s="41" t="n">
        <f aca="false">I15/(1+J5)</f>
        <v>0.510576264084574</v>
      </c>
      <c r="K15" s="41" t="n">
        <f aca="false">J15/(1+K5)</f>
        <v>0.467809639132139</v>
      </c>
      <c r="L15" s="41" t="n">
        <f aca="false">K15/(1+L5)</f>
        <v>0.429336257243493</v>
      </c>
      <c r="M15" s="41" t="n">
        <f aca="false">L15/(1+M5)</f>
        <v>0.394913366884622</v>
      </c>
      <c r="N15" s="41" t="n">
        <f aca="false">M15/(1+N5)</f>
        <v>0.363856053084763</v>
      </c>
      <c r="O15" s="41" t="n">
        <f aca="false">N15/(1+O5)</f>
        <v>0.335679213777</v>
      </c>
      <c r="P15" s="26" t="n">
        <f aca="false">O15/(1+P5)</f>
        <v>0.309970591227222</v>
      </c>
      <c r="Q15" s="26" t="n">
        <f aca="false">P15/(1+Q5)</f>
        <v>0.286424360198479</v>
      </c>
      <c r="R15" s="26" t="n">
        <f aca="false">Q15/(1+R5)</f>
        <v>0.264829513869668</v>
      </c>
      <c r="S15" s="26" t="n">
        <f aca="false">R15/(1+S5)</f>
        <v>0.24489178005071</v>
      </c>
      <c r="T15" s="26" t="n">
        <f aca="false">S15/(1+T5)</f>
        <v>0.226428141169158</v>
      </c>
      <c r="U15" s="26" t="n">
        <f aca="false">T15/(1+U5)</f>
        <v>0.209290774651797</v>
      </c>
      <c r="V15" s="26" t="n">
        <f aca="false">U15/(1+V5)</f>
        <v>0.19335227081355</v>
      </c>
      <c r="W15" s="26" t="n">
        <f aca="false">V15/(1+W5)</f>
        <v>0.178367901369668</v>
      </c>
      <c r="X15" s="26" t="n">
        <f aca="false">W15/(1+X5)</f>
        <v>0.164472571031865</v>
      </c>
      <c r="Y15" s="26" t="n">
        <f aca="false">X15/(1+Y5)</f>
        <v>0.151590914776659</v>
      </c>
      <c r="Z15" s="26" t="n">
        <f aca="false">Y15/(1+Z5)</f>
        <v>0.139670486207922</v>
      </c>
      <c r="AA15" s="26" t="n">
        <f aca="false">Z15/(1+AA5)</f>
        <v>0.128646106774321</v>
      </c>
      <c r="AB15" s="26" t="n">
        <f aca="false">AA15/(1+AB5)</f>
        <v>0.118473501769463</v>
      </c>
      <c r="AC15" s="26" t="n">
        <f aca="false">AB15/(1+AC5)</f>
        <v>0.109099046013968</v>
      </c>
      <c r="AD15" s="26" t="n">
        <f aca="false">AC15/(1+AD5)</f>
        <v>0.100476361872237</v>
      </c>
      <c r="AE15" s="26" t="n">
        <f aca="false">AD15/(1+AE5)</f>
        <v>0.0925583295207881</v>
      </c>
      <c r="AF15" s="26" t="n">
        <f aca="false">AE15/(1+AF5)</f>
        <v>0.0853024561919146</v>
      </c>
    </row>
    <row r="16" customFormat="false" ht="15" hidden="false" customHeight="true" outlineLevel="0" collapsed="false">
      <c r="A16" s="26" t="s">
        <v>781</v>
      </c>
      <c r="B16" s="41" t="n">
        <v>1</v>
      </c>
      <c r="C16" s="41" t="n">
        <f aca="false">B16/(1+C14)</f>
        <v>0.934660586757204</v>
      </c>
      <c r="D16" s="41" t="n">
        <f aca="false">C16/(1+D14)</f>
        <v>0.871831385173894</v>
      </c>
      <c r="E16" s="41" t="n">
        <f aca="false">D16/(1+E14)</f>
        <v>0.809407098070447</v>
      </c>
      <c r="F16" s="41" t="n">
        <f aca="false">E16/(1+F14)</f>
        <v>0.750190506288711</v>
      </c>
      <c r="G16" s="41" t="n">
        <f aca="false">F16/(1+G14)</f>
        <v>0.694020475508306</v>
      </c>
      <c r="H16" s="41" t="n">
        <f aca="false">G16/(1+H14)</f>
        <v>0.640871712888547</v>
      </c>
      <c r="I16" s="41" t="n">
        <f aca="false">H16/(1+I14)</f>
        <v>0.591231559687093</v>
      </c>
      <c r="J16" s="41" t="n">
        <f aca="false">I16/(1+J14)</f>
        <v>0.545463865828583</v>
      </c>
      <c r="K16" s="41" t="n">
        <f aca="false">J16/(1+K14)</f>
        <v>0.503388402464632</v>
      </c>
      <c r="L16" s="41" t="n">
        <f aca="false">K16/(1+L14)</f>
        <v>0.464980129174005</v>
      </c>
      <c r="M16" s="41" t="n">
        <f aca="false">L16/(1+M14)</f>
        <v>0.430133633619467</v>
      </c>
      <c r="N16" s="41" t="n">
        <f aca="false">M16/(1+N14)</f>
        <v>0.398294728460215</v>
      </c>
      <c r="O16" s="41" t="n">
        <f aca="false">N16/(1+O14)</f>
        <v>0.369088586657878</v>
      </c>
      <c r="P16" s="26" t="n">
        <f aca="false">O16/(1+P14)</f>
        <v>0.341677037616001</v>
      </c>
      <c r="Q16" s="26" t="n">
        <f aca="false">P16/(1+Q14)</f>
        <v>0.316449620405441</v>
      </c>
      <c r="R16" s="26" t="n">
        <f aca="false">Q16/(1+R14)</f>
        <v>0.293213766227477</v>
      </c>
      <c r="S16" s="26" t="n">
        <f aca="false">R16/(1+S14)</f>
        <v>0.271697086186199</v>
      </c>
      <c r="T16" s="26" t="n">
        <f aca="false">S16/(1+T14)</f>
        <v>0.251726568656211</v>
      </c>
      <c r="U16" s="26" t="n">
        <f aca="false">T16/(1+U14)</f>
        <v>0.233160784039372</v>
      </c>
      <c r="V16" s="26" t="n">
        <f aca="false">U16/(1+V14)</f>
        <v>0.215874993330679</v>
      </c>
      <c r="W16" s="26" t="n">
        <f aca="false">V16/(1+W14)</f>
        <v>0.199633744592229</v>
      </c>
      <c r="X16" s="26" t="n">
        <f aca="false">W16/(1+X14)</f>
        <v>0.184557818204133</v>
      </c>
      <c r="Y16" s="26" t="n">
        <f aca="false">X16/(1+Y14)</f>
        <v>0.170567577943924</v>
      </c>
      <c r="Z16" s="26" t="n">
        <f aca="false">Y16/(1+Z14)</f>
        <v>0.157608000142203</v>
      </c>
      <c r="AA16" s="26" t="n">
        <f aca="false">Z16/(1+AA14)</f>
        <v>0.145608841320701</v>
      </c>
      <c r="AB16" s="26" t="n">
        <f aca="false">AA16/(1+AB14)</f>
        <v>0.134523159581067</v>
      </c>
      <c r="AC16" s="26" t="n">
        <f aca="false">AB16/(1+AC14)</f>
        <v>0.124292378641813</v>
      </c>
      <c r="AD16" s="26" t="n">
        <f aca="false">AC16/(1+AD14)</f>
        <v>0.114866221211014</v>
      </c>
      <c r="AE16" s="26" t="n">
        <f aca="false">AD16/(1+AE14)</f>
        <v>0.106193757593094</v>
      </c>
      <c r="AF16" s="26" t="n">
        <f aca="false">AE16/(1+AF14)</f>
        <v>0.0982298270492392</v>
      </c>
    </row>
    <row r="17" customFormat="false" ht="15" hidden="false" customHeight="true" outlineLevel="0" collapsed="false">
      <c r="A17" s="26" t="s">
        <v>782</v>
      </c>
      <c r="B17" s="41" t="n">
        <v>1</v>
      </c>
      <c r="C17" s="41" t="n">
        <f aca="false">B17/(1+C6)</f>
        <v>0.957596228440072</v>
      </c>
      <c r="D17" s="41" t="n">
        <f aca="false">C17/(1+D6)</f>
        <v>0.915451620909888</v>
      </c>
      <c r="E17" s="41" t="n">
        <f aca="false">D17/(1+E6)</f>
        <v>0.873315050365275</v>
      </c>
      <c r="F17" s="41" t="n">
        <f aca="false">E17/(1+F6)</f>
        <v>0.831379568285706</v>
      </c>
      <c r="G17" s="41" t="n">
        <f aca="false">F17/(1+G6)</f>
        <v>0.789884843279187</v>
      </c>
      <c r="H17" s="41" t="n">
        <f aca="false">G17/(1+H6)</f>
        <v>0.748555464843461</v>
      </c>
      <c r="I17" s="41" t="n">
        <f aca="false">H17/(1+I6)</f>
        <v>0.707891416089133</v>
      </c>
      <c r="J17" s="41" t="n">
        <f aca="false">I17/(1+J6)</f>
        <v>0.668179639115483</v>
      </c>
      <c r="K17" s="41" t="n">
        <f aca="false">J17/(1+K6)</f>
        <v>0.629645004113105</v>
      </c>
      <c r="L17" s="41" t="n">
        <f aca="false">K17/(1+L6)</f>
        <v>0.592565072977089</v>
      </c>
      <c r="M17" s="41" t="n">
        <f aca="false">L17/(1+M6)</f>
        <v>0.557218140705342</v>
      </c>
      <c r="N17" s="41" t="n">
        <f aca="false">M17/(1+N6)</f>
        <v>0.52347589234841</v>
      </c>
      <c r="O17" s="41" t="n">
        <f aca="false">N17/(1+O6)</f>
        <v>0.491346976809311</v>
      </c>
      <c r="P17" s="26" t="n">
        <f aca="false">O17/(1+P6)</f>
        <v>0.460834485984005</v>
      </c>
      <c r="Q17" s="26" t="n">
        <f aca="false">P17/(1+Q6)</f>
        <v>0.431950760997435</v>
      </c>
      <c r="R17" s="26" t="n">
        <f aca="false">Q17/(1+R6)</f>
        <v>0.404684422847486</v>
      </c>
      <c r="S17" s="26" t="n">
        <f aca="false">R17/(1+S6)</f>
        <v>0.379017872453437</v>
      </c>
      <c r="T17" s="26" t="n">
        <f aca="false">S17/(1+T6)</f>
        <v>0.354911935456287</v>
      </c>
      <c r="U17" s="26" t="n">
        <f aca="false">T17/(1+U6)</f>
        <v>0.332324786469162</v>
      </c>
      <c r="V17" s="26" t="n">
        <f aca="false">U17/(1+V6)</f>
        <v>0.311199751598921</v>
      </c>
      <c r="W17" s="26" t="n">
        <f aca="false">V17/(1+W6)</f>
        <v>0.291481821888743</v>
      </c>
      <c r="X17" s="26" t="n">
        <f aca="false">W17/(1+X6)</f>
        <v>0.273119369404801</v>
      </c>
      <c r="Y17" s="26" t="n">
        <f aca="false">X17/(1+Y6)</f>
        <v>0.256028340845066</v>
      </c>
      <c r="Z17" s="26" t="n">
        <f aca="false">Y17/(1+Z6)</f>
        <v>0.240153066057691</v>
      </c>
      <c r="AA17" s="26" t="n">
        <f aca="false">Z17/(1+AA6)</f>
        <v>0.225408089979078</v>
      </c>
      <c r="AB17" s="26" t="n">
        <f aca="false">AA17/(1+AB6)</f>
        <v>0.211740999613273</v>
      </c>
      <c r="AC17" s="26" t="n">
        <f aca="false">AB17/(1+AC6)</f>
        <v>0.199072199887691</v>
      </c>
      <c r="AD17" s="26" t="n">
        <f aca="false">AC17/(1+AD6)</f>
        <v>0.187334773730782</v>
      </c>
      <c r="AE17" s="26" t="n">
        <f aca="false">AD17/(1+AE6)</f>
        <v>0.176461486159649</v>
      </c>
      <c r="AF17" s="26" t="n">
        <f aca="false">AE17/(1+AF6)</f>
        <v>0.166398009827715</v>
      </c>
    </row>
    <row r="19" customFormat="false" ht="15" hidden="false" customHeight="true" outlineLevel="0" collapsed="false">
      <c r="A19" s="23" t="s">
        <v>783</v>
      </c>
      <c r="D19" s="7" t="s">
        <v>784</v>
      </c>
    </row>
    <row r="20" customFormat="false" ht="15" hidden="false" customHeight="true" outlineLevel="0" collapsed="false">
      <c r="A20" s="26" t="s">
        <v>785</v>
      </c>
      <c r="C20" s="42" t="n">
        <f aca="false">INDEX(fc_dep,C4)</f>
        <v>21524.3462952079</v>
      </c>
      <c r="D20" s="42" t="n">
        <f aca="false">INDEX(fc_dep,D4)</f>
        <v>19138.3925983638</v>
      </c>
      <c r="E20" s="42" t="n">
        <f aca="false">INDEX(fc_dep,E4)</f>
        <v>17017.7633030373</v>
      </c>
      <c r="F20" s="42" t="n">
        <f aca="false">INDEX(fc_dep,F4)</f>
        <v>15128.6677813858</v>
      </c>
      <c r="G20" s="42" t="n">
        <f aca="false">INDEX(fc_dep,G4)</f>
        <v>13442.3440033284</v>
      </c>
      <c r="H20" s="42" t="n">
        <f aca="false">INDEX(fc_dep,H4)</f>
        <v>11938.0939969082</v>
      </c>
      <c r="I20" s="42" t="n">
        <f aca="false">INDEX(fc_dep,I4)</f>
        <v>10586.6471052365</v>
      </c>
      <c r="J20" s="42" t="n">
        <f aca="false">INDEX(fc_dep,J4)</f>
        <v>9367.96202794934</v>
      </c>
      <c r="K20" s="42" t="n">
        <f aca="false">INDEX(fc_dep,K4)</f>
        <v>8268.75670764444</v>
      </c>
      <c r="L20" s="42" t="n">
        <f aca="false">INDEX(fc_dep,L4)</f>
        <v>7276.96948391162</v>
      </c>
      <c r="M20" s="42" t="n">
        <f aca="false">INDEX(fc_dep,M4)</f>
        <v>6380.36599311865</v>
      </c>
      <c r="N20" s="42" t="n">
        <f aca="false">INDEX(fc_dep,N4)</f>
        <v>5572.52271054499</v>
      </c>
      <c r="O20" s="42" t="n">
        <f aca="false">INDEX(fc_dep,O4)</f>
        <v>4845.23983528301</v>
      </c>
      <c r="P20" s="26" t="n">
        <f aca="false">INDEX(fc_dep,P4)</f>
        <v>4189.4394402732</v>
      </c>
      <c r="Q20" s="26" t="n">
        <f aca="false">INDEX(fc_dep,Q4)</f>
        <v>3597.66907658426</v>
      </c>
      <c r="R20" s="26" t="n">
        <f aca="false">INDEX(fc_dep,R4)</f>
        <v>3062.94689853343</v>
      </c>
      <c r="S20" s="26" t="n">
        <f aca="false">INDEX(fc_dep,S4)</f>
        <v>2578.6606937511</v>
      </c>
      <c r="T20" s="26" t="n">
        <f aca="false">INDEX(fc_dep,T4)</f>
        <v>2138.77569368177</v>
      </c>
      <c r="U20" s="26" t="n">
        <f aca="false">INDEX(fc_dep,U4)</f>
        <v>1737.7376478076</v>
      </c>
      <c r="V20" s="26" t="n">
        <f aca="false">INDEX(fc_dep,V4)</f>
        <v>1370.58045180612</v>
      </c>
      <c r="W20" s="26" t="n">
        <f aca="false">INDEX(fc_dep,W4)</f>
        <v>1032.89877901375</v>
      </c>
      <c r="X20" s="26" t="n">
        <f aca="false">INDEX(fc_dep,X4)</f>
        <v>720.69665022833</v>
      </c>
      <c r="Y20" s="26" t="n">
        <f aca="false">INDEX(fc_dep,Y4)</f>
        <v>430.548068410524</v>
      </c>
      <c r="Z20" s="26" t="n">
        <f aca="false">INDEX(fc_dep,Z4)</f>
        <v>159.377515108034</v>
      </c>
      <c r="AA20" s="26" t="n">
        <f aca="false">INDEX(fc_dep,AA4)</f>
        <v>-95.4467439497768</v>
      </c>
      <c r="AB20" s="26" t="n">
        <f aca="false">INDEX(fc_dep,AB4)</f>
        <v>-336.197627063454</v>
      </c>
      <c r="AC20" s="26" t="n">
        <f aca="false">INDEX(fc_dep,AC4)</f>
        <v>-564.788286982905</v>
      </c>
      <c r="AD20" s="26" t="n">
        <f aca="false">INDEX(fc_dep,AD4)</f>
        <v>-782.79741972577</v>
      </c>
      <c r="AE20" s="26" t="n">
        <f aca="false">INDEX(fc_dep,AE4)</f>
        <v>-991.502589241256</v>
      </c>
      <c r="AF20" s="26" t="n">
        <f aca="false">INDEX(fc_dep,AF4)</f>
        <v>-1191.85360581025</v>
      </c>
    </row>
    <row r="21" customFormat="false" ht="15" hidden="false" customHeight="true" outlineLevel="0" collapsed="false">
      <c r="A21" s="26" t="s">
        <v>786</v>
      </c>
      <c r="C21" s="42" t="n">
        <f aca="false">INDEX(fc_capex,C4)</f>
        <v>-479.463400980928</v>
      </c>
      <c r="D21" s="42" t="n">
        <f aca="false">INDEX(fc_capex,D4)</f>
        <v>-534.601692093735</v>
      </c>
      <c r="E21" s="42" t="n">
        <f aca="false">INDEX(fc_capex,E4)</f>
        <v>-586.057104957757</v>
      </c>
      <c r="F21" s="42" t="n">
        <f aca="false">INDEX(fc_capex,F4)</f>
        <v>-634.225138414235</v>
      </c>
      <c r="G21" s="42" t="n">
        <f aca="false">INDEX(fc_capex,G4)</f>
        <v>-679.661027330231</v>
      </c>
      <c r="H21" s="42" t="n">
        <f aca="false">INDEX(fc_capex,H4)</f>
        <v>-722.975824601986</v>
      </c>
      <c r="I21" s="42" t="n">
        <f aca="false">INDEX(fc_capex,I4)</f>
        <v>-764.763827263981</v>
      </c>
      <c r="J21" s="42" t="n">
        <f aca="false">INDEX(fc_capex,J4)</f>
        <v>-805.563977448515</v>
      </c>
      <c r="K21" s="42" t="n">
        <f aca="false">INDEX(fc_capex,K4)</f>
        <v>-845.850231960715</v>
      </c>
      <c r="L21" s="42" t="n">
        <f aca="false">INDEX(fc_capex,L4)</f>
        <v>-886.036576481169</v>
      </c>
      <c r="M21" s="42" t="n">
        <f aca="false">INDEX(fc_capex,M4)</f>
        <v>-926.466425466005</v>
      </c>
      <c r="N21" s="42" t="n">
        <f aca="false">INDEX(fc_capex,N4)</f>
        <v>-967.434770800111</v>
      </c>
      <c r="O21" s="42" t="n">
        <f aca="false">INDEX(fc_capex,O4)</f>
        <v>-1018.84007368354</v>
      </c>
      <c r="P21" s="26" t="n">
        <f aca="false">INDEX(fc_capex,P4)</f>
        <v>-1072.90543219371</v>
      </c>
      <c r="Q21" s="26" t="n">
        <f aca="false">INDEX(fc_capex,Q4)</f>
        <v>-1129.93020577965</v>
      </c>
      <c r="R21" s="26" t="n">
        <f aca="false">INDEX(fc_capex,R4)</f>
        <v>-1190.23691882988</v>
      </c>
      <c r="S21" s="26" t="n">
        <f aca="false">INDEX(fc_capex,S4)</f>
        <v>-1254.11146293596</v>
      </c>
      <c r="T21" s="26" t="n">
        <f aca="false">INDEX(fc_capex,T4)</f>
        <v>-1321.84774099898</v>
      </c>
      <c r="U21" s="26" t="n">
        <f aca="false">INDEX(fc_capex,U4)</f>
        <v>-1393.6864079873</v>
      </c>
      <c r="V21" s="26" t="n">
        <f aca="false">INDEX(fc_capex,V4)</f>
        <v>-1469.86008093994</v>
      </c>
      <c r="W21" s="26" t="n">
        <f aca="false">INDEX(fc_capex,W4)</f>
        <v>-1550.61973360765</v>
      </c>
      <c r="X21" s="26" t="n">
        <f aca="false">INDEX(fc_capex,X4)</f>
        <v>-1636.06912070471</v>
      </c>
      <c r="Y21" s="26" t="n">
        <f aca="false">INDEX(fc_capex,Y4)</f>
        <v>-1726.43641382137</v>
      </c>
      <c r="Z21" s="26" t="n">
        <f aca="false">INDEX(fc_capex,Z4)</f>
        <v>-1821.72739975069</v>
      </c>
      <c r="AA21" s="26" t="n">
        <f aca="false">INDEX(fc_capex,AA4)</f>
        <v>-1922.08452940758</v>
      </c>
      <c r="AB21" s="26" t="n">
        <f aca="false">INDEX(fc_capex,AB4)</f>
        <v>-2027.31259148878</v>
      </c>
      <c r="AC21" s="26" t="n">
        <f aca="false">INDEX(fc_capex,AC4)</f>
        <v>-2137.34507493969</v>
      </c>
      <c r="AD21" s="26" t="n">
        <f aca="false">INDEX(fc_capex,AD4)</f>
        <v>-2251.91480139378</v>
      </c>
      <c r="AE21" s="26" t="n">
        <f aca="false">INDEX(fc_capex,AE4)</f>
        <v>-2370.68655445359</v>
      </c>
      <c r="AF21" s="26" t="n">
        <f aca="false">INDEX(fc_capex,AF4)</f>
        <v>-2493.11962999434</v>
      </c>
    </row>
    <row r="22" customFormat="false" ht="15" hidden="false" customHeight="true" outlineLevel="0" collapsed="false">
      <c r="A22" s="26" t="s">
        <v>787</v>
      </c>
      <c r="C22" s="42" t="n">
        <f aca="false">(C10-(1+INDEX(finrate_infl,C4))*B10)-(C21-C20)</f>
        <v>89671.8401557422</v>
      </c>
      <c r="D22" s="42" t="n">
        <f aca="false">(D10-(1+INDEX(finrate_infl,D4))*C10)-(D21-D20)</f>
        <v>88274.7607428708</v>
      </c>
      <c r="E22" s="42" t="n">
        <f aca="false">(E10-(1+INDEX(finrate_infl,E4))*D10)-(E21-E20)</f>
        <v>86553.9176479938</v>
      </c>
      <c r="F22" s="42" t="n">
        <f aca="false">(F10-(1+INDEX(finrate_infl,F4))*E10)-(F21-F20)</f>
        <v>85033.0089235303</v>
      </c>
      <c r="G22" s="42" t="n">
        <f aca="false">(G10-(1+INDEX(finrate_infl,G4))*F10)-(G21-G20)</f>
        <v>84069.2360984448</v>
      </c>
      <c r="H22" s="42" t="n">
        <f aca="false">(H10-(1+INDEX(finrate_infl,H4))*G10)-(H21-H20)</f>
        <v>83668.6590212219</v>
      </c>
      <c r="I22" s="42" t="n">
        <f aca="false">(I10-(1+INDEX(finrate_infl,I4))*H10)-(I21-I20)</f>
        <v>84682.9654404732</v>
      </c>
      <c r="J22" s="42" t="n">
        <f aca="false">(J10-(1+INDEX(finrate_infl,J4))*I10)-(J21-J20)</f>
        <v>87065.6433957107</v>
      </c>
      <c r="K22" s="42" t="n">
        <f aca="false">(K10-(1+INDEX(finrate_infl,K4))*J10)-(K21-K20)</f>
        <v>90570.2833807665</v>
      </c>
      <c r="L22" s="42" t="n">
        <f aca="false">(L10-(1+INDEX(finrate_infl,L4))*K10)-(L21-L20)</f>
        <v>95252.322419815</v>
      </c>
      <c r="M22" s="42" t="n">
        <f aca="false">(M10-(1+INDEX(finrate_infl,M4))*L10)-(M21-M20)</f>
        <v>101420.612118921</v>
      </c>
      <c r="N22" s="42" t="n">
        <f aca="false">(N10-(1+INDEX(finrate_infl,N4))*M10)-(N21-N20)</f>
        <v>108210.252973637</v>
      </c>
      <c r="O22" s="42" t="n">
        <f aca="false">(O10-(1+INDEX(finrate_infl,O4))*N10)-(O21-O20)</f>
        <v>43760.1555595561</v>
      </c>
      <c r="P22" s="26" t="n">
        <f aca="false">(P10-(1+INDEX(finrate_infl,P4))*O10)-(P21-P20)</f>
        <v>44975.6749054651</v>
      </c>
      <c r="Q22" s="26" t="n">
        <f aca="false">(Q10-(1+INDEX(finrate_infl,Q4))*P10)-(Q21-Q20)</f>
        <v>46348.6576961621</v>
      </c>
      <c r="R22" s="26" t="n">
        <f aca="false">(R10-(1+INDEX(finrate_infl,R4))*Q10)-(R21-R20)</f>
        <v>47882.8167601435</v>
      </c>
      <c r="S22" s="26" t="n">
        <f aca="false">(S10-(1+INDEX(finrate_infl,S4))*R10)-(S21-S20)</f>
        <v>49580.6465780752</v>
      </c>
      <c r="T22" s="26" t="n">
        <f aca="false">(T10-(1+INDEX(finrate_infl,T4))*S10)-(T21-T20)</f>
        <v>51445.3314749485</v>
      </c>
      <c r="U22" s="26" t="n">
        <f aca="false">(U10-(1+INDEX(finrate_infl,U4))*T10)-(U21-U20)</f>
        <v>53478.3697107697</v>
      </c>
      <c r="V22" s="26" t="n">
        <f aca="false">(V10-(1+INDEX(finrate_infl,V4))*U10)-(V21-V20)</f>
        <v>55681.4006628592</v>
      </c>
      <c r="W22" s="26" t="n">
        <f aca="false">(W10-(1+INDEX(finrate_infl,W4))*V10)-(W21-W20)</f>
        <v>58057.1570321926</v>
      </c>
      <c r="X22" s="26" t="n">
        <f aca="false">(X10-(1+INDEX(finrate_infl,X4))*W10)-(X21-X20)</f>
        <v>60603.2389647983</v>
      </c>
      <c r="Y22" s="26" t="n">
        <f aca="false">(Y10-(1+INDEX(finrate_infl,Y4))*X10)-(Y21-Y20)</f>
        <v>63322.2991751119</v>
      </c>
      <c r="Z22" s="26" t="n">
        <f aca="false">(Z10-(1+INDEX(finrate_infl,Z4))*Y10)-(Z21-Z20)</f>
        <v>66209.1432710586</v>
      </c>
      <c r="AA22" s="26" t="n">
        <f aca="false">(AA10-(1+INDEX(finrate_infl,AA4))*Z10)-(AA21-AA20)</f>
        <v>69263.9715526996</v>
      </c>
      <c r="AB22" s="26" t="n">
        <f aca="false">(AB10-(1+INDEX(finrate_infl,AB4))*AA10)-(AB21-AB20)</f>
        <v>72475.141993311</v>
      </c>
      <c r="AC22" s="26" t="n">
        <f aca="false">(AC10-(1+INDEX(finrate_infl,AC4))*AB10)-(AC21-AC20)</f>
        <v>75836.1287883309</v>
      </c>
      <c r="AD22" s="26" t="n">
        <f aca="false">(AD10-(1+INDEX(finrate_infl,AD4))*AC10)-(AD21-AD20)</f>
        <v>79333.6687844943</v>
      </c>
      <c r="AE22" s="26" t="n">
        <f aca="false">(AE10-(1+INDEX(finrate_infl,AE4))*AD10)-(AE21-AE20)</f>
        <v>82952.5921310379</v>
      </c>
      <c r="AF22" s="26" t="n">
        <f aca="false">(AF10-(1+INDEX(finrate_infl,AF4))*AE10)-(AF21-AF20)</f>
        <v>86671.0593432585</v>
      </c>
    </row>
    <row r="23" customFormat="false" ht="15" hidden="false" customHeight="true" outlineLevel="0" collapsed="false">
      <c r="A23" s="26" t="s">
        <v>788</v>
      </c>
      <c r="C23" s="42" t="n">
        <f aca="false">C8-(C10-(1+INDEX(finrate_infl,C4))*B10)</f>
        <v>36869.0651657211</v>
      </c>
      <c r="D23" s="42" t="n">
        <f aca="false">D8-(D10-(1+INDEX(finrate_infl,D4))*C10)</f>
        <v>49259.1077452793</v>
      </c>
      <c r="E23" s="42" t="n">
        <f aca="false">E8-(E10-(1+INDEX(finrate_infl,E4))*D10)</f>
        <v>61670.7796335861</v>
      </c>
      <c r="F23" s="42" t="n">
        <f aca="false">F8-(F10-(1+INDEX(finrate_infl,F4))*E10)</f>
        <v>73542.9070161059</v>
      </c>
      <c r="G23" s="42" t="n">
        <f aca="false">G8-(G10-(1+INDEX(finrate_infl,G4))*F10)</f>
        <v>84536.23279991</v>
      </c>
      <c r="H23" s="42" t="n">
        <f aca="false">H8-(H10-(1+INDEX(finrate_infl,H4))*G10)</f>
        <v>94696.5882334552</v>
      </c>
      <c r="I23" s="42" t="n">
        <f aca="false">I8-(I10-(1+INDEX(finrate_infl,I4))*H10)</f>
        <v>103254.559145295</v>
      </c>
      <c r="J23" s="42" t="n">
        <f aca="false">J8-(J10-(1+INDEX(finrate_infl,J4))*I10)</f>
        <v>110322.763093299</v>
      </c>
      <c r="K23" s="42" t="n">
        <f aca="false">K8-(K10-(1+INDEX(finrate_infl,K4))*J10)</f>
        <v>115705.031459595</v>
      </c>
      <c r="L23" s="42" t="n">
        <f aca="false">L8-(L10-(1+INDEX(finrate_infl,L4))*K10)</f>
        <v>119481.332753024</v>
      </c>
      <c r="M23" s="42" t="n">
        <f aca="false">M8-(M10-(1+INDEX(finrate_infl,M4))*L10)</f>
        <v>123039.404112219</v>
      </c>
      <c r="N23" s="42" t="n">
        <f aca="false">N8-(N10-(1+INDEX(finrate_infl,N4))*M10)</f>
        <v>126128.175633028</v>
      </c>
      <c r="O23" s="42" t="n">
        <f aca="false">O8-(O10-(1+INDEX(finrate_infl,O4))*N10)</f>
        <v>46117.5499999826</v>
      </c>
      <c r="P23" s="26" t="n">
        <f aca="false">P8-(P10-(1+INDEX(finrate_infl,P4))*O10)</f>
        <v>50143.6030069406</v>
      </c>
      <c r="Q23" s="26" t="n">
        <f aca="false">Q8-(Q10-(1+INDEX(finrate_infl,Q4))*P10)</f>
        <v>51587.2249983945</v>
      </c>
      <c r="R23" s="26" t="n">
        <f aca="false">R8-(R10-(1+INDEX(finrate_infl,R4))*Q10)</f>
        <v>52877.8883982667</v>
      </c>
      <c r="S23" s="26" t="n">
        <f aca="false">S8-(S10-(1+INDEX(finrate_infl,S4))*R10)</f>
        <v>54814.858763074</v>
      </c>
      <c r="T23" s="26" t="n">
        <f aca="false">T8-(T10-(1+INDEX(finrate_infl,T4))*S10)</f>
        <v>57093.9707141282</v>
      </c>
      <c r="U23" s="26" t="n">
        <f aca="false">U8-(U10-(1+INDEX(finrate_infl,U4))*T10)</f>
        <v>59803.3491751095</v>
      </c>
      <c r="V23" s="26" t="n">
        <f aca="false">V8-(V10-(1+INDEX(finrate_infl,V4))*U10)</f>
        <v>63034.3861803967</v>
      </c>
      <c r="W23" s="26" t="n">
        <f aca="false">W8-(W10-(1+INDEX(finrate_infl,W4))*V10)</f>
        <v>68314.6080037787</v>
      </c>
      <c r="X23" s="26" t="n">
        <f aca="false">X8-(X10-(1+INDEX(finrate_infl,X4))*W10)</f>
        <v>72103.6649948079</v>
      </c>
      <c r="Y23" s="26" t="n">
        <f aca="false">Y8-(Y10-(1+INDEX(finrate_infl,Y4))*X10)</f>
        <v>76203.9290362244</v>
      </c>
      <c r="Z23" s="26" t="n">
        <f aca="false">Z8-(Z10-(1+INDEX(finrate_infl,Z4))*Y10)</f>
        <v>80634.5046577613</v>
      </c>
      <c r="AA23" s="26" t="n">
        <f aca="false">AA8-(AA10-(1+INDEX(finrate_infl,AA4))*Z10)</f>
        <v>85424.8025382743</v>
      </c>
      <c r="AB23" s="26" t="n">
        <f aca="false">AB8-(AB10-(1+INDEX(finrate_infl,AB4))*AA10)</f>
        <v>90635.8713109813</v>
      </c>
      <c r="AC23" s="26" t="n">
        <f aca="false">AC8-(AC10-(1+INDEX(finrate_infl,AC4))*AB10)</f>
        <v>96220.6470054715</v>
      </c>
      <c r="AD23" s="26" t="n">
        <f aca="false">AD8-(AD10-(1+INDEX(finrate_infl,AD4))*AC10)</f>
        <v>102222.899629358</v>
      </c>
      <c r="AE23" s="26" t="n">
        <f aca="false">AE8-(AE10-(1+INDEX(finrate_infl,AE4))*AD10)</f>
        <v>108652.546437889</v>
      </c>
      <c r="AF23" s="26" t="n">
        <f aca="false">AF8-(AF10-(1+INDEX(finrate_infl,AF4))*AE10)</f>
        <v>115502.541685625</v>
      </c>
    </row>
    <row r="24" customFormat="false" ht="15" hidden="false" customHeight="true" outlineLevel="0" collapsed="false">
      <c r="A24" s="26" t="s">
        <v>789</v>
      </c>
      <c r="C24" s="42" t="n">
        <f aca="false">C7-(C9-(1+INDEX(finrate_infl,C4))*B9)</f>
        <v>85367.7243394874</v>
      </c>
      <c r="D24" s="42" t="n">
        <f aca="false">D7-(D9-(1+INDEX(finrate_infl,D4))*C9)</f>
        <v>64599.4218234952</v>
      </c>
      <c r="E24" s="42" t="n">
        <f aca="false">E7-(E9-(1+INDEX(finrate_infl,E4))*D9)</f>
        <v>76463.9513461586</v>
      </c>
      <c r="F24" s="42" t="n">
        <f aca="false">F7-(F9-(1+INDEX(finrate_infl,F4))*E9)</f>
        <v>87692.2612156547</v>
      </c>
      <c r="G24" s="42" t="n">
        <f aca="false">G7-(G9-(1+INDEX(finrate_infl,G4))*F9)</f>
        <v>98047.8836616359</v>
      </c>
      <c r="H24" s="42" t="n">
        <f aca="false">H7-(H9-(1+INDEX(finrate_infl,H4))*G9)</f>
        <v>107509.532493508</v>
      </c>
      <c r="I24" s="42" t="n">
        <f aca="false">I7-(I9-(1+INDEX(finrate_infl,I4))*H9)</f>
        <v>115509.870517043</v>
      </c>
      <c r="J24" s="42" t="n">
        <f aca="false">J7-(J9-(1+INDEX(finrate_infl,J4))*I9)</f>
        <v>122147.697524261</v>
      </c>
      <c r="K24" s="42" t="n">
        <f aca="false">K7-(K9-(1+INDEX(finrate_infl,K4))*J9)</f>
        <v>127233.244698263</v>
      </c>
      <c r="L24" s="42" t="n">
        <f aca="false">L7-(L9-(1+INDEX(finrate_infl,L4))*K9)</f>
        <v>130902.449297325</v>
      </c>
      <c r="M24" s="42" t="n">
        <f aca="false">M7-(M9-(1+INDEX(finrate_infl,M4))*L9)</f>
        <v>134598.913453619</v>
      </c>
      <c r="N24" s="42" t="n">
        <f aca="false">N7-(N9-(1+INDEX(finrate_infl,N4))*M9)</f>
        <v>137866.375637186</v>
      </c>
      <c r="O24" s="42" t="n">
        <f aca="false">O7-(O9-(1+INDEX(finrate_infl,O4))*N9)</f>
        <v>-111434.927057106</v>
      </c>
      <c r="P24" s="26" t="n">
        <f aca="false">P7-(P9-(1+INDEX(finrate_infl,P4))*O9)</f>
        <v>45543.6767758288</v>
      </c>
      <c r="Q24" s="26" t="n">
        <f aca="false">Q7-(Q9-(1+INDEX(finrate_infl,Q4))*P9)</f>
        <v>46615.4671374802</v>
      </c>
      <c r="R24" s="26" t="n">
        <f aca="false">R7-(R9-(1+INDEX(finrate_infl,R4))*Q9)</f>
        <v>47587.7280353845</v>
      </c>
      <c r="S24" s="26" t="n">
        <f aca="false">S7-(S9-(1+INDEX(finrate_infl,S4))*R9)</f>
        <v>49254.9362106185</v>
      </c>
      <c r="T24" s="26" t="n">
        <f aca="false">T7-(T9-(1+INDEX(finrate_infl,T4))*S9)</f>
        <v>51307.2891287591</v>
      </c>
      <c r="U24" s="26" t="n">
        <f aca="false">U7-(U9-(1+INDEX(finrate_infl,U4))*T9)</f>
        <v>53825.5937132015</v>
      </c>
      <c r="V24" s="26" t="n">
        <f aca="false">V7-(V9-(1+INDEX(finrate_infl,V4))*U9)</f>
        <v>56893.60475761</v>
      </c>
      <c r="W24" s="26" t="n">
        <f aca="false">W7-(W9-(1+INDEX(finrate_infl,W4))*V9)</f>
        <v>62052.8293347692</v>
      </c>
      <c r="X24" s="26" t="n">
        <f aca="false">X7-(X9-(1+INDEX(finrate_infl,X4))*W9)</f>
        <v>65742.6756462487</v>
      </c>
      <c r="Y24" s="26" t="n">
        <f aca="false">Y7-(Y9-(1+INDEX(finrate_infl,Y4))*X9)</f>
        <v>69759.2928548132</v>
      </c>
      <c r="Z24" s="26" t="n">
        <f aca="false">Z7-(Z9-(1+INDEX(finrate_infl,Z4))*Y9)</f>
        <v>74115.2140440792</v>
      </c>
      <c r="AA24" s="26" t="n">
        <f aca="false">AA7-(AA9-(1+INDEX(finrate_infl,AA4))*Z9)</f>
        <v>78828.6807736996</v>
      </c>
      <c r="AB24" s="26" t="n">
        <f aca="false">AB7-(AB9-(1+INDEX(finrate_infl,AB4))*AA9)</f>
        <v>83946.8082150724</v>
      </c>
      <c r="AC24" s="26" t="n">
        <f aca="false">AC7-(AC9-(1+INDEX(finrate_infl,AC4))*AB9)</f>
        <v>89405.52782395</v>
      </c>
      <c r="AD24" s="26" t="n">
        <f aca="false">AD7-(AD9-(1+INDEX(finrate_infl,AD4))*AC9)</f>
        <v>95228.9695665106</v>
      </c>
      <c r="AE24" s="26" t="n">
        <f aca="false">AE7-(AE9-(1+INDEX(finrate_infl,AE4))*AD9)</f>
        <v>101412.318150533</v>
      </c>
      <c r="AF24" s="26" t="n">
        <f aca="false">AF7-(AF9-(1+INDEX(finrate_infl,AF4))*AE9)</f>
        <v>107943.186039252</v>
      </c>
    </row>
    <row r="25" customFormat="false" ht="15" hidden="false" customHeight="true" outlineLevel="0" collapsed="false">
      <c r="A25" s="26" t="s">
        <v>790</v>
      </c>
      <c r="C25" s="42" t="n">
        <f aca="false">C12-(C11-(1+INDEX(finrate_infl,C4))*B11)</f>
        <v>-48498.6591737663</v>
      </c>
      <c r="D25" s="42" t="n">
        <f aca="false">D12-(D11-(1+INDEX(finrate_infl,D4))*C11)</f>
        <v>-15340.3140782159</v>
      </c>
      <c r="E25" s="42" t="n">
        <f aca="false">E12-(E11-(1+INDEX(finrate_infl,E4))*D11)</f>
        <v>-14793.1717125725</v>
      </c>
      <c r="F25" s="42" t="n">
        <f aca="false">F12-(F11-(1+INDEX(finrate_infl,F4))*E11)</f>
        <v>-14149.3541995487</v>
      </c>
      <c r="G25" s="42" t="n">
        <f aca="false">G12-(G11-(1+INDEX(finrate_infl,G4))*F11)</f>
        <v>-13511.6508617259</v>
      </c>
      <c r="H25" s="42" t="n">
        <f aca="false">H12-(H11-(1+INDEX(finrate_infl,H4))*G11)</f>
        <v>-12812.944260053</v>
      </c>
      <c r="I25" s="42" t="n">
        <f aca="false">I12-(I11-(1+INDEX(finrate_infl,I4))*H11)</f>
        <v>-12255.3113717478</v>
      </c>
      <c r="J25" s="42" t="n">
        <f aca="false">J12-(J11-(1+INDEX(finrate_infl,J4))*I11)</f>
        <v>-11824.9344309619</v>
      </c>
      <c r="K25" s="42" t="n">
        <f aca="false">K12-(K11-(1+INDEX(finrate_infl,K4))*J11)</f>
        <v>-11528.2132386681</v>
      </c>
      <c r="L25" s="42" t="n">
        <f aca="false">L12-(L11-(1+INDEX(finrate_infl,L4))*K11)</f>
        <v>-11421.1165443001</v>
      </c>
      <c r="M25" s="42" t="n">
        <f aca="false">M12-(M11-(1+INDEX(finrate_infl,M4))*L11)</f>
        <v>-11559.5093414007</v>
      </c>
      <c r="N25" s="42" t="n">
        <f aca="false">N12-(N11-(1+INDEX(finrate_infl,N4))*M11)</f>
        <v>-11738.2000041588</v>
      </c>
      <c r="O25" s="42" t="n">
        <f aca="false">O12-(O11-(1+INDEX(finrate_infl,O4))*N11)</f>
        <v>157552.477057089</v>
      </c>
      <c r="P25" s="26" t="n">
        <f aca="false">P12-(P11-(1+INDEX(finrate_infl,P4))*O11)</f>
        <v>4599.9262311119</v>
      </c>
      <c r="Q25" s="26" t="n">
        <f aca="false">Q12-(Q11-(1+INDEX(finrate_infl,Q4))*P11)</f>
        <v>4971.75786091434</v>
      </c>
      <c r="R25" s="26" t="n">
        <f aca="false">R12-(R11-(1+INDEX(finrate_infl,R4))*Q11)</f>
        <v>5290.16036288219</v>
      </c>
      <c r="S25" s="26" t="n">
        <f aca="false">S12-(S11-(1+INDEX(finrate_infl,S4))*R11)</f>
        <v>5559.92255245532</v>
      </c>
      <c r="T25" s="26" t="n">
        <f aca="false">T12-(T11-(1+INDEX(finrate_infl,T4))*S11)</f>
        <v>5786.6815853697</v>
      </c>
      <c r="U25" s="26" t="n">
        <f aca="false">U12-(U11-(1+INDEX(finrate_infl,U4))*T11)</f>
        <v>5977.75546190773</v>
      </c>
      <c r="V25" s="26" t="n">
        <f aca="false">V12-(V11-(1+INDEX(finrate_infl,V4))*U11)</f>
        <v>6140.781422787</v>
      </c>
      <c r="W25" s="26" t="n">
        <f aca="false">W12-(W11-(1+INDEX(finrate_infl,W4))*V11)</f>
        <v>6261.77866900982</v>
      </c>
      <c r="X25" s="26" t="n">
        <f aca="false">X12-(X11-(1+INDEX(finrate_infl,X4))*W11)</f>
        <v>6360.98934855884</v>
      </c>
      <c r="Y25" s="26" t="n">
        <f aca="false">Y12-(Y11-(1+INDEX(finrate_infl,Y4))*X11)</f>
        <v>6444.63618141072</v>
      </c>
      <c r="Z25" s="26" t="n">
        <f aca="false">Z12-(Z11-(1+INDEX(finrate_infl,Z4))*Y11)</f>
        <v>6519.29061368216</v>
      </c>
      <c r="AA25" s="26" t="n">
        <f aca="false">AA12-(AA11-(1+INDEX(finrate_infl,AA4))*Z11)</f>
        <v>6596.12176457487</v>
      </c>
      <c r="AB25" s="26" t="n">
        <f aca="false">AB12-(AB11-(1+INDEX(finrate_infl,AB4))*AA11)</f>
        <v>6689.06309590879</v>
      </c>
      <c r="AC25" s="26" t="n">
        <f aca="false">AC12-(AC11-(1+INDEX(finrate_infl,AC4))*AB11)</f>
        <v>6815.11918152156</v>
      </c>
      <c r="AD25" s="26" t="n">
        <f aca="false">AD12-(AD11-(1+INDEX(finrate_infl,AD4))*AC11)</f>
        <v>6993.93006284817</v>
      </c>
      <c r="AE25" s="26" t="n">
        <f aca="false">AE12-(AE11-(1+INDEX(finrate_infl,AE4))*AD11)</f>
        <v>7240.22828735621</v>
      </c>
      <c r="AF25" s="26" t="n">
        <f aca="false">AF12-(AF11-(1+INDEX(finrate_infl,AF4))*AE11)</f>
        <v>7559.35564637254</v>
      </c>
    </row>
    <row r="27" customFormat="false" ht="15" hidden="false" customHeight="true" outlineLevel="0" collapsed="false">
      <c r="A27" s="26" t="s">
        <v>791</v>
      </c>
      <c r="C27" s="42" t="n">
        <f aca="false">C7-(C5-INDEX(finrate_infl,C4))*B9</f>
        <v>88784.8887646841</v>
      </c>
      <c r="D27" s="42" t="n">
        <f aca="false">D7-(D5-INDEX(finrate_infl,D4))*C9</f>
        <v>98046.7435951122</v>
      </c>
      <c r="E27" s="42" t="n">
        <f aca="false">E7-(E5-INDEX(finrate_infl,E4))*D9</f>
        <v>104974.240061247</v>
      </c>
      <c r="F27" s="42" t="n">
        <f aca="false">F7-(F5-INDEX(finrate_infl,F4))*E9</f>
        <v>112263.205528425</v>
      </c>
      <c r="G27" s="42" t="n">
        <f aca="false">G7-(G5-INDEX(finrate_infl,G4))*F9</f>
        <v>118501.313430526</v>
      </c>
      <c r="H27" s="42" t="n">
        <f aca="false">H7-(H5-INDEX(finrate_infl,H4))*G9</f>
        <v>124027.108254074</v>
      </c>
      <c r="I27" s="42" t="n">
        <f aca="false">I7-(I5-INDEX(finrate_infl,I4))*H9</f>
        <v>128934.603697765</v>
      </c>
      <c r="J27" s="42" t="n">
        <f aca="false">J7-(J5-INDEX(finrate_infl,J4))*I9</f>
        <v>133705.093119651</v>
      </c>
      <c r="K27" s="42" t="n">
        <f aca="false">K7-(K5-INDEX(finrate_infl,K4))*J9</f>
        <v>137611.263187401</v>
      </c>
      <c r="L27" s="42" t="n">
        <f aca="false">L7-(L5-INDEX(finrate_infl,L4))*K9</f>
        <v>141224.456486641</v>
      </c>
      <c r="M27" s="42" t="n">
        <f aca="false">M7-(M5-INDEX(finrate_infl,M4))*L9</f>
        <v>146043.784817271</v>
      </c>
      <c r="N27" s="42" t="n">
        <f aca="false">N7-(N5-INDEX(finrate_infl,N4))*M9</f>
        <v>150502.511475478</v>
      </c>
      <c r="O27" s="42" t="n">
        <f aca="false">O7-(O5-INDEX(finrate_infl,O4))*N9</f>
        <v>0</v>
      </c>
      <c r="P27" s="26" t="n">
        <f aca="false">P7-(P5-INDEX(finrate_infl,P4))*O9</f>
        <v>0</v>
      </c>
      <c r="Q27" s="26" t="n">
        <f aca="false">Q7-(Q5-INDEX(finrate_infl,Q4))*P9</f>
        <v>0</v>
      </c>
      <c r="R27" s="26" t="n">
        <f aca="false">R7-(R5-INDEX(finrate_infl,R4))*Q9</f>
        <v>0</v>
      </c>
      <c r="S27" s="26" t="n">
        <f aca="false">S7-(S5-INDEX(finrate_infl,S4))*R9</f>
        <v>0</v>
      </c>
      <c r="T27" s="26" t="n">
        <f aca="false">T7-(T5-INDEX(finrate_infl,T4))*S9</f>
        <v>0</v>
      </c>
      <c r="U27" s="26" t="n">
        <f aca="false">U7-(U5-INDEX(finrate_infl,U4))*T9</f>
        <v>0</v>
      </c>
      <c r="V27" s="26" t="n">
        <f aca="false">V7-(V5-INDEX(finrate_infl,V4))*U9</f>
        <v>0</v>
      </c>
      <c r="W27" s="26" t="n">
        <f aca="false">W7-(W5-INDEX(finrate_infl,W4))*V9</f>
        <v>0</v>
      </c>
      <c r="X27" s="26" t="n">
        <f aca="false">X7-(X5-INDEX(finrate_infl,X4))*W9</f>
        <v>0</v>
      </c>
      <c r="Y27" s="26" t="n">
        <f aca="false">Y7-(Y5-INDEX(finrate_infl,Y4))*X9</f>
        <v>0</v>
      </c>
      <c r="Z27" s="26" t="n">
        <f aca="false">Z7-(Z5-INDEX(finrate_infl,Z4))*Y9</f>
        <v>0</v>
      </c>
      <c r="AA27" s="26" t="n">
        <f aca="false">AA7-(AA5-INDEX(finrate_infl,AA4))*Z9</f>
        <v>0</v>
      </c>
      <c r="AB27" s="26" t="n">
        <f aca="false">AB7-(AB5-INDEX(finrate_infl,AB4))*AA9</f>
        <v>0</v>
      </c>
      <c r="AC27" s="26" t="n">
        <f aca="false">AC7-(AC5-INDEX(finrate_infl,AC4))*AB9</f>
        <v>0</v>
      </c>
      <c r="AD27" s="26" t="n">
        <f aca="false">AD7-(AD5-INDEX(finrate_infl,AD4))*AC9</f>
        <v>0</v>
      </c>
      <c r="AE27" s="26" t="n">
        <f aca="false">AE7-(AE5-INDEX(finrate_infl,AE4))*AD9</f>
        <v>0</v>
      </c>
      <c r="AF27" s="26" t="n">
        <f aca="false">AF7-(AF5-INDEX(finrate_infl,AF4))*AE9</f>
        <v>0</v>
      </c>
    </row>
    <row r="28" customFormat="false" ht="15" hidden="false" customHeight="true" outlineLevel="0" collapsed="false">
      <c r="A28" s="26" t="s">
        <v>792</v>
      </c>
      <c r="C28" s="42" t="n">
        <f aca="false">C8-(C14-INDEX(finrate_infl,C4))*B10</f>
        <v>88784.8887646841</v>
      </c>
      <c r="D28" s="42" t="n">
        <f aca="false">D8-(D14-INDEX(finrate_infl,D4))*C10</f>
        <v>98046.7435951123</v>
      </c>
      <c r="E28" s="42" t="n">
        <f aca="false">E8-(E14-INDEX(finrate_infl,E4))*D10</f>
        <v>104974.240061247</v>
      </c>
      <c r="F28" s="42" t="n">
        <f aca="false">F8-(F14-INDEX(finrate_infl,F4))*E10</f>
        <v>112263.205528425</v>
      </c>
      <c r="G28" s="42" t="n">
        <f aca="false">G8-(G14-INDEX(finrate_infl,G4))*F10</f>
        <v>118501.313430526</v>
      </c>
      <c r="H28" s="42" t="n">
        <f aca="false">H8-(H14-INDEX(finrate_infl,H4))*G10</f>
        <v>124027.108254074</v>
      </c>
      <c r="I28" s="42" t="n">
        <f aca="false">I8-(I14-INDEX(finrate_infl,I4))*H10</f>
        <v>128934.603697766</v>
      </c>
      <c r="J28" s="42" t="n">
        <f aca="false">J8-(J14-INDEX(finrate_infl,J4))*I10</f>
        <v>133705.093119651</v>
      </c>
      <c r="K28" s="42" t="n">
        <f aca="false">K8-(K14-INDEX(finrate_infl,K4))*J10</f>
        <v>137611.263187401</v>
      </c>
      <c r="L28" s="42" t="n">
        <f aca="false">L8-(L14-INDEX(finrate_infl,L4))*K10</f>
        <v>141224.456486641</v>
      </c>
      <c r="M28" s="42" t="n">
        <f aca="false">M8-(M14-INDEX(finrate_infl,M4))*L10</f>
        <v>146043.784817271</v>
      </c>
      <c r="N28" s="42" t="n">
        <f aca="false">N8-(N14-INDEX(finrate_infl,N4))*M10</f>
        <v>150502.511475478</v>
      </c>
      <c r="O28" s="42" t="n">
        <f aca="false">O8-(O14-INDEX(finrate_infl,O4))*N10</f>
        <v>0</v>
      </c>
      <c r="P28" s="26" t="n">
        <f aca="false">P8-(P14-INDEX(finrate_infl,P4))*O10</f>
        <v>0</v>
      </c>
      <c r="Q28" s="26" t="n">
        <f aca="false">Q8-(Q14-INDEX(finrate_infl,Q4))*P10</f>
        <v>0</v>
      </c>
      <c r="R28" s="26" t="n">
        <f aca="false">R8-(R14-INDEX(finrate_infl,R4))*Q10</f>
        <v>0</v>
      </c>
      <c r="S28" s="26" t="n">
        <f aca="false">S8-(S14-INDEX(finrate_infl,S4))*R10</f>
        <v>0</v>
      </c>
      <c r="T28" s="26" t="n">
        <f aca="false">T8-(T14-INDEX(finrate_infl,T4))*S10</f>
        <v>0</v>
      </c>
      <c r="U28" s="26" t="n">
        <f aca="false">U8-(U14-INDEX(finrate_infl,U4))*T10</f>
        <v>0</v>
      </c>
      <c r="V28" s="26" t="n">
        <f aca="false">V8-(V14-INDEX(finrate_infl,V4))*U10</f>
        <v>0</v>
      </c>
      <c r="W28" s="26" t="n">
        <f aca="false">W8-(W14-INDEX(finrate_infl,W4))*V10</f>
        <v>0</v>
      </c>
      <c r="X28" s="26" t="n">
        <f aca="false">X8-(X14-INDEX(finrate_infl,X4))*W10</f>
        <v>0</v>
      </c>
      <c r="Y28" s="26" t="n">
        <f aca="false">Y8-(Y14-INDEX(finrate_infl,Y4))*X10</f>
        <v>0</v>
      </c>
      <c r="Z28" s="26" t="n">
        <f aca="false">Z8-(Z14-INDEX(finrate_infl,Z4))*Y10</f>
        <v>0</v>
      </c>
      <c r="AA28" s="26" t="n">
        <f aca="false">AA8-(AA14-INDEX(finrate_infl,AA4))*Z10</f>
        <v>0</v>
      </c>
      <c r="AB28" s="26" t="n">
        <f aca="false">AB8-(AB14-INDEX(finrate_infl,AB4))*AA10</f>
        <v>0</v>
      </c>
      <c r="AC28" s="26" t="n">
        <f aca="false">AC8-(AC14-INDEX(finrate_infl,AC4))*AB10</f>
        <v>0</v>
      </c>
      <c r="AD28" s="26" t="n">
        <f aca="false">AD8-(AD14-INDEX(finrate_infl,AD4))*AC10</f>
        <v>0</v>
      </c>
      <c r="AE28" s="26" t="n">
        <f aca="false">AE8-(AE14-INDEX(finrate_infl,AE4))*AD10</f>
        <v>0</v>
      </c>
      <c r="AF28" s="26" t="n">
        <f aca="false">AF8-(AF14-INDEX(finrate_infl,AF4))*AE10</f>
        <v>0</v>
      </c>
    </row>
    <row r="29" customFormat="false" ht="15" hidden="false" customHeight="true" outlineLevel="0" collapsed="false">
      <c r="A29" s="26" t="s">
        <v>793</v>
      </c>
      <c r="C29" s="42" t="n">
        <f aca="false">C12-(C6-INDEX(finrate_infl,C4))*B11</f>
        <v>0</v>
      </c>
      <c r="D29" s="42" t="n">
        <f aca="false">D12-(D6-INDEX(finrate_infl,D4))*C11</f>
        <v>2.86490831058472E-011</v>
      </c>
      <c r="E29" s="42" t="n">
        <f aca="false">E12-(E6-INDEX(finrate_infl,E4))*D11</f>
        <v>0</v>
      </c>
      <c r="F29" s="42" t="n">
        <f aca="false">F12-(F6-INDEX(finrate_infl,F4))*E11</f>
        <v>1.36424205265939E-011</v>
      </c>
      <c r="G29" s="42" t="n">
        <f aca="false">G12-(G6-INDEX(finrate_infl,G4))*F11</f>
        <v>-2.91038304567337E-011</v>
      </c>
      <c r="H29" s="42" t="n">
        <f aca="false">H12-(H6-INDEX(finrate_infl,H4))*G11</f>
        <v>0</v>
      </c>
      <c r="I29" s="42" t="n">
        <f aca="false">I12-(I6-INDEX(finrate_infl,I4))*H11</f>
        <v>7.36690708436072E-011</v>
      </c>
      <c r="J29" s="42" t="n">
        <f aca="false">J12-(J6-INDEX(finrate_infl,J4))*I11</f>
        <v>0</v>
      </c>
      <c r="K29" s="42" t="n">
        <f aca="false">K12-(K6-INDEX(finrate_infl,K4))*J11</f>
        <v>4.18367562815547E-011</v>
      </c>
      <c r="L29" s="42" t="n">
        <f aca="false">L12-(L6-INDEX(finrate_infl,L4))*K11</f>
        <v>0</v>
      </c>
      <c r="M29" s="42" t="n">
        <f aca="false">M12-(M6-INDEX(finrate_infl,M4))*L11</f>
        <v>0</v>
      </c>
      <c r="N29" s="42" t="n">
        <f aca="false">N12-(N6-INDEX(finrate_infl,N4))*M11</f>
        <v>0</v>
      </c>
      <c r="O29" s="42" t="n">
        <f aca="false">O12-(O6-INDEX(finrate_infl,O4))*N11</f>
        <v>0</v>
      </c>
      <c r="P29" s="26" t="n">
        <f aca="false">P12-(P6-INDEX(finrate_infl,P4))*O11</f>
        <v>0</v>
      </c>
      <c r="Q29" s="26" t="n">
        <f aca="false">Q12-(Q6-INDEX(finrate_infl,Q4))*P11</f>
        <v>0</v>
      </c>
      <c r="R29" s="26" t="n">
        <f aca="false">R12-(R6-INDEX(finrate_infl,R4))*Q11</f>
        <v>0</v>
      </c>
      <c r="S29" s="26" t="n">
        <f aca="false">S12-(S6-INDEX(finrate_infl,S4))*R11</f>
        <v>0</v>
      </c>
      <c r="T29" s="26" t="n">
        <f aca="false">T12-(T6-INDEX(finrate_infl,T4))*S11</f>
        <v>-6.18456397205591E-011</v>
      </c>
      <c r="U29" s="26" t="n">
        <f aca="false">U12-(U6-INDEX(finrate_infl,U4))*T11</f>
        <v>0</v>
      </c>
      <c r="V29" s="26" t="n">
        <f aca="false">V12-(V6-INDEX(finrate_infl,V4))*U11</f>
        <v>0</v>
      </c>
      <c r="W29" s="26" t="n">
        <f aca="false">W12-(W6-INDEX(finrate_infl,W4))*V11</f>
        <v>0</v>
      </c>
      <c r="X29" s="26" t="n">
        <f aca="false">X12-(X6-INDEX(finrate_infl,X4))*W11</f>
        <v>0</v>
      </c>
      <c r="Y29" s="26" t="n">
        <f aca="false">Y12-(Y6-INDEX(finrate_infl,Y4))*X11</f>
        <v>0</v>
      </c>
      <c r="Z29" s="26" t="n">
        <f aca="false">Z12-(Z6-INDEX(finrate_infl,Z4))*Y11</f>
        <v>0</v>
      </c>
      <c r="AA29" s="26" t="n">
        <f aca="false">AA12-(AA6-INDEX(finrate_infl,AA4))*Z11</f>
        <v>0</v>
      </c>
      <c r="AB29" s="26" t="n">
        <f aca="false">AB12-(AB6-INDEX(finrate_infl,AB4))*AA11</f>
        <v>0</v>
      </c>
      <c r="AC29" s="26" t="n">
        <f aca="false">AC12-(AC6-INDEX(finrate_infl,AC4))*AB11</f>
        <v>0</v>
      </c>
      <c r="AD29" s="26" t="n">
        <f aca="false">AD12-(AD6-INDEX(finrate_infl,AD4))*AC11</f>
        <v>-7.27595761418343E-011</v>
      </c>
      <c r="AE29" s="26" t="n">
        <f aca="false">AE12-(AE6-INDEX(finrate_infl,AE4))*AD11</f>
        <v>0</v>
      </c>
      <c r="AF29" s="26" t="n">
        <f aca="false">AF12-(AF6-INDEX(finrate_infl,AF4))*AE11</f>
        <v>0</v>
      </c>
    </row>
    <row r="31" customFormat="false" ht="15" hidden="false" customHeight="true" outlineLevel="0" collapsed="false">
      <c r="A31" s="23" t="s">
        <v>794</v>
      </c>
      <c r="B31" s="54" t="n">
        <f aca="false">INDEX(finrate_coe,COLUMNS(finrate_coe))</f>
        <v>0.0627282236458418</v>
      </c>
      <c r="C31" s="54" t="n">
        <f aca="false">IF(cfg_rf_mode="Single",in_rf_lr,(O5*0+INDEX(finrate_coe,COLUMNS(finrate_coe))+O13*INDEX(finrate_cod,COLUMNS(finrate_cod)))/(1+O13))</f>
        <v>0.056486231182105</v>
      </c>
      <c r="D31" s="54" t="n">
        <f aca="false">INDEX(finrate_cod,COLUMNS(finrate_cod))</f>
        <v>0.038651967</v>
      </c>
    </row>
    <row r="33" customFormat="false" ht="15" hidden="false" customHeight="true" outlineLevel="0" collapsed="false">
      <c r="A33" s="4" t="s">
        <v>795</v>
      </c>
    </row>
    <row r="34" customFormat="false" ht="15" hidden="false" customHeight="true" outlineLevel="0" collapsed="false">
      <c r="A34" s="26" t="s">
        <v>796</v>
      </c>
      <c r="B34" s="42" t="n">
        <f aca="false">B9+SUMPRODUCT(C27:AF27,C15:AF15)+(INDEX(C27:AF27,cfg_N)/B31)*INDEX(C15:AF15,cfg_N)</f>
        <v>2008560.45324766</v>
      </c>
    </row>
    <row r="35" customFormat="false" ht="15" hidden="false" customHeight="true" outlineLevel="0" collapsed="false">
      <c r="A35" s="26" t="s">
        <v>797</v>
      </c>
      <c r="B35" s="42" t="n">
        <f aca="false">SUMPRODUCT(C24:AF24,C15:AF15)+AF9*AF15+(INDEX(C27:AF27,cfg_N)/B31)*INDEX(C15:AF15,cfg_N)</f>
        <v>2008560.45324766</v>
      </c>
    </row>
    <row r="36" customFormat="false" ht="15" hidden="false" customHeight="true" outlineLevel="0" collapsed="false">
      <c r="A36" s="26" t="s">
        <v>798</v>
      </c>
      <c r="B36" s="42" t="n">
        <f aca="false">B11+SUMPRODUCT(C29:AF29,C17:AF17)</f>
        <v>52583.9261833314</v>
      </c>
    </row>
    <row r="37" customFormat="false" ht="15" hidden="false" customHeight="true" outlineLevel="0" collapsed="false">
      <c r="A37" s="26" t="s">
        <v>799</v>
      </c>
      <c r="B37" s="42" t="n">
        <f aca="false">B35+B36</f>
        <v>2061144.37943099</v>
      </c>
    </row>
    <row r="38" customFormat="false" ht="15" hidden="false" customHeight="true" outlineLevel="0" collapsed="false">
      <c r="A38" s="26" t="s">
        <v>800</v>
      </c>
      <c r="B38" s="42" t="n">
        <f aca="false">B37-B36</f>
        <v>2008560.45324766</v>
      </c>
    </row>
    <row r="39" customFormat="false" ht="15" hidden="false" customHeight="true" outlineLevel="0" collapsed="false">
      <c r="A39" s="7" t="s">
        <v>801</v>
      </c>
      <c r="B39" s="62" t="n">
        <f aca="false">B10+SUMPRODUCT(C28:AF28,C16:AF16)+(INDEX(C28:AF28,cfg_N)/C31)*INDEX(C16:AF16,cfg_N)</f>
        <v>2291746.43693671</v>
      </c>
    </row>
    <row r="40" customFormat="false" ht="15" hidden="false" customHeight="true" outlineLevel="0" collapsed="false">
      <c r="A40" s="7" t="s">
        <v>802</v>
      </c>
      <c r="B40" s="62" t="n">
        <f aca="false">(B39-B36)-B38</f>
        <v>230602.057505723</v>
      </c>
    </row>
    <row r="42" customFormat="false" ht="15" hidden="false" customHeight="true" outlineLevel="0" collapsed="false">
      <c r="A42" s="4" t="s">
        <v>803</v>
      </c>
    </row>
    <row r="43" customFormat="false" ht="15" hidden="false" customHeight="true" outlineLevel="0" collapsed="false">
      <c r="A43" s="23" t="s">
        <v>804</v>
      </c>
      <c r="B43" s="63" t="n">
        <f aca="false">B35-B34</f>
        <v>0</v>
      </c>
    </row>
    <row r="44" customFormat="false" ht="15" hidden="false" customHeight="true" outlineLevel="0" collapsed="false">
      <c r="A44" s="23" t="s">
        <v>805</v>
      </c>
      <c r="B44" s="63" t="n">
        <f aca="false">B38-B34</f>
        <v>0</v>
      </c>
    </row>
    <row r="45" customFormat="false" ht="15" hidden="false" customHeight="true" outlineLevel="0" collapsed="false">
      <c r="A45" s="56" t="s">
        <v>806</v>
      </c>
      <c r="B45" s="57" t="n">
        <f aca="false">B34/anchor_shares0</f>
        <v>269.496907721409</v>
      </c>
    </row>
    <row r="46" customFormat="false" ht="15" hidden="false" customHeight="true" outlineLevel="0" collapsed="false">
      <c r="A46" s="23" t="s">
        <v>126</v>
      </c>
      <c r="B46" s="23" t="str">
        <f aca="false">IF(AND(ABS(B43)&lt;in_tie_tol*B34,ABS(B44)&lt;in_tie_tol*B34),"ALL SPOKES TIE ✓","investigate")</f>
        <v>ALL SPOKES TIE ✓</v>
      </c>
    </row>
    <row r="48" customFormat="false" ht="15" hidden="false" customHeight="true" outlineLevel="0" collapsed="false">
      <c r="A48" s="1" t="s">
        <v>807</v>
      </c>
    </row>
    <row r="49" customFormat="false" ht="15" hidden="false" customHeight="true" outlineLevel="0" collapsed="false">
      <c r="A49" s="1" t="s">
        <v>808</v>
      </c>
      <c r="B49" s="64" t="n">
        <f aca="false">B35</f>
        <v>2008560.45324766</v>
      </c>
      <c r="C49" s="1" t="n">
        <f aca="false">B49*(1+C5)-C24</f>
        <v>2073566.76401013</v>
      </c>
      <c r="D49" s="1" t="n">
        <f aca="false">C49*(1+D5)-D24</f>
        <v>2177290.90054606</v>
      </c>
      <c r="E49" s="1" t="n">
        <f aca="false">D49*(1+E5)-E24</f>
        <v>2290751.03841712</v>
      </c>
      <c r="F49" s="1" t="n">
        <f aca="false">E49*(1+F5)-F24</f>
        <v>2406726.02524745</v>
      </c>
      <c r="G49" s="1" t="n">
        <f aca="false">F49*(1+G5)-G24</f>
        <v>2527388.95136391</v>
      </c>
      <c r="H49" s="1" t="n">
        <f aca="false">G49*(1+H5)-H24</f>
        <v>2654001.35381331</v>
      </c>
      <c r="I49" s="1" t="n">
        <f aca="false">H49*(1+I5)-I24</f>
        <v>2785954.37801693</v>
      </c>
      <c r="J49" s="1" t="n">
        <f aca="false">I49*(1+J5)-J24</f>
        <v>2921428.42833441</v>
      </c>
      <c r="K49" s="1" t="n">
        <f aca="false">J49*(1+K5)-K24</f>
        <v>3061268.84665801</v>
      </c>
      <c r="L49" s="1" t="n">
        <f aca="false">K49*(1+L5)-L24</f>
        <v>3204690.69076527</v>
      </c>
      <c r="M49" s="1" t="n">
        <f aca="false">L49*(1+M5)-M24</f>
        <v>3349430.80590052</v>
      </c>
      <c r="N49" s="1" t="n">
        <f aca="false">M49*(1+N5)-N24</f>
        <v>3497458.59832196</v>
      </c>
      <c r="O49" s="1" t="n">
        <f aca="false">N49*(1+O5)-O24</f>
        <v>3902469.43018901</v>
      </c>
      <c r="P49" s="1" t="n">
        <f aca="false">O49*(1+P5)-P24</f>
        <v>4180592.30899049</v>
      </c>
      <c r="Q49" s="1" t="n">
        <f aca="false">P49*(1+Q5)-Q24</f>
        <v>4477652.89048332</v>
      </c>
      <c r="R49" s="1" t="n">
        <f aca="false">Q49*(1+R5)-R24</f>
        <v>4795183.93139046</v>
      </c>
      <c r="S49" s="1" t="n">
        <f aca="false">R49*(1+S5)-S24</f>
        <v>5136326.34055914</v>
      </c>
      <c r="T49" s="1" t="n">
        <f aca="false">S49*(1+T5)-T24</f>
        <v>5503850.71360898</v>
      </c>
      <c r="U49" s="1" t="n">
        <f aca="false">T49*(1+U5)-U24</f>
        <v>5900697.19128967</v>
      </c>
      <c r="V49" s="1" t="n">
        <f aca="false">U49*(1+V5)-V24</f>
        <v>6330212.58724346</v>
      </c>
      <c r="W49" s="1" t="n">
        <f aca="false">V49*(1+W5)-W24</f>
        <v>6799949.63342551</v>
      </c>
      <c r="X49" s="1" t="n">
        <f aca="false">W49*(1+X5)-X24</f>
        <v>7308695.12832388</v>
      </c>
      <c r="Y49" s="1" t="n">
        <f aca="false">X49*(1+Y5)-Y24</f>
        <v>7860002.72761018</v>
      </c>
      <c r="Z49" s="1" t="n">
        <f aca="false">Y49*(1+Z5)-Z24</f>
        <v>8456713.56714681</v>
      </c>
      <c r="AA49" s="1" t="n">
        <f aca="false">Z49*(1+AA5)-AA24</f>
        <v>9102586.32867216</v>
      </c>
      <c r="AB49" s="1" t="n">
        <f aca="false">AA49*(1+AB5)-AB24</f>
        <v>9800223.70477861</v>
      </c>
      <c r="AC49" s="1" t="n">
        <f aca="false">AB49*(1+AC5)-AC24</f>
        <v>10552913.198598</v>
      </c>
      <c r="AD49" s="1" t="n">
        <f aca="false">AC49*(1+AD5)-AD24</f>
        <v>11363314.5244668</v>
      </c>
      <c r="AE49" s="1" t="n">
        <f aca="false">AD49*(1+AE5)-AE24</f>
        <v>12233992.913768</v>
      </c>
      <c r="AF49" s="1" t="n">
        <f aca="false">AE49*(1+AF5)-AF24</f>
        <v>13166679.8203596</v>
      </c>
    </row>
    <row r="50" customFormat="false" ht="15" hidden="false" customHeight="true" outlineLevel="0" collapsed="false">
      <c r="A50" s="1" t="s">
        <v>809</v>
      </c>
      <c r="B50" s="64" t="n">
        <f aca="false">B36</f>
        <v>52583.9261833314</v>
      </c>
      <c r="C50" s="1" t="n">
        <f aca="false">B50*(1+C6)-C25</f>
        <v>103411.079066011</v>
      </c>
      <c r="D50" s="1" t="n">
        <f aca="false">C50*(1+D6)-D25</f>
        <v>123512.124614863</v>
      </c>
      <c r="E50" s="1" t="n">
        <f aca="false">D50*(1+E6)-E25</f>
        <v>144264.631792652</v>
      </c>
      <c r="F50" s="1" t="n">
        <f aca="false">E50*(1+F6)-F25</f>
        <v>165690.814906496</v>
      </c>
      <c r="G50" s="1" t="n">
        <f aca="false">F50*(1+G6)-G25</f>
        <v>187906.639369159</v>
      </c>
      <c r="H50" s="1" t="n">
        <f aca="false">G50*(1+H6)-H25</f>
        <v>211094.318667314</v>
      </c>
      <c r="I50" s="1" t="n">
        <f aca="false">H50*(1+I6)-I25</f>
        <v>235475.712473388</v>
      </c>
      <c r="J50" s="1" t="n">
        <f aca="false">I50*(1+J6)-J25</f>
        <v>261295.624346095</v>
      </c>
      <c r="K50" s="1" t="n">
        <f aca="false">J50*(1+K6)-K25</f>
        <v>288815.279502226</v>
      </c>
      <c r="L50" s="1" t="n">
        <f aca="false">K50*(1+L6)-L25</f>
        <v>318309.095844993</v>
      </c>
      <c r="M50" s="1" t="n">
        <f aca="false">L50*(1+M6)-M25</f>
        <v>350060.428155531</v>
      </c>
      <c r="N50" s="1" t="n">
        <f aca="false">M50*(1+N6)-N25</f>
        <v>384362.849510492</v>
      </c>
      <c r="O50" s="1" t="n">
        <f aca="false">N50*(1+O6)-O25</f>
        <v>251943.653232869</v>
      </c>
      <c r="P50" s="1" t="n">
        <f aca="false">O50*(1+P6)-P25</f>
        <v>264025.265909044</v>
      </c>
      <c r="Q50" s="1" t="n">
        <f aca="false">P50*(1+Q6)-Q25</f>
        <v>276708.374895484</v>
      </c>
      <c r="R50" s="1" t="n">
        <f aca="false">Q50*(1+R6)-R25</f>
        <v>290061.937129422</v>
      </c>
      <c r="S50" s="1" t="n">
        <f aca="false">R50*(1+S6)-S25</f>
        <v>304144.59575272</v>
      </c>
      <c r="T50" s="1" t="n">
        <f aca="false">S50*(1+T6)-T25</f>
        <v>319015.687915682</v>
      </c>
      <c r="U50" s="1" t="n">
        <f aca="false">T50*(1+U6)-U25</f>
        <v>334720.500729043</v>
      </c>
      <c r="V50" s="1" t="n">
        <f aca="false">U50*(1+V6)-V25</f>
        <v>351301.402769548</v>
      </c>
      <c r="W50" s="1" t="n">
        <f aca="false">V50*(1+W6)-W25</f>
        <v>368804.181087357</v>
      </c>
      <c r="X50" s="1" t="n">
        <f aca="false">W50*(1+X6)-X25</f>
        <v>387238.757376834</v>
      </c>
      <c r="Y50" s="1" t="n">
        <f aca="false">X50*(1+Y6)-Y25</f>
        <v>406644.02765468</v>
      </c>
      <c r="Z50" s="1" t="n">
        <f aca="false">Y50*(1+Z6)-Z25</f>
        <v>427005.866587403</v>
      </c>
      <c r="AA50" s="1" t="n">
        <f aca="false">Z50*(1+AA6)-AA25</f>
        <v>448342.15527377</v>
      </c>
      <c r="AB50" s="1" t="n">
        <f aca="false">AA50*(1+AB6)-AB25</f>
        <v>470591.90309364</v>
      </c>
      <c r="AC50" s="1" t="n">
        <f aca="false">AB50*(1+AC6)-AC25</f>
        <v>493724.886038569</v>
      </c>
      <c r="AD50" s="1" t="n">
        <f aca="false">AC50*(1+AD6)-AD25</f>
        <v>517665.198862385</v>
      </c>
      <c r="AE50" s="1" t="n">
        <f aca="false">AD50*(1+AE6)-AE25</f>
        <v>542322.710389518</v>
      </c>
      <c r="AF50" s="1" t="n">
        <f aca="false">AE50*(1+AF6)-AF25</f>
        <v>567562.135004553</v>
      </c>
    </row>
    <row r="51" customFormat="false" ht="15" hidden="false" customHeight="true" outlineLevel="0" collapsed="false">
      <c r="A51" s="1" t="s">
        <v>810</v>
      </c>
      <c r="C51" s="1" t="n">
        <f aca="false">IF((B49+B50)=0,0,(C5*B49+C6*B50)/(B49+B50))</f>
        <v>0.0740862844615594</v>
      </c>
      <c r="D51" s="1" t="n">
        <f aca="false">IF((C49+C50)=0,0,(D5*C49+D6*C50)/(C49+C50))</f>
        <v>0.0795066841771311</v>
      </c>
      <c r="E51" s="1" t="n">
        <f aca="false">IF((D49+D50)=0,0,(E5*D49+E6*D50)/(D49+D50))</f>
        <v>0.0851369815409252</v>
      </c>
      <c r="F51" s="1" t="n">
        <f aca="false">IF((E49+E50)=0,0,(F5*E49+F6*E50)/(E49+E50))</f>
        <v>0.0866294535764138</v>
      </c>
      <c r="G51" s="1" t="n">
        <f aca="false">IF((F49+F50)=0,0,(G5*F49+G6*F50)/(F49+F50))</f>
        <v>0.0884051837280904</v>
      </c>
      <c r="H51" s="1" t="n">
        <f aca="false">IF((G49+G50)=0,0,(H5*G49+H6*G50)/(G49+G50))</f>
        <v>0.0900442186903829</v>
      </c>
      <c r="I51" s="1" t="n">
        <f aca="false">IF((H49+H50)=0,0,(I5*H49+I6*H50)/(H49+H50))</f>
        <v>0.0906039472427951</v>
      </c>
      <c r="J51" s="1" t="n">
        <f aca="false">IF((I49+I50)=0,0,(J5*I49+J6*I50)/(I49+I50))</f>
        <v>0.0898967433131646</v>
      </c>
      <c r="K51" s="1" t="n">
        <f aca="false">IF((J49+J50)=0,0,(K5*J49+K6*J50)/(J49+J50))</f>
        <v>0.0889379978452533</v>
      </c>
      <c r="L51" s="1" t="n">
        <f aca="false">IF((K49+K50)=0,0,(L5*K49+L6*K50)/(K49+K50))</f>
        <v>0.0872804927254722</v>
      </c>
      <c r="M51" s="1" t="n">
        <f aca="false">IF((L49+L50)=0,0,(M5*L49+M6*L50)/(L49+L50))</f>
        <v>0.0850215355380998</v>
      </c>
      <c r="N51" s="1" t="n">
        <f aca="false">IF((M49+M50)=0,0,(N5*M49+N6*M50)/(M49+M50))</f>
        <v>0.0833785971892261</v>
      </c>
      <c r="O51" s="1" t="n">
        <f aca="false">IF((N49+N50)=0,0,(O5*N49+O6*N50)/(N49+N50))</f>
        <v>0.0821029998088576</v>
      </c>
      <c r="P51" s="1" t="n">
        <f aca="false">IF((O49+O50)=0,0,(P5*O49+P6*O50)/(O49+O50))</f>
        <v>0.0819244710745667</v>
      </c>
      <c r="Q51" s="1" t="n">
        <f aca="false">IF((P49+P50)=0,0,(Q5*P49+Q6*P50)/(P49+P50))</f>
        <v>0.0812962891381776</v>
      </c>
      <c r="R51" s="1" t="n">
        <f aca="false">IF((Q49+Q50)=0,0,(R5*Q49+R6*Q50)/(Q49+Q50))</f>
        <v>0.0807179913596188</v>
      </c>
      <c r="S51" s="1" t="n">
        <f aca="false">IF((R49+R50)=0,0,(S5*R49+S6*R50)/(R49+R50))</f>
        <v>0.0806332549412004</v>
      </c>
      <c r="T51" s="1" t="n">
        <f aca="false">IF((S49+S50)=0,0,(T5*S49+T6*S50)/(S49+S50))</f>
        <v>0.0807815060629407</v>
      </c>
      <c r="U51" s="1" t="n">
        <f aca="false">IF((T49+T50)=0,0,(U5*T49+U6*T50)/(T49+T50))</f>
        <v>0.0811206383758831</v>
      </c>
      <c r="V51" s="1" t="n">
        <f aca="false">IF((U49+U50)=0,0,(V5*U49+V6*U50)/(U49+U50))</f>
        <v>0.0816514160432862</v>
      </c>
      <c r="W51" s="1" t="n">
        <f aca="false">IF((V49+V50)=0,0,(W5*V49+W6*V50)/(V49+V50))</f>
        <v>0.0831479861202174</v>
      </c>
      <c r="X51" s="1" t="n">
        <f aca="false">IF((W49+W50)=0,0,(X5*W49+X6*W50)/(W49+W50))</f>
        <v>0.0835966406001324</v>
      </c>
      <c r="Y51" s="1" t="n">
        <f aca="false">IF((X49+X50)=0,0,(Y5*X49+Y6*X50)/(X49+X50))</f>
        <v>0.0840595577103847</v>
      </c>
      <c r="Z51" s="1" t="n">
        <f aca="false">IF((Y49+Y50)=0,0,(Z5*Y49+Z6*Y50)/(Y49+Y50))</f>
        <v>0.0844002657646842</v>
      </c>
      <c r="AA51" s="1" t="n">
        <f aca="false">IF((Z49+Z50)=0,0,(AA5*Z49+AA6*Z50)/(Z49+Z50))</f>
        <v>0.0847205788480901</v>
      </c>
      <c r="AB51" s="1" t="n">
        <f aca="false">IF((AA49+AA50)=0,0,(AB5*AA49+AB6*AA50)/(AA49+AA50))</f>
        <v>0.0848632671263015</v>
      </c>
      <c r="AC51" s="1" t="n">
        <f aca="false">IF((AB49+AB50)=0,0,(AC5*AB49+AC6*AB50)/(AB49+AB50))</f>
        <v>0.0849049537118935</v>
      </c>
      <c r="AD51" s="1" t="n">
        <f aca="false">IF((AC49+AC50)=0,0,(AD5*AC49+AD6*AC50)/(AC49+AC50))</f>
        <v>0.0847827665889127</v>
      </c>
      <c r="AE51" s="1" t="n">
        <f aca="false">IF((AD49+AD50)=0,0,(AE5*AD49+AE6*AD50)/(AD49+AD50))</f>
        <v>0.084503843171691</v>
      </c>
      <c r="AF51" s="1" t="n">
        <f aca="false">IF((AE49+AE50)=0,0,(AF5*AE49+AF6*AE50)/(AE49+AE50))</f>
        <v>0.0840170910354371</v>
      </c>
    </row>
    <row r="52" customFormat="false" ht="15" hidden="false" customHeight="true" outlineLevel="0" collapsed="false">
      <c r="A52" s="1" t="s">
        <v>811</v>
      </c>
      <c r="B52" s="1" t="n">
        <v>1</v>
      </c>
      <c r="C52" s="1" t="n">
        <f aca="false">B52/(1+C51)</f>
        <v>0.931023898607272</v>
      </c>
      <c r="D52" s="1" t="n">
        <f aca="false">C52/(1+D51)</f>
        <v>0.862453111457071</v>
      </c>
      <c r="E52" s="1" t="n">
        <f aca="false">D52/(1+E51)</f>
        <v>0.794787318217063</v>
      </c>
      <c r="F52" s="1" t="n">
        <f aca="false">E52/(1+F51)</f>
        <v>0.731424420349721</v>
      </c>
      <c r="G52" s="1" t="n">
        <f aca="false">F52/(1+G51)</f>
        <v>0.672014826173824</v>
      </c>
      <c r="H52" s="1" t="n">
        <f aca="false">G52/(1+H51)</f>
        <v>0.61650235343774</v>
      </c>
      <c r="I52" s="1" t="n">
        <f aca="false">H52/(1+I51)</f>
        <v>0.565285276104444</v>
      </c>
      <c r="J52" s="1" t="n">
        <f aca="false">I52/(1+J51)</f>
        <v>0.518659478131883</v>
      </c>
      <c r="K52" s="1" t="n">
        <f aca="false">J52/(1+K51)</f>
        <v>0.476298447807116</v>
      </c>
      <c r="L52" s="1" t="n">
        <f aca="false">K52/(1+L51)</f>
        <v>0.438064005556822</v>
      </c>
      <c r="M52" s="1" t="n">
        <f aca="false">L52/(1+M51)</f>
        <v>0.403737613686692</v>
      </c>
      <c r="N52" s="1" t="n">
        <f aca="false">M52/(1+N51)</f>
        <v>0.372665303462861</v>
      </c>
      <c r="O52" s="1" t="n">
        <f aca="false">N52/(1+O51)</f>
        <v>0.344389862636633</v>
      </c>
      <c r="P52" s="1" t="n">
        <f aca="false">O52/(1+P51)</f>
        <v>0.318312296138921</v>
      </c>
      <c r="Q52" s="1" t="n">
        <f aca="false">P52/(1+Q51)</f>
        <v>0.294380272397517</v>
      </c>
      <c r="R52" s="1" t="n">
        <f aca="false">Q52/(1+R51)</f>
        <v>0.272393237413551</v>
      </c>
      <c r="S52" s="1" t="n">
        <f aca="false">R52/(1+S51)</f>
        <v>0.252068161115746</v>
      </c>
      <c r="T52" s="1" t="n">
        <f aca="false">S52/(1+T51)</f>
        <v>0.233227678029001</v>
      </c>
      <c r="U52" s="1" t="n">
        <f aca="false">T52/(1+U51)</f>
        <v>0.215727708592602</v>
      </c>
      <c r="V52" s="1" t="n">
        <f aca="false">U52/(1+V51)</f>
        <v>0.199442912377206</v>
      </c>
      <c r="W52" s="1" t="n">
        <f aca="false">V52/(1+W51)</f>
        <v>0.184132653093508</v>
      </c>
      <c r="X52" s="1" t="n">
        <f aca="false">W52/(1+X51)</f>
        <v>0.169927301538633</v>
      </c>
      <c r="Y52" s="1" t="n">
        <f aca="false">X52/(1+Y51)</f>
        <v>0.156750890972755</v>
      </c>
      <c r="Z52" s="1" t="n">
        <f aca="false">Y52/(1+Z51)</f>
        <v>0.14455076775753</v>
      </c>
      <c r="AA52" s="1" t="n">
        <f aca="false">Z52/(1+AA51)</f>
        <v>0.133260832859864</v>
      </c>
      <c r="AB52" s="1" t="n">
        <f aca="false">AA52/(1+AB51)</f>
        <v>0.122836524102119</v>
      </c>
      <c r="AC52" s="1" t="n">
        <f aca="false">AB52/(1+AC51)</f>
        <v>0.113223304660787</v>
      </c>
      <c r="AD52" s="1" t="n">
        <f aca="false">AC52/(1+AD51)</f>
        <v>0.104374173473291</v>
      </c>
      <c r="AE52" s="1" t="n">
        <f aca="false">AD52/(1+AE51)</f>
        <v>0.096241404888011</v>
      </c>
      <c r="AF52" s="1" t="n">
        <f aca="false">AE52/(1+AF51)</f>
        <v>0.0887821840484846</v>
      </c>
    </row>
    <row r="53" customFormat="false" ht="15" hidden="false" customHeight="true" outlineLevel="0" collapsed="false">
      <c r="A53" s="1" t="s">
        <v>812</v>
      </c>
      <c r="C53" s="1" t="n">
        <f aca="false">C8-(C51-INDEX(finrate_infl,C4))*B10</f>
        <v>87429.6401082967</v>
      </c>
      <c r="D53" s="1" t="n">
        <f aca="false">D8-(D51-INDEX(finrate_infl,D4))*C10</f>
        <v>95078.7771336515</v>
      </c>
      <c r="E53" s="1" t="n">
        <f aca="false">E8-(E51-INDEX(finrate_infl,E4))*D10</f>
        <v>101156.573636168</v>
      </c>
      <c r="F53" s="1" t="n">
        <f aca="false">F8-(F51-INDEX(finrate_infl,F4))*E10</f>
        <v>107981.857882336</v>
      </c>
      <c r="G53" s="1" t="n">
        <f aca="false">G8-(G51-INDEX(finrate_infl,G4))*F10</f>
        <v>113726.694696699</v>
      </c>
      <c r="H53" s="1" t="n">
        <f aca="false">H8-(H51-INDEX(finrate_infl,H4))*G10</f>
        <v>118872.283201229</v>
      </c>
      <c r="I53" s="1" t="n">
        <f aca="false">I8-(I51-INDEX(finrate_infl,I4))*H10</f>
        <v>123525.446708976</v>
      </c>
      <c r="J53" s="1" t="n">
        <f aca="false">J8-(J51-INDEX(finrate_infl,J4))*I10</f>
        <v>128263.924405308</v>
      </c>
      <c r="K53" s="1" t="n">
        <f aca="false">K8-(K51-INDEX(finrate_infl,K4))*J10</f>
        <v>132215.706886555</v>
      </c>
      <c r="L53" s="1" t="n">
        <f aca="false">L8-(L51-INDEX(finrate_infl,L4))*K10</f>
        <v>136012.570454673</v>
      </c>
      <c r="M53" s="1" t="n">
        <f aca="false">M8-(M51-INDEX(finrate_infl,M4))*L10</f>
        <v>141122.477478421</v>
      </c>
      <c r="N53" s="1" t="n">
        <f aca="false">N8-(N51-INDEX(finrate_infl,N4))*M10</f>
        <v>145856.975053755</v>
      </c>
      <c r="O53" s="1" t="n">
        <f aca="false">O8-(O51-INDEX(finrate_infl,O4))*N10</f>
        <v>-4406.94785446079</v>
      </c>
      <c r="P53" s="1" t="n">
        <f aca="false">P8-(P51-INDEX(finrate_infl,P4))*O10</f>
        <v>-2638.22140683465</v>
      </c>
      <c r="Q53" s="1" t="n">
        <f aca="false">Q8-(Q51-INDEX(finrate_infl,Q4))*P10</f>
        <v>-2566.31218990641</v>
      </c>
      <c r="R53" s="1" t="n">
        <f aca="false">R8-(R51-INDEX(finrate_infl,R4))*Q10</f>
        <v>-2512.85348382566</v>
      </c>
      <c r="S53" s="1" t="n">
        <f aca="false">S8-(S51-INDEX(finrate_infl,S4))*R10</f>
        <v>-2575.21257270657</v>
      </c>
      <c r="T53" s="1" t="n">
        <f aca="false">T8-(T51-INDEX(finrate_infl,T4))*S10</f>
        <v>-2714.72090428499</v>
      </c>
      <c r="U53" s="1" t="n">
        <f aca="false">U8-(U51-INDEX(finrate_infl,U4))*T10</f>
        <v>-2939.46471067333</v>
      </c>
      <c r="V53" s="1" t="n">
        <f aca="false">V8-(V51-INDEX(finrate_infl,V4))*U10</f>
        <v>-3257.89599244049</v>
      </c>
      <c r="W53" s="1" t="n">
        <f aca="false">W8-(W51-INDEX(finrate_infl,W4))*V10</f>
        <v>-3883.97422703753</v>
      </c>
      <c r="X53" s="1" t="n">
        <f aca="false">X8-(X51-INDEX(finrate_infl,X4))*W10</f>
        <v>-4343.91606529935</v>
      </c>
      <c r="Y53" s="1" t="n">
        <f aca="false">Y8-(Y51-INDEX(finrate_infl,Y4))*X10</f>
        <v>-4866.65327369247</v>
      </c>
      <c r="Z53" s="1" t="n">
        <f aca="false">Z8-(Z51-INDEX(finrate_infl,Z4))*Y10</f>
        <v>-5450.94658816329</v>
      </c>
      <c r="AA53" s="1" t="n">
        <f aca="false">AA8-(AA51-INDEX(finrate_infl,AA4))*Z10</f>
        <v>-6092.98570940836</v>
      </c>
      <c r="AB53" s="1" t="n">
        <f aca="false">AB8-(AB51-INDEX(finrate_infl,AB4))*AA10</f>
        <v>-6790.7562224023</v>
      </c>
      <c r="AC53" s="1" t="n">
        <f aca="false">AC8-(AC51-INDEX(finrate_infl,AC4))*AB10</f>
        <v>-7524.50523909167</v>
      </c>
      <c r="AD53" s="1" t="n">
        <f aca="false">AD8-(AD51-INDEX(finrate_infl,AD4))*AC10</f>
        <v>-8284.05959973275</v>
      </c>
      <c r="AE53" s="1" t="n">
        <f aca="false">AE8-(AE51-INDEX(finrate_infl,AE4))*AD10</f>
        <v>-9058.3337346559</v>
      </c>
      <c r="AF53" s="1" t="n">
        <f aca="false">AF8-(AF51-INDEX(finrate_infl,AF4))*AE10</f>
        <v>-9841.64588864084</v>
      </c>
    </row>
    <row r="54" customFormat="false" ht="15" hidden="false" customHeight="true" outlineLevel="0" collapsed="false">
      <c r="A54" s="1" t="s">
        <v>813</v>
      </c>
      <c r="C54" s="1" t="n">
        <f aca="false">IF(C4&lt;=cfg_N,C53*C52,0)</f>
        <v>81399.0843874571</v>
      </c>
      <c r="D54" s="1" t="n">
        <f aca="false">IF(D4&lt;=cfg_N,D53*D52,0)</f>
        <v>82000.9871724511</v>
      </c>
      <c r="E54" s="1" t="n">
        <f aca="false">IF(E4&lt;=cfg_N,E53*E52,0)</f>
        <v>80397.9618803172</v>
      </c>
      <c r="F54" s="1" t="n">
        <f aca="false">IF(F4&lt;=cfg_N,F53*F52,0)</f>
        <v>78980.5678098733</v>
      </c>
      <c r="G54" s="1" t="n">
        <f aca="false">IF(G4&lt;=cfg_N,G53*G52,0)</f>
        <v>76426.0249679258</v>
      </c>
      <c r="H54" s="1" t="n">
        <f aca="false">IF(H4&lt;=cfg_N,H53*H52,0)</f>
        <v>73285.042352075</v>
      </c>
      <c r="I54" s="1" t="n">
        <f aca="false">IF(I4&lt;=cfg_N,I53*I52,0)</f>
        <v>69827.1162488083</v>
      </c>
      <c r="J54" s="1" t="n">
        <f aca="false">IF(J4&lt;=cfg_N,J53*J52,0)</f>
        <v>66525.3000952042</v>
      </c>
      <c r="K54" s="1" t="n">
        <f aca="false">IF(K4&lt;=cfg_N,K53*K52,0)</f>
        <v>62974.1359657866</v>
      </c>
      <c r="L54" s="1" t="n">
        <f aca="false">IF(L4&lt;=cfg_N,L53*L52,0)</f>
        <v>59582.2114194534</v>
      </c>
      <c r="M54" s="1" t="n">
        <f aca="false">IF(M4&lt;=cfg_N,M53*M52,0)</f>
        <v>56976.4522946917</v>
      </c>
      <c r="N54" s="1" t="n">
        <f aca="false">IF(N4&lt;=cfg_N,N53*N52,0)</f>
        <v>54355.8338705827</v>
      </c>
      <c r="O54" s="1" t="n">
        <f aca="false">IF(O4&lt;=cfg_N,O53*O52,0)</f>
        <v>0</v>
      </c>
      <c r="P54" s="1" t="n">
        <f aca="false">IF(P4&lt;=cfg_N,P53*P52,0)</f>
        <v>0</v>
      </c>
      <c r="Q54" s="1" t="n">
        <f aca="false">IF(Q4&lt;=cfg_N,Q53*Q52,0)</f>
        <v>0</v>
      </c>
      <c r="R54" s="1" t="n">
        <f aca="false">IF(R4&lt;=cfg_N,R53*R52,0)</f>
        <v>0</v>
      </c>
      <c r="S54" s="1" t="n">
        <f aca="false">IF(S4&lt;=cfg_N,S53*S52,0)</f>
        <v>0</v>
      </c>
      <c r="T54" s="1" t="n">
        <f aca="false">IF(T4&lt;=cfg_N,T53*T52,0)</f>
        <v>0</v>
      </c>
      <c r="U54" s="1" t="n">
        <f aca="false">IF(U4&lt;=cfg_N,U53*U52,0)</f>
        <v>0</v>
      </c>
      <c r="V54" s="1" t="n">
        <f aca="false">IF(V4&lt;=cfg_N,V53*V52,0)</f>
        <v>0</v>
      </c>
      <c r="W54" s="1" t="n">
        <f aca="false">IF(W4&lt;=cfg_N,W53*W52,0)</f>
        <v>0</v>
      </c>
      <c r="X54" s="1" t="n">
        <f aca="false">IF(X4&lt;=cfg_N,X53*X52,0)</f>
        <v>0</v>
      </c>
      <c r="Y54" s="1" t="n">
        <f aca="false">IF(Y4&lt;=cfg_N,Y53*Y52,0)</f>
        <v>0</v>
      </c>
      <c r="Z54" s="1" t="n">
        <f aca="false">IF(Z4&lt;=cfg_N,Z53*Z52,0)</f>
        <v>0</v>
      </c>
      <c r="AA54" s="1" t="n">
        <f aca="false">IF(AA4&lt;=cfg_N,AA53*AA52,0)</f>
        <v>0</v>
      </c>
      <c r="AB54" s="1" t="n">
        <f aca="false">IF(AB4&lt;=cfg_N,AB53*AB52,0)</f>
        <v>0</v>
      </c>
      <c r="AC54" s="1" t="n">
        <f aca="false">IF(AC4&lt;=cfg_N,AC53*AC52,0)</f>
        <v>0</v>
      </c>
      <c r="AD54" s="1" t="n">
        <f aca="false">IF(AD4&lt;=cfg_N,AD53*AD52,0)</f>
        <v>0</v>
      </c>
      <c r="AE54" s="1" t="n">
        <f aca="false">IF(AE4&lt;=cfg_N,AE53*AE52,0)</f>
        <v>0</v>
      </c>
      <c r="AF54" s="1" t="n">
        <f aca="false">IF(AF4&lt;=cfg_N,AF53*AF52,0)</f>
        <v>0</v>
      </c>
    </row>
    <row r="55" customFormat="false" ht="15" hidden="false" customHeight="true" outlineLevel="0" collapsed="false">
      <c r="A55" s="1" t="s">
        <v>814</v>
      </c>
      <c r="B55" s="1" t="n">
        <f aca="false">B10+SUM(C54:AF54)+INDEX(C52:AF52,cfg_N)*(INDEX(C49:AF49,cfg_N)+INDEX(C50:AF50,cfg_N)-INDEX(C10:AF10,cfg_N))</f>
        <v>2061144.37943099</v>
      </c>
    </row>
    <row r="56" customFormat="false" ht="15" hidden="false" customHeight="true" outlineLevel="0" collapsed="false">
      <c r="A56" s="1" t="s">
        <v>815</v>
      </c>
      <c r="B56" s="1" t="n">
        <f aca="false">B55-B37</f>
        <v>0</v>
      </c>
    </row>
    <row r="57" customFormat="false" ht="15" hidden="false" customHeight="true" outlineLevel="0" collapsed="false">
      <c r="A57" s="1" t="s">
        <v>816</v>
      </c>
      <c r="B57" s="1" t="n">
        <f aca="false">SUMPRODUCT(ABS(C23:AF23-C24:AF24-C25:AF25))</f>
        <v>4.8312358558178E-009</v>
      </c>
    </row>
    <row r="58" customFormat="false" ht="15" hidden="false" customHeight="true" outlineLevel="0" collapsed="false">
      <c r="A58" s="1" t="s">
        <v>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2026-07-10T07:00:08Z</dcterms:created>
  <dc:creator>openpyxl</dc:creator>
  <dc:description/>
  <dc:language>en-US</dc:language>
  <cp:lastModifiedBy/>
  <dcterms:modified xsi:type="dcterms:W3CDTF">2026-08-20T19:58:01Z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